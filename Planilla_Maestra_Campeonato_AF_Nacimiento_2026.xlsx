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1.xml" ContentType="application/vnd.openxmlformats-officedocument.drawing+xml"/>
  <Override PartName="/xl/tables/table15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esktop\STREAMLIT WEB\1- ANFANACTO\"/>
    </mc:Choice>
  </mc:AlternateContent>
  <xr:revisionPtr revIDLastSave="0" documentId="13_ncr:1_{E085EFCA-45E2-41EC-AF4C-55160BA003C4}" xr6:coauthVersionLast="47" xr6:coauthVersionMax="47" xr10:uidLastSave="{00000000-0000-0000-0000-000000000000}"/>
  <bookViews>
    <workbookView xWindow="22932" yWindow="-108" windowWidth="23256" windowHeight="13176" firstSheet="3" activeTab="6" xr2:uid="{00000000-000D-0000-FFFF-FFFF00000000}"/>
  </bookViews>
  <sheets>
    <sheet name="LEEME" sheetId="1" r:id="rId1"/>
    <sheet name="Configuracion" sheetId="2" r:id="rId2"/>
    <sheet name="Clubes" sheetId="3" r:id="rId3"/>
    <sheet name="Series" sheetId="4" r:id="rId4"/>
    <sheet name="Inscripciones" sheetId="5" r:id="rId5"/>
    <sheet name="Canchas" sheetId="6" r:id="rId6"/>
    <sheet name="Partidos" sheetId="9" r:id="rId7"/>
    <sheet name="Tabla_Posiciones" sheetId="10" r:id="rId8"/>
    <sheet name="Goleadores" sheetId="12" r:id="rId9"/>
    <sheet name="Disciplina" sheetId="13" r:id="rId10"/>
    <sheet name="Castigados" sheetId="14" r:id="rId11"/>
    <sheet name="Multas" sheetId="15" r:id="rId12"/>
    <sheet name="Arbitros" sheetId="16" r:id="rId13"/>
    <sheet name="Noticias" sheetId="17" r:id="rId14"/>
    <sheet name="Documentos" sheetId="18" r:id="rId15"/>
    <sheet name="Dashboard" sheetId="19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9" l="1"/>
  <c r="J5" i="10"/>
  <c r="O24" i="9"/>
  <c r="M10" i="19"/>
  <c r="E10" i="19"/>
  <c r="A10" i="19"/>
  <c r="J500" i="15"/>
  <c r="J499" i="15"/>
  <c r="J498" i="15"/>
  <c r="J497" i="15"/>
  <c r="J496" i="15"/>
  <c r="J495" i="15"/>
  <c r="J494" i="15"/>
  <c r="J493" i="15"/>
  <c r="J492" i="15"/>
  <c r="J491" i="15"/>
  <c r="J490" i="15"/>
  <c r="J489" i="15"/>
  <c r="J488" i="15"/>
  <c r="J487" i="15"/>
  <c r="J486" i="15"/>
  <c r="J485" i="15"/>
  <c r="J484" i="15"/>
  <c r="J483" i="15"/>
  <c r="J482" i="15"/>
  <c r="J481" i="15"/>
  <c r="J480" i="15"/>
  <c r="J479" i="15"/>
  <c r="J478" i="15"/>
  <c r="J477" i="15"/>
  <c r="J476" i="15"/>
  <c r="J475" i="15"/>
  <c r="J474" i="15"/>
  <c r="J473" i="15"/>
  <c r="J472" i="15"/>
  <c r="J471" i="15"/>
  <c r="J470" i="15"/>
  <c r="J469" i="15"/>
  <c r="J468" i="15"/>
  <c r="J467" i="15"/>
  <c r="J466" i="15"/>
  <c r="J465" i="15"/>
  <c r="J464" i="15"/>
  <c r="J463" i="15"/>
  <c r="J462" i="15"/>
  <c r="J461" i="15"/>
  <c r="J460" i="15"/>
  <c r="J459" i="15"/>
  <c r="J458" i="15"/>
  <c r="J457" i="15"/>
  <c r="J456" i="15"/>
  <c r="J455" i="15"/>
  <c r="J454" i="15"/>
  <c r="J453" i="15"/>
  <c r="J452" i="15"/>
  <c r="J451" i="15"/>
  <c r="J450" i="15"/>
  <c r="J449" i="15"/>
  <c r="J448" i="15"/>
  <c r="J447" i="15"/>
  <c r="J446" i="15"/>
  <c r="J445" i="15"/>
  <c r="J444" i="15"/>
  <c r="J443" i="15"/>
  <c r="J442" i="15"/>
  <c r="J441" i="15"/>
  <c r="J440" i="15"/>
  <c r="J439" i="15"/>
  <c r="J438" i="15"/>
  <c r="J437" i="15"/>
  <c r="J436" i="15"/>
  <c r="J435" i="15"/>
  <c r="J434" i="15"/>
  <c r="J433" i="15"/>
  <c r="J432" i="15"/>
  <c r="J431" i="15"/>
  <c r="J430" i="15"/>
  <c r="J429" i="15"/>
  <c r="J428" i="15"/>
  <c r="J427" i="15"/>
  <c r="J426" i="15"/>
  <c r="J425" i="15"/>
  <c r="J424" i="15"/>
  <c r="J423" i="15"/>
  <c r="J422" i="15"/>
  <c r="J421" i="15"/>
  <c r="J420" i="15"/>
  <c r="J419" i="15"/>
  <c r="J418" i="15"/>
  <c r="J417" i="15"/>
  <c r="J416" i="15"/>
  <c r="J415" i="15"/>
  <c r="J414" i="15"/>
  <c r="J413" i="15"/>
  <c r="J412" i="15"/>
  <c r="J411" i="15"/>
  <c r="J410" i="15"/>
  <c r="J409" i="15"/>
  <c r="J408" i="15"/>
  <c r="J407" i="15"/>
  <c r="J406" i="15"/>
  <c r="J405" i="15"/>
  <c r="J404" i="15"/>
  <c r="J403" i="15"/>
  <c r="J402" i="15"/>
  <c r="J401" i="15"/>
  <c r="J400" i="15"/>
  <c r="J399" i="15"/>
  <c r="J398" i="15"/>
  <c r="J397" i="15"/>
  <c r="J396" i="15"/>
  <c r="J395" i="15"/>
  <c r="J394" i="15"/>
  <c r="J393" i="15"/>
  <c r="J392" i="15"/>
  <c r="J391" i="15"/>
  <c r="J390" i="15"/>
  <c r="J389" i="15"/>
  <c r="J388" i="15"/>
  <c r="J387" i="15"/>
  <c r="J386" i="15"/>
  <c r="J385" i="15"/>
  <c r="J384" i="15"/>
  <c r="J383" i="15"/>
  <c r="J382" i="15"/>
  <c r="J381" i="15"/>
  <c r="J380" i="15"/>
  <c r="J379" i="15"/>
  <c r="J378" i="15"/>
  <c r="J377" i="15"/>
  <c r="J376" i="15"/>
  <c r="J375" i="15"/>
  <c r="J374" i="15"/>
  <c r="J373" i="15"/>
  <c r="J372" i="15"/>
  <c r="J371" i="15"/>
  <c r="J370" i="15"/>
  <c r="J369" i="15"/>
  <c r="J368" i="15"/>
  <c r="J367" i="15"/>
  <c r="J366" i="15"/>
  <c r="J365" i="15"/>
  <c r="J364" i="15"/>
  <c r="J363" i="15"/>
  <c r="J362" i="15"/>
  <c r="J361" i="15"/>
  <c r="J360" i="15"/>
  <c r="J359" i="15"/>
  <c r="J358" i="15"/>
  <c r="J357" i="15"/>
  <c r="J356" i="15"/>
  <c r="J355" i="15"/>
  <c r="J354" i="15"/>
  <c r="J353" i="15"/>
  <c r="J352" i="15"/>
  <c r="J351" i="15"/>
  <c r="J350" i="15"/>
  <c r="J349" i="15"/>
  <c r="J348" i="15"/>
  <c r="J347" i="15"/>
  <c r="J346" i="15"/>
  <c r="J345" i="15"/>
  <c r="J344" i="15"/>
  <c r="J343" i="15"/>
  <c r="J342" i="15"/>
  <c r="J341" i="15"/>
  <c r="J340" i="15"/>
  <c r="J339" i="15"/>
  <c r="J338" i="15"/>
  <c r="J337" i="15"/>
  <c r="J336" i="15"/>
  <c r="J335" i="15"/>
  <c r="J334" i="15"/>
  <c r="J333" i="15"/>
  <c r="J332" i="15"/>
  <c r="J331" i="15"/>
  <c r="J330" i="15"/>
  <c r="J329" i="15"/>
  <c r="J328" i="15"/>
  <c r="J327" i="15"/>
  <c r="J326" i="15"/>
  <c r="J325" i="15"/>
  <c r="J324" i="15"/>
  <c r="J323" i="15"/>
  <c r="J322" i="15"/>
  <c r="J321" i="15"/>
  <c r="J320" i="15"/>
  <c r="J319" i="15"/>
  <c r="J318" i="15"/>
  <c r="J317" i="15"/>
  <c r="J316" i="15"/>
  <c r="J315" i="15"/>
  <c r="J314" i="15"/>
  <c r="J313" i="15"/>
  <c r="J312" i="15"/>
  <c r="J311" i="15"/>
  <c r="J310" i="15"/>
  <c r="J309" i="15"/>
  <c r="J308" i="15"/>
  <c r="J307" i="15"/>
  <c r="J306" i="15"/>
  <c r="J305" i="15"/>
  <c r="J304" i="15"/>
  <c r="J303" i="15"/>
  <c r="J302" i="15"/>
  <c r="J301" i="15"/>
  <c r="J300" i="15"/>
  <c r="J299" i="15"/>
  <c r="J298" i="15"/>
  <c r="J297" i="15"/>
  <c r="J296" i="15"/>
  <c r="J295" i="15"/>
  <c r="J294" i="15"/>
  <c r="J293" i="15"/>
  <c r="J292" i="15"/>
  <c r="J291" i="15"/>
  <c r="J290" i="15"/>
  <c r="J289" i="15"/>
  <c r="J288" i="15"/>
  <c r="J287" i="15"/>
  <c r="J286" i="15"/>
  <c r="J285" i="15"/>
  <c r="J284" i="15"/>
  <c r="J283" i="15"/>
  <c r="J282" i="15"/>
  <c r="J281" i="15"/>
  <c r="J280" i="15"/>
  <c r="J279" i="15"/>
  <c r="J278" i="15"/>
  <c r="J277" i="15"/>
  <c r="J276" i="15"/>
  <c r="J275" i="15"/>
  <c r="J274" i="15"/>
  <c r="J273" i="15"/>
  <c r="J272" i="15"/>
  <c r="J271" i="15"/>
  <c r="J270" i="15"/>
  <c r="J269" i="15"/>
  <c r="J268" i="15"/>
  <c r="J267" i="15"/>
  <c r="J266" i="15"/>
  <c r="J265" i="15"/>
  <c r="J264" i="15"/>
  <c r="J263" i="15"/>
  <c r="J262" i="15"/>
  <c r="J261" i="15"/>
  <c r="J260" i="15"/>
  <c r="J259" i="15"/>
  <c r="J258" i="15"/>
  <c r="J257" i="15"/>
  <c r="J256" i="15"/>
  <c r="J255" i="15"/>
  <c r="J254" i="15"/>
  <c r="J253" i="15"/>
  <c r="J252" i="15"/>
  <c r="J251" i="15"/>
  <c r="J250" i="15"/>
  <c r="J249" i="15"/>
  <c r="J248" i="15"/>
  <c r="J247" i="15"/>
  <c r="J246" i="15"/>
  <c r="J245" i="15"/>
  <c r="J244" i="15"/>
  <c r="J243" i="15"/>
  <c r="J242" i="15"/>
  <c r="J241" i="15"/>
  <c r="J240" i="15"/>
  <c r="J239" i="15"/>
  <c r="J238" i="15"/>
  <c r="J237" i="15"/>
  <c r="J236" i="15"/>
  <c r="J235" i="15"/>
  <c r="J234" i="15"/>
  <c r="J233" i="15"/>
  <c r="J232" i="15"/>
  <c r="J231" i="15"/>
  <c r="J230" i="15"/>
  <c r="J229" i="15"/>
  <c r="J228" i="15"/>
  <c r="J227" i="15"/>
  <c r="J226" i="15"/>
  <c r="J225" i="15"/>
  <c r="J224" i="15"/>
  <c r="J223" i="15"/>
  <c r="J222" i="15"/>
  <c r="J221" i="15"/>
  <c r="J220" i="15"/>
  <c r="J219" i="15"/>
  <c r="J218" i="15"/>
  <c r="J217" i="15"/>
  <c r="J216" i="15"/>
  <c r="J215" i="15"/>
  <c r="J214" i="15"/>
  <c r="J213" i="15"/>
  <c r="J212" i="15"/>
  <c r="J211" i="15"/>
  <c r="J210" i="15"/>
  <c r="J209" i="15"/>
  <c r="J208" i="15"/>
  <c r="J207" i="15"/>
  <c r="J206" i="15"/>
  <c r="J205" i="15"/>
  <c r="J204" i="15"/>
  <c r="J203" i="15"/>
  <c r="J202" i="15"/>
  <c r="J201" i="15"/>
  <c r="J200" i="15"/>
  <c r="J199" i="15"/>
  <c r="J198" i="15"/>
  <c r="J197" i="15"/>
  <c r="J196" i="15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J183" i="15"/>
  <c r="J182" i="15"/>
  <c r="J181" i="15"/>
  <c r="J180" i="15"/>
  <c r="J179" i="15"/>
  <c r="J178" i="15"/>
  <c r="J177" i="15"/>
  <c r="J176" i="15"/>
  <c r="J175" i="15"/>
  <c r="J174" i="15"/>
  <c r="J173" i="15"/>
  <c r="J172" i="15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J138" i="15"/>
  <c r="J137" i="15"/>
  <c r="J136" i="15"/>
  <c r="J135" i="15"/>
  <c r="J134" i="15"/>
  <c r="J133" i="15"/>
  <c r="J132" i="15"/>
  <c r="J131" i="15"/>
  <c r="J130" i="15"/>
  <c r="J129" i="15"/>
  <c r="J128" i="15"/>
  <c r="J127" i="15"/>
  <c r="J126" i="15"/>
  <c r="J125" i="15"/>
  <c r="J124" i="15"/>
  <c r="J123" i="15"/>
  <c r="J122" i="15"/>
  <c r="J121" i="15"/>
  <c r="J120" i="15"/>
  <c r="J119" i="15"/>
  <c r="J118" i="15"/>
  <c r="J117" i="15"/>
  <c r="J116" i="15"/>
  <c r="J115" i="15"/>
  <c r="J114" i="15"/>
  <c r="J113" i="15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I10" i="19" s="1"/>
  <c r="J4" i="15"/>
  <c r="I304" i="12"/>
  <c r="H304" i="12"/>
  <c r="D304" i="12"/>
  <c r="C304" i="12"/>
  <c r="A304" i="12"/>
  <c r="B304" i="12" s="1"/>
  <c r="I303" i="12"/>
  <c r="F303" i="12"/>
  <c r="D303" i="12"/>
  <c r="C303" i="12"/>
  <c r="A303" i="12"/>
  <c r="B303" i="12" s="1"/>
  <c r="I302" i="12"/>
  <c r="G302" i="12"/>
  <c r="D302" i="12"/>
  <c r="C302" i="12"/>
  <c r="A302" i="12"/>
  <c r="B302" i="12" s="1"/>
  <c r="I301" i="12"/>
  <c r="G301" i="12"/>
  <c r="D301" i="12"/>
  <c r="C301" i="12"/>
  <c r="A301" i="12"/>
  <c r="B301" i="12" s="1"/>
  <c r="I300" i="12"/>
  <c r="F300" i="12"/>
  <c r="D300" i="12"/>
  <c r="C300" i="12"/>
  <c r="A300" i="12"/>
  <c r="B300" i="12" s="1"/>
  <c r="I299" i="12"/>
  <c r="G299" i="12"/>
  <c r="D299" i="12"/>
  <c r="C299" i="12"/>
  <c r="A299" i="12"/>
  <c r="B299" i="12" s="1"/>
  <c r="I298" i="12"/>
  <c r="G298" i="12"/>
  <c r="D298" i="12"/>
  <c r="C298" i="12"/>
  <c r="A298" i="12"/>
  <c r="B298" i="12" s="1"/>
  <c r="I297" i="12"/>
  <c r="G297" i="12"/>
  <c r="D297" i="12"/>
  <c r="C297" i="12"/>
  <c r="A297" i="12"/>
  <c r="B297" i="12" s="1"/>
  <c r="I296" i="12"/>
  <c r="G296" i="12"/>
  <c r="D296" i="12"/>
  <c r="C296" i="12"/>
  <c r="A296" i="12"/>
  <c r="B296" i="12" s="1"/>
  <c r="I295" i="12"/>
  <c r="G295" i="12"/>
  <c r="D295" i="12"/>
  <c r="C295" i="12"/>
  <c r="A295" i="12"/>
  <c r="B295" i="12" s="1"/>
  <c r="I294" i="12"/>
  <c r="G294" i="12"/>
  <c r="D294" i="12"/>
  <c r="C294" i="12"/>
  <c r="A294" i="12"/>
  <c r="B294" i="12" s="1"/>
  <c r="I293" i="12"/>
  <c r="G293" i="12"/>
  <c r="D293" i="12"/>
  <c r="C293" i="12"/>
  <c r="A293" i="12"/>
  <c r="B293" i="12" s="1"/>
  <c r="I292" i="12"/>
  <c r="G292" i="12"/>
  <c r="D292" i="12"/>
  <c r="C292" i="12"/>
  <c r="A292" i="12"/>
  <c r="B292" i="12" s="1"/>
  <c r="I291" i="12"/>
  <c r="G291" i="12"/>
  <c r="D291" i="12"/>
  <c r="C291" i="12"/>
  <c r="A291" i="12"/>
  <c r="B291" i="12" s="1"/>
  <c r="I290" i="12"/>
  <c r="G290" i="12"/>
  <c r="D290" i="12"/>
  <c r="C290" i="12"/>
  <c r="A290" i="12"/>
  <c r="B290" i="12" s="1"/>
  <c r="I289" i="12"/>
  <c r="G289" i="12"/>
  <c r="D289" i="12"/>
  <c r="C289" i="12"/>
  <c r="A289" i="12"/>
  <c r="B289" i="12" s="1"/>
  <c r="I288" i="12"/>
  <c r="G288" i="12"/>
  <c r="D288" i="12"/>
  <c r="C288" i="12"/>
  <c r="A288" i="12"/>
  <c r="B288" i="12" s="1"/>
  <c r="I287" i="12"/>
  <c r="G287" i="12"/>
  <c r="D287" i="12"/>
  <c r="C287" i="12"/>
  <c r="A287" i="12"/>
  <c r="B287" i="12" s="1"/>
  <c r="I286" i="12"/>
  <c r="G286" i="12"/>
  <c r="D286" i="12"/>
  <c r="C286" i="12"/>
  <c r="A286" i="12"/>
  <c r="B286" i="12" s="1"/>
  <c r="I285" i="12"/>
  <c r="G285" i="12"/>
  <c r="D285" i="12"/>
  <c r="C285" i="12"/>
  <c r="A285" i="12"/>
  <c r="B285" i="12" s="1"/>
  <c r="I284" i="12"/>
  <c r="G284" i="12"/>
  <c r="D284" i="12"/>
  <c r="C284" i="12"/>
  <c r="A284" i="12"/>
  <c r="B284" i="12" s="1"/>
  <c r="I283" i="12"/>
  <c r="G283" i="12"/>
  <c r="D283" i="12"/>
  <c r="C283" i="12"/>
  <c r="A283" i="12"/>
  <c r="B283" i="12" s="1"/>
  <c r="I282" i="12"/>
  <c r="G282" i="12"/>
  <c r="D282" i="12"/>
  <c r="C282" i="12"/>
  <c r="A282" i="12"/>
  <c r="B282" i="12" s="1"/>
  <c r="I281" i="12"/>
  <c r="G281" i="12"/>
  <c r="D281" i="12"/>
  <c r="C281" i="12"/>
  <c r="A281" i="12"/>
  <c r="B281" i="12" s="1"/>
  <c r="I280" i="12"/>
  <c r="G280" i="12"/>
  <c r="D280" i="12"/>
  <c r="C280" i="12"/>
  <c r="A280" i="12"/>
  <c r="B280" i="12" s="1"/>
  <c r="I279" i="12"/>
  <c r="G279" i="12"/>
  <c r="D279" i="12"/>
  <c r="C279" i="12"/>
  <c r="A279" i="12"/>
  <c r="B279" i="12" s="1"/>
  <c r="I278" i="12"/>
  <c r="G278" i="12"/>
  <c r="D278" i="12"/>
  <c r="C278" i="12"/>
  <c r="A278" i="12"/>
  <c r="B278" i="12" s="1"/>
  <c r="I277" i="12"/>
  <c r="G277" i="12"/>
  <c r="D277" i="12"/>
  <c r="C277" i="12"/>
  <c r="A277" i="12"/>
  <c r="B277" i="12" s="1"/>
  <c r="I276" i="12"/>
  <c r="G276" i="12"/>
  <c r="D276" i="12"/>
  <c r="C276" i="12"/>
  <c r="A276" i="12"/>
  <c r="B276" i="12" s="1"/>
  <c r="I275" i="12"/>
  <c r="G275" i="12"/>
  <c r="D275" i="12"/>
  <c r="C275" i="12"/>
  <c r="A275" i="12"/>
  <c r="B275" i="12" s="1"/>
  <c r="I274" i="12"/>
  <c r="G274" i="12"/>
  <c r="D274" i="12"/>
  <c r="C274" i="12"/>
  <c r="A274" i="12"/>
  <c r="B274" i="12" s="1"/>
  <c r="I273" i="12"/>
  <c r="G273" i="12"/>
  <c r="D273" i="12"/>
  <c r="C273" i="12"/>
  <c r="A273" i="12"/>
  <c r="B273" i="12" s="1"/>
  <c r="I272" i="12"/>
  <c r="G272" i="12"/>
  <c r="D272" i="12"/>
  <c r="C272" i="12"/>
  <c r="A272" i="12"/>
  <c r="B272" i="12" s="1"/>
  <c r="I271" i="12"/>
  <c r="G271" i="12"/>
  <c r="D271" i="12"/>
  <c r="C271" i="12"/>
  <c r="A271" i="12"/>
  <c r="B271" i="12" s="1"/>
  <c r="I270" i="12"/>
  <c r="G270" i="12"/>
  <c r="D270" i="12"/>
  <c r="C270" i="12"/>
  <c r="A270" i="12"/>
  <c r="B270" i="12" s="1"/>
  <c r="I269" i="12"/>
  <c r="G269" i="12"/>
  <c r="D269" i="12"/>
  <c r="C269" i="12"/>
  <c r="A269" i="12"/>
  <c r="B269" i="12" s="1"/>
  <c r="I268" i="12"/>
  <c r="G268" i="12"/>
  <c r="D268" i="12"/>
  <c r="C268" i="12"/>
  <c r="A268" i="12"/>
  <c r="B268" i="12" s="1"/>
  <c r="I267" i="12"/>
  <c r="G267" i="12"/>
  <c r="D267" i="12"/>
  <c r="C267" i="12"/>
  <c r="A267" i="12"/>
  <c r="B267" i="12" s="1"/>
  <c r="I266" i="12"/>
  <c r="G266" i="12"/>
  <c r="D266" i="12"/>
  <c r="C266" i="12"/>
  <c r="A266" i="12"/>
  <c r="B266" i="12" s="1"/>
  <c r="I265" i="12"/>
  <c r="G265" i="12"/>
  <c r="D265" i="12"/>
  <c r="C265" i="12"/>
  <c r="A265" i="12"/>
  <c r="B265" i="12" s="1"/>
  <c r="I264" i="12"/>
  <c r="G264" i="12"/>
  <c r="D264" i="12"/>
  <c r="C264" i="12"/>
  <c r="A264" i="12"/>
  <c r="B264" i="12" s="1"/>
  <c r="I263" i="12"/>
  <c r="G263" i="12"/>
  <c r="D263" i="12"/>
  <c r="C263" i="12"/>
  <c r="A263" i="12"/>
  <c r="B263" i="12" s="1"/>
  <c r="I262" i="12"/>
  <c r="G262" i="12"/>
  <c r="D262" i="12"/>
  <c r="C262" i="12"/>
  <c r="A262" i="12"/>
  <c r="B262" i="12" s="1"/>
  <c r="I261" i="12"/>
  <c r="G261" i="12"/>
  <c r="D261" i="12"/>
  <c r="C261" i="12"/>
  <c r="A261" i="12"/>
  <c r="B261" i="12" s="1"/>
  <c r="I260" i="12"/>
  <c r="G260" i="12"/>
  <c r="D260" i="12"/>
  <c r="C260" i="12"/>
  <c r="A260" i="12"/>
  <c r="B260" i="12" s="1"/>
  <c r="I259" i="12"/>
  <c r="G259" i="12"/>
  <c r="D259" i="12"/>
  <c r="C259" i="12"/>
  <c r="A259" i="12"/>
  <c r="B259" i="12" s="1"/>
  <c r="I258" i="12"/>
  <c r="G258" i="12"/>
  <c r="D258" i="12"/>
  <c r="C258" i="12"/>
  <c r="A258" i="12"/>
  <c r="B258" i="12" s="1"/>
  <c r="I257" i="12"/>
  <c r="G257" i="12"/>
  <c r="D257" i="12"/>
  <c r="C257" i="12"/>
  <c r="A257" i="12"/>
  <c r="B257" i="12" s="1"/>
  <c r="I256" i="12"/>
  <c r="G256" i="12"/>
  <c r="D256" i="12"/>
  <c r="C256" i="12"/>
  <c r="A256" i="12"/>
  <c r="B256" i="12" s="1"/>
  <c r="I255" i="12"/>
  <c r="G255" i="12"/>
  <c r="D255" i="12"/>
  <c r="C255" i="12"/>
  <c r="A255" i="12"/>
  <c r="B255" i="12" s="1"/>
  <c r="I254" i="12"/>
  <c r="G254" i="12"/>
  <c r="D254" i="12"/>
  <c r="C254" i="12"/>
  <c r="A254" i="12"/>
  <c r="B254" i="12" s="1"/>
  <c r="I253" i="12"/>
  <c r="G253" i="12"/>
  <c r="D253" i="12"/>
  <c r="C253" i="12"/>
  <c r="A253" i="12"/>
  <c r="B253" i="12" s="1"/>
  <c r="I252" i="12"/>
  <c r="G252" i="12"/>
  <c r="D252" i="12"/>
  <c r="C252" i="12"/>
  <c r="A252" i="12"/>
  <c r="B252" i="12" s="1"/>
  <c r="I251" i="12"/>
  <c r="G251" i="12"/>
  <c r="D251" i="12"/>
  <c r="C251" i="12"/>
  <c r="A251" i="12"/>
  <c r="B251" i="12" s="1"/>
  <c r="I250" i="12"/>
  <c r="G250" i="12"/>
  <c r="D250" i="12"/>
  <c r="C250" i="12"/>
  <c r="A250" i="12"/>
  <c r="B250" i="12" s="1"/>
  <c r="I249" i="12"/>
  <c r="G249" i="12"/>
  <c r="D249" i="12"/>
  <c r="C249" i="12"/>
  <c r="A249" i="12"/>
  <c r="B249" i="12" s="1"/>
  <c r="I248" i="12"/>
  <c r="G248" i="12"/>
  <c r="D248" i="12"/>
  <c r="C248" i="12"/>
  <c r="A248" i="12"/>
  <c r="B248" i="12" s="1"/>
  <c r="I247" i="12"/>
  <c r="G247" i="12"/>
  <c r="D247" i="12"/>
  <c r="C247" i="12"/>
  <c r="A247" i="12"/>
  <c r="B247" i="12" s="1"/>
  <c r="I246" i="12"/>
  <c r="G246" i="12"/>
  <c r="D246" i="12"/>
  <c r="C246" i="12"/>
  <c r="A246" i="12"/>
  <c r="B246" i="12" s="1"/>
  <c r="I245" i="12"/>
  <c r="G245" i="12"/>
  <c r="D245" i="12"/>
  <c r="C245" i="12"/>
  <c r="A245" i="12"/>
  <c r="B245" i="12" s="1"/>
  <c r="I244" i="12"/>
  <c r="G244" i="12"/>
  <c r="D244" i="12"/>
  <c r="C244" i="12"/>
  <c r="A244" i="12"/>
  <c r="B244" i="12" s="1"/>
  <c r="I243" i="12"/>
  <c r="G243" i="12"/>
  <c r="D243" i="12"/>
  <c r="C243" i="12"/>
  <c r="A243" i="12"/>
  <c r="B243" i="12" s="1"/>
  <c r="I242" i="12"/>
  <c r="G242" i="12"/>
  <c r="D242" i="12"/>
  <c r="C242" i="12"/>
  <c r="A242" i="12"/>
  <c r="B242" i="12" s="1"/>
  <c r="I241" i="12"/>
  <c r="G241" i="12"/>
  <c r="D241" i="12"/>
  <c r="C241" i="12"/>
  <c r="A241" i="12"/>
  <c r="B241" i="12" s="1"/>
  <c r="I240" i="12"/>
  <c r="G240" i="12"/>
  <c r="D240" i="12"/>
  <c r="C240" i="12"/>
  <c r="A240" i="12"/>
  <c r="B240" i="12" s="1"/>
  <c r="I239" i="12"/>
  <c r="G239" i="12"/>
  <c r="D239" i="12"/>
  <c r="C239" i="12"/>
  <c r="A239" i="12"/>
  <c r="B239" i="12" s="1"/>
  <c r="I238" i="12"/>
  <c r="G238" i="12"/>
  <c r="D238" i="12"/>
  <c r="C238" i="12"/>
  <c r="A238" i="12"/>
  <c r="B238" i="12" s="1"/>
  <c r="I237" i="12"/>
  <c r="G237" i="12"/>
  <c r="D237" i="12"/>
  <c r="C237" i="12"/>
  <c r="A237" i="12"/>
  <c r="B237" i="12" s="1"/>
  <c r="I236" i="12"/>
  <c r="G236" i="12"/>
  <c r="D236" i="12"/>
  <c r="C236" i="12"/>
  <c r="A236" i="12"/>
  <c r="B236" i="12" s="1"/>
  <c r="I235" i="12"/>
  <c r="G235" i="12"/>
  <c r="D235" i="12"/>
  <c r="C235" i="12"/>
  <c r="A235" i="12"/>
  <c r="B235" i="12" s="1"/>
  <c r="I234" i="12"/>
  <c r="G234" i="12"/>
  <c r="D234" i="12"/>
  <c r="C234" i="12"/>
  <c r="A234" i="12"/>
  <c r="I233" i="12"/>
  <c r="D233" i="12"/>
  <c r="C233" i="12"/>
  <c r="A233" i="12"/>
  <c r="I232" i="12"/>
  <c r="G232" i="12"/>
  <c r="D232" i="12"/>
  <c r="C232" i="12"/>
  <c r="A232" i="12"/>
  <c r="I231" i="12"/>
  <c r="D231" i="12"/>
  <c r="C231" i="12"/>
  <c r="A231" i="12"/>
  <c r="I230" i="12"/>
  <c r="D230" i="12"/>
  <c r="C230" i="12"/>
  <c r="A230" i="12"/>
  <c r="I229" i="12"/>
  <c r="G229" i="12"/>
  <c r="D229" i="12"/>
  <c r="C229" i="12"/>
  <c r="A229" i="12"/>
  <c r="I228" i="12"/>
  <c r="D228" i="12"/>
  <c r="C228" i="12"/>
  <c r="A228" i="12"/>
  <c r="I227" i="12"/>
  <c r="D227" i="12"/>
  <c r="C227" i="12"/>
  <c r="A227" i="12"/>
  <c r="I226" i="12"/>
  <c r="G226" i="12"/>
  <c r="D226" i="12"/>
  <c r="C226" i="12"/>
  <c r="A226" i="12"/>
  <c r="I225" i="12"/>
  <c r="D225" i="12"/>
  <c r="C225" i="12"/>
  <c r="A225" i="12"/>
  <c r="I224" i="12"/>
  <c r="G224" i="12"/>
  <c r="D224" i="12"/>
  <c r="C224" i="12"/>
  <c r="A224" i="12"/>
  <c r="I223" i="12"/>
  <c r="D223" i="12"/>
  <c r="C223" i="12"/>
  <c r="A223" i="12"/>
  <c r="I222" i="12"/>
  <c r="D222" i="12"/>
  <c r="C222" i="12"/>
  <c r="A222" i="12"/>
  <c r="I221" i="12"/>
  <c r="G221" i="12"/>
  <c r="D221" i="12"/>
  <c r="C221" i="12"/>
  <c r="A221" i="12"/>
  <c r="I220" i="12"/>
  <c r="D220" i="12"/>
  <c r="C220" i="12"/>
  <c r="A220" i="12"/>
  <c r="I219" i="12"/>
  <c r="D219" i="12"/>
  <c r="C219" i="12"/>
  <c r="A219" i="12"/>
  <c r="I218" i="12"/>
  <c r="H218" i="12"/>
  <c r="D218" i="12"/>
  <c r="C218" i="12"/>
  <c r="B218" i="12"/>
  <c r="A218" i="12"/>
  <c r="F218" i="12" s="1"/>
  <c r="I217" i="12"/>
  <c r="D217" i="12"/>
  <c r="C217" i="12"/>
  <c r="A217" i="12"/>
  <c r="I216" i="12"/>
  <c r="H216" i="12"/>
  <c r="G216" i="12"/>
  <c r="D216" i="12"/>
  <c r="C216" i="12"/>
  <c r="A216" i="12"/>
  <c r="F216" i="12" s="1"/>
  <c r="I215" i="12"/>
  <c r="G215" i="12"/>
  <c r="F215" i="12"/>
  <c r="D215" i="12"/>
  <c r="C215" i="12"/>
  <c r="A215" i="12"/>
  <c r="B215" i="12" s="1"/>
  <c r="I214" i="12"/>
  <c r="G214" i="12"/>
  <c r="F214" i="12"/>
  <c r="D214" i="12"/>
  <c r="C214" i="12"/>
  <c r="A214" i="12"/>
  <c r="B214" i="12" s="1"/>
  <c r="I213" i="12"/>
  <c r="G213" i="12"/>
  <c r="F213" i="12"/>
  <c r="D213" i="12"/>
  <c r="C213" i="12"/>
  <c r="A213" i="12"/>
  <c r="B213" i="12" s="1"/>
  <c r="I212" i="12"/>
  <c r="G212" i="12"/>
  <c r="F212" i="12"/>
  <c r="D212" i="12"/>
  <c r="C212" i="12"/>
  <c r="A212" i="12"/>
  <c r="B212" i="12" s="1"/>
  <c r="I211" i="12"/>
  <c r="G211" i="12"/>
  <c r="F211" i="12"/>
  <c r="D211" i="12"/>
  <c r="C211" i="12"/>
  <c r="A211" i="12"/>
  <c r="B211" i="12" s="1"/>
  <c r="I210" i="12"/>
  <c r="G210" i="12"/>
  <c r="F210" i="12"/>
  <c r="D210" i="12"/>
  <c r="C210" i="12"/>
  <c r="A210" i="12"/>
  <c r="B210" i="12" s="1"/>
  <c r="I209" i="12"/>
  <c r="G209" i="12"/>
  <c r="F209" i="12"/>
  <c r="D209" i="12"/>
  <c r="C209" i="12"/>
  <c r="A209" i="12"/>
  <c r="B209" i="12" s="1"/>
  <c r="I208" i="12"/>
  <c r="G208" i="12"/>
  <c r="F208" i="12"/>
  <c r="D208" i="12"/>
  <c r="C208" i="12"/>
  <c r="A208" i="12"/>
  <c r="B208" i="12" s="1"/>
  <c r="I207" i="12"/>
  <c r="G207" i="12"/>
  <c r="F207" i="12"/>
  <c r="D207" i="12"/>
  <c r="C207" i="12"/>
  <c r="A207" i="12"/>
  <c r="B207" i="12" s="1"/>
  <c r="I206" i="12"/>
  <c r="G206" i="12"/>
  <c r="F206" i="12"/>
  <c r="D206" i="12"/>
  <c r="C206" i="12"/>
  <c r="A206" i="12"/>
  <c r="B206" i="12" s="1"/>
  <c r="I205" i="12"/>
  <c r="D205" i="12"/>
  <c r="C205" i="12"/>
  <c r="A205" i="12"/>
  <c r="I204" i="12"/>
  <c r="F204" i="12"/>
  <c r="D204" i="12"/>
  <c r="C204" i="12"/>
  <c r="A204" i="12"/>
  <c r="I203" i="12"/>
  <c r="D203" i="12"/>
  <c r="C203" i="12"/>
  <c r="A203" i="12"/>
  <c r="I202" i="12"/>
  <c r="G202" i="12"/>
  <c r="F202" i="12"/>
  <c r="D202" i="12"/>
  <c r="C202" i="12"/>
  <c r="A202" i="12"/>
  <c r="I201" i="12"/>
  <c r="G201" i="12"/>
  <c r="D201" i="12"/>
  <c r="C201" i="12"/>
  <c r="A201" i="12"/>
  <c r="I200" i="12"/>
  <c r="D200" i="12"/>
  <c r="C200" i="12"/>
  <c r="A200" i="12"/>
  <c r="I199" i="12"/>
  <c r="G199" i="12"/>
  <c r="D199" i="12"/>
  <c r="C199" i="12"/>
  <c r="A199" i="12"/>
  <c r="I198" i="12"/>
  <c r="G198" i="12"/>
  <c r="F198" i="12"/>
  <c r="D198" i="12"/>
  <c r="C198" i="12"/>
  <c r="A198" i="12"/>
  <c r="I197" i="12"/>
  <c r="D197" i="12"/>
  <c r="C197" i="12"/>
  <c r="A197" i="12"/>
  <c r="I196" i="12"/>
  <c r="F196" i="12"/>
  <c r="D196" i="12"/>
  <c r="C196" i="12"/>
  <c r="A196" i="12"/>
  <c r="I195" i="12"/>
  <c r="G195" i="12"/>
  <c r="D195" i="12"/>
  <c r="C195" i="12"/>
  <c r="A195" i="12"/>
  <c r="I194" i="12"/>
  <c r="G194" i="12"/>
  <c r="F194" i="12"/>
  <c r="D194" i="12"/>
  <c r="C194" i="12"/>
  <c r="A194" i="12"/>
  <c r="I193" i="12"/>
  <c r="G193" i="12"/>
  <c r="D193" i="12"/>
  <c r="C193" i="12"/>
  <c r="A193" i="12"/>
  <c r="I192" i="12"/>
  <c r="F192" i="12"/>
  <c r="D192" i="12"/>
  <c r="C192" i="12"/>
  <c r="A192" i="12"/>
  <c r="I191" i="12"/>
  <c r="D191" i="12"/>
  <c r="C191" i="12"/>
  <c r="A191" i="12"/>
  <c r="I190" i="12"/>
  <c r="G190" i="12"/>
  <c r="F190" i="12"/>
  <c r="D190" i="12"/>
  <c r="C190" i="12"/>
  <c r="A190" i="12"/>
  <c r="I189" i="12"/>
  <c r="G189" i="12"/>
  <c r="D189" i="12"/>
  <c r="C189" i="12"/>
  <c r="A189" i="12"/>
  <c r="I188" i="12"/>
  <c r="D188" i="12"/>
  <c r="C188" i="12"/>
  <c r="A188" i="12"/>
  <c r="I187" i="12"/>
  <c r="G187" i="12"/>
  <c r="D187" i="12"/>
  <c r="C187" i="12"/>
  <c r="A187" i="12"/>
  <c r="I186" i="12"/>
  <c r="G186" i="12"/>
  <c r="F186" i="12"/>
  <c r="D186" i="12"/>
  <c r="C186" i="12"/>
  <c r="A186" i="12"/>
  <c r="I185" i="12"/>
  <c r="D185" i="12"/>
  <c r="C185" i="12"/>
  <c r="A185" i="12"/>
  <c r="I184" i="12"/>
  <c r="F184" i="12"/>
  <c r="D184" i="12"/>
  <c r="C184" i="12"/>
  <c r="A184" i="12"/>
  <c r="I183" i="12"/>
  <c r="D183" i="12"/>
  <c r="C183" i="12"/>
  <c r="A183" i="12"/>
  <c r="I182" i="12"/>
  <c r="G182" i="12"/>
  <c r="F182" i="12"/>
  <c r="D182" i="12"/>
  <c r="C182" i="12"/>
  <c r="A182" i="12"/>
  <c r="I181" i="12"/>
  <c r="G181" i="12"/>
  <c r="D181" i="12"/>
  <c r="C181" i="12"/>
  <c r="A181" i="12"/>
  <c r="I180" i="12"/>
  <c r="D180" i="12"/>
  <c r="C180" i="12"/>
  <c r="A180" i="12"/>
  <c r="I179" i="12"/>
  <c r="D179" i="12"/>
  <c r="C179" i="12"/>
  <c r="A179" i="12"/>
  <c r="I178" i="12"/>
  <c r="G178" i="12"/>
  <c r="F178" i="12"/>
  <c r="D178" i="12"/>
  <c r="C178" i="12"/>
  <c r="A178" i="12"/>
  <c r="I177" i="12"/>
  <c r="D177" i="12"/>
  <c r="C177" i="12"/>
  <c r="A177" i="12"/>
  <c r="I176" i="12"/>
  <c r="D176" i="12"/>
  <c r="C176" i="12"/>
  <c r="A176" i="12"/>
  <c r="I175" i="12"/>
  <c r="G175" i="12"/>
  <c r="D175" i="12"/>
  <c r="C175" i="12"/>
  <c r="A175" i="12"/>
  <c r="I174" i="12"/>
  <c r="G174" i="12"/>
  <c r="F174" i="12"/>
  <c r="D174" i="12"/>
  <c r="C174" i="12"/>
  <c r="A174" i="12"/>
  <c r="I173" i="12"/>
  <c r="D173" i="12"/>
  <c r="C173" i="12"/>
  <c r="A173" i="12"/>
  <c r="I172" i="12"/>
  <c r="F172" i="12"/>
  <c r="D172" i="12"/>
  <c r="C172" i="12"/>
  <c r="A172" i="12"/>
  <c r="I171" i="12"/>
  <c r="D171" i="12"/>
  <c r="C171" i="12"/>
  <c r="A171" i="12"/>
  <c r="I170" i="12"/>
  <c r="G170" i="12"/>
  <c r="F170" i="12"/>
  <c r="D170" i="12"/>
  <c r="C170" i="12"/>
  <c r="A170" i="12"/>
  <c r="I169" i="12"/>
  <c r="G169" i="12"/>
  <c r="D169" i="12"/>
  <c r="C169" i="12"/>
  <c r="A169" i="12"/>
  <c r="I168" i="12"/>
  <c r="D168" i="12"/>
  <c r="C168" i="12"/>
  <c r="A168" i="12"/>
  <c r="I167" i="12"/>
  <c r="G167" i="12"/>
  <c r="D167" i="12"/>
  <c r="C167" i="12"/>
  <c r="A167" i="12"/>
  <c r="I166" i="12"/>
  <c r="G166" i="12"/>
  <c r="F166" i="12"/>
  <c r="D166" i="12"/>
  <c r="C166" i="12"/>
  <c r="A166" i="12"/>
  <c r="I165" i="12"/>
  <c r="D165" i="12"/>
  <c r="C165" i="12"/>
  <c r="A165" i="12"/>
  <c r="I164" i="12"/>
  <c r="F164" i="12"/>
  <c r="D164" i="12"/>
  <c r="C164" i="12"/>
  <c r="A164" i="12"/>
  <c r="I163" i="12"/>
  <c r="D163" i="12"/>
  <c r="C163" i="12"/>
  <c r="A163" i="12"/>
  <c r="I162" i="12"/>
  <c r="G162" i="12"/>
  <c r="F162" i="12"/>
  <c r="D162" i="12"/>
  <c r="C162" i="12"/>
  <c r="A162" i="12"/>
  <c r="I161" i="12"/>
  <c r="G161" i="12"/>
  <c r="D161" i="12"/>
  <c r="C161" i="12"/>
  <c r="A161" i="12"/>
  <c r="I160" i="12"/>
  <c r="D160" i="12"/>
  <c r="C160" i="12"/>
  <c r="A160" i="12"/>
  <c r="F160" i="12" s="1"/>
  <c r="I159" i="12"/>
  <c r="D159" i="12"/>
  <c r="C159" i="12"/>
  <c r="A159" i="12"/>
  <c r="I158" i="12"/>
  <c r="G158" i="12"/>
  <c r="F158" i="12"/>
  <c r="D158" i="12"/>
  <c r="C158" i="12"/>
  <c r="A158" i="12"/>
  <c r="I157" i="12"/>
  <c r="D157" i="12"/>
  <c r="C157" i="12"/>
  <c r="A157" i="12"/>
  <c r="I156" i="12"/>
  <c r="D156" i="12"/>
  <c r="C156" i="12"/>
  <c r="A156" i="12"/>
  <c r="I155" i="12"/>
  <c r="G155" i="12"/>
  <c r="D155" i="12"/>
  <c r="C155" i="12"/>
  <c r="A155" i="12"/>
  <c r="I154" i="12"/>
  <c r="G154" i="12"/>
  <c r="F154" i="12"/>
  <c r="D154" i="12"/>
  <c r="C154" i="12"/>
  <c r="A154" i="12"/>
  <c r="I153" i="12"/>
  <c r="D153" i="12"/>
  <c r="C153" i="12"/>
  <c r="A153" i="12"/>
  <c r="I152" i="12"/>
  <c r="F152" i="12"/>
  <c r="D152" i="12"/>
  <c r="C152" i="12"/>
  <c r="A152" i="12"/>
  <c r="I151" i="12"/>
  <c r="D151" i="12"/>
  <c r="C151" i="12"/>
  <c r="A151" i="12"/>
  <c r="I150" i="12"/>
  <c r="G150" i="12"/>
  <c r="F150" i="12"/>
  <c r="D150" i="12"/>
  <c r="C150" i="12"/>
  <c r="A150" i="12"/>
  <c r="I149" i="12"/>
  <c r="G149" i="12"/>
  <c r="D149" i="12"/>
  <c r="C149" i="12"/>
  <c r="A149" i="12"/>
  <c r="I148" i="12"/>
  <c r="D148" i="12"/>
  <c r="C148" i="12"/>
  <c r="A148" i="12"/>
  <c r="I147" i="12"/>
  <c r="D147" i="12"/>
  <c r="C147" i="12"/>
  <c r="A147" i="12"/>
  <c r="I146" i="12"/>
  <c r="G146" i="12"/>
  <c r="F146" i="12"/>
  <c r="D146" i="12"/>
  <c r="C146" i="12"/>
  <c r="A146" i="12"/>
  <c r="I145" i="12"/>
  <c r="D145" i="12"/>
  <c r="C145" i="12"/>
  <c r="A145" i="12"/>
  <c r="I144" i="12"/>
  <c r="D144" i="12"/>
  <c r="C144" i="12"/>
  <c r="A144" i="12"/>
  <c r="I143" i="12"/>
  <c r="G143" i="12"/>
  <c r="D143" i="12"/>
  <c r="C143" i="12"/>
  <c r="A143" i="12"/>
  <c r="I142" i="12"/>
  <c r="G142" i="12"/>
  <c r="F142" i="12"/>
  <c r="D142" i="12"/>
  <c r="C142" i="12"/>
  <c r="A142" i="12"/>
  <c r="I141" i="12"/>
  <c r="D141" i="12"/>
  <c r="C141" i="12"/>
  <c r="A141" i="12"/>
  <c r="I140" i="12"/>
  <c r="F140" i="12"/>
  <c r="D140" i="12"/>
  <c r="C140" i="12"/>
  <c r="A140" i="12"/>
  <c r="I139" i="12"/>
  <c r="D139" i="12"/>
  <c r="C139" i="12"/>
  <c r="A139" i="12"/>
  <c r="I138" i="12"/>
  <c r="G138" i="12"/>
  <c r="F138" i="12"/>
  <c r="D138" i="12"/>
  <c r="C138" i="12"/>
  <c r="A138" i="12"/>
  <c r="I137" i="12"/>
  <c r="G137" i="12"/>
  <c r="D137" i="12"/>
  <c r="C137" i="12"/>
  <c r="A137" i="12"/>
  <c r="I136" i="12"/>
  <c r="D136" i="12"/>
  <c r="C136" i="12"/>
  <c r="A136" i="12"/>
  <c r="I135" i="12"/>
  <c r="H135" i="12"/>
  <c r="D135" i="12"/>
  <c r="C135" i="12"/>
  <c r="A135" i="12"/>
  <c r="I134" i="12"/>
  <c r="D134" i="12"/>
  <c r="C134" i="12"/>
  <c r="A134" i="12"/>
  <c r="I133" i="12"/>
  <c r="D133" i="12"/>
  <c r="C133" i="12"/>
  <c r="A133" i="12"/>
  <c r="I132" i="12"/>
  <c r="H132" i="12"/>
  <c r="D132" i="12"/>
  <c r="C132" i="12"/>
  <c r="A132" i="12"/>
  <c r="I131" i="12"/>
  <c r="D131" i="12"/>
  <c r="C131" i="12"/>
  <c r="A131" i="12"/>
  <c r="I130" i="12"/>
  <c r="D130" i="12"/>
  <c r="C130" i="12"/>
  <c r="A130" i="12"/>
  <c r="I129" i="12"/>
  <c r="H129" i="12"/>
  <c r="D129" i="12"/>
  <c r="C129" i="12"/>
  <c r="A129" i="12"/>
  <c r="I128" i="12"/>
  <c r="D128" i="12"/>
  <c r="C128" i="12"/>
  <c r="A128" i="12"/>
  <c r="I127" i="12"/>
  <c r="H127" i="12"/>
  <c r="D127" i="12"/>
  <c r="C127" i="12"/>
  <c r="A127" i="12"/>
  <c r="I126" i="12"/>
  <c r="D126" i="12"/>
  <c r="C126" i="12"/>
  <c r="A126" i="12"/>
  <c r="H126" i="12" s="1"/>
  <c r="I125" i="12"/>
  <c r="D125" i="12"/>
  <c r="C125" i="12"/>
  <c r="A125" i="12"/>
  <c r="I124" i="12"/>
  <c r="H124" i="12"/>
  <c r="D124" i="12"/>
  <c r="C124" i="12"/>
  <c r="A124" i="12"/>
  <c r="I123" i="12"/>
  <c r="D123" i="12"/>
  <c r="C123" i="12"/>
  <c r="A123" i="12"/>
  <c r="I122" i="12"/>
  <c r="D122" i="12"/>
  <c r="C122" i="12"/>
  <c r="A122" i="12"/>
  <c r="I121" i="12"/>
  <c r="H121" i="12"/>
  <c r="D121" i="12"/>
  <c r="C121" i="12"/>
  <c r="A121" i="12"/>
  <c r="I120" i="12"/>
  <c r="D120" i="12"/>
  <c r="C120" i="12"/>
  <c r="A120" i="12"/>
  <c r="I119" i="12"/>
  <c r="H119" i="12"/>
  <c r="D119" i="12"/>
  <c r="C119" i="12"/>
  <c r="A119" i="12"/>
  <c r="I118" i="12"/>
  <c r="D118" i="12"/>
  <c r="C118" i="12"/>
  <c r="A118" i="12"/>
  <c r="I117" i="12"/>
  <c r="D117" i="12"/>
  <c r="C117" i="12"/>
  <c r="A117" i="12"/>
  <c r="I116" i="12"/>
  <c r="H116" i="12"/>
  <c r="D116" i="12"/>
  <c r="C116" i="12"/>
  <c r="A116" i="12"/>
  <c r="I115" i="12"/>
  <c r="D115" i="12"/>
  <c r="C115" i="12"/>
  <c r="A115" i="12"/>
  <c r="I114" i="12"/>
  <c r="D114" i="12"/>
  <c r="C114" i="12"/>
  <c r="A114" i="12"/>
  <c r="I113" i="12"/>
  <c r="H113" i="12"/>
  <c r="D113" i="12"/>
  <c r="C113" i="12"/>
  <c r="A113" i="12"/>
  <c r="I112" i="12"/>
  <c r="D112" i="12"/>
  <c r="C112" i="12"/>
  <c r="A112" i="12"/>
  <c r="I111" i="12"/>
  <c r="H111" i="12"/>
  <c r="D111" i="12"/>
  <c r="C111" i="12"/>
  <c r="A111" i="12"/>
  <c r="I110" i="12"/>
  <c r="D110" i="12"/>
  <c r="C110" i="12"/>
  <c r="A110" i="12"/>
  <c r="H110" i="12" s="1"/>
  <c r="I109" i="12"/>
  <c r="D109" i="12"/>
  <c r="C109" i="12"/>
  <c r="A109" i="12"/>
  <c r="I108" i="12"/>
  <c r="H108" i="12"/>
  <c r="D108" i="12"/>
  <c r="C108" i="12"/>
  <c r="A108" i="12"/>
  <c r="I107" i="12"/>
  <c r="D107" i="12"/>
  <c r="C107" i="12"/>
  <c r="A107" i="12"/>
  <c r="I106" i="12"/>
  <c r="D106" i="12"/>
  <c r="C106" i="12"/>
  <c r="A106" i="12"/>
  <c r="I105" i="12"/>
  <c r="H105" i="12"/>
  <c r="D105" i="12"/>
  <c r="C105" i="12"/>
  <c r="A105" i="12"/>
  <c r="I104" i="12"/>
  <c r="D104" i="12"/>
  <c r="C104" i="12"/>
  <c r="A104" i="12"/>
  <c r="I103" i="12"/>
  <c r="H103" i="12"/>
  <c r="D103" i="12"/>
  <c r="C103" i="12"/>
  <c r="A103" i="12"/>
  <c r="I102" i="12"/>
  <c r="D102" i="12"/>
  <c r="C102" i="12"/>
  <c r="A102" i="12"/>
  <c r="I101" i="12"/>
  <c r="H101" i="12"/>
  <c r="D101" i="12"/>
  <c r="C101" i="12"/>
  <c r="A101" i="12"/>
  <c r="I100" i="12"/>
  <c r="D100" i="12"/>
  <c r="C100" i="12"/>
  <c r="A100" i="12"/>
  <c r="I99" i="12"/>
  <c r="D99" i="12"/>
  <c r="C99" i="12"/>
  <c r="A99" i="12"/>
  <c r="I98" i="12"/>
  <c r="D98" i="12"/>
  <c r="C98" i="12"/>
  <c r="A98" i="12"/>
  <c r="I97" i="12"/>
  <c r="H97" i="12"/>
  <c r="D97" i="12"/>
  <c r="C97" i="12"/>
  <c r="A97" i="12"/>
  <c r="I96" i="12"/>
  <c r="D96" i="12"/>
  <c r="C96" i="12"/>
  <c r="A96" i="12"/>
  <c r="I95" i="12"/>
  <c r="H95" i="12"/>
  <c r="D95" i="12"/>
  <c r="C95" i="12"/>
  <c r="A95" i="12"/>
  <c r="I94" i="12"/>
  <c r="H94" i="12"/>
  <c r="D94" i="12"/>
  <c r="C94" i="12"/>
  <c r="A94" i="12"/>
  <c r="I93" i="12"/>
  <c r="D93" i="12"/>
  <c r="C93" i="12"/>
  <c r="A93" i="12"/>
  <c r="I92" i="12"/>
  <c r="H92" i="12"/>
  <c r="D92" i="12"/>
  <c r="C92" i="12"/>
  <c r="A92" i="12"/>
  <c r="I91" i="12"/>
  <c r="D91" i="12"/>
  <c r="C91" i="12"/>
  <c r="A91" i="12"/>
  <c r="F91" i="12" s="1"/>
  <c r="I90" i="12"/>
  <c r="H90" i="12"/>
  <c r="D90" i="12"/>
  <c r="C90" i="12"/>
  <c r="A90" i="12"/>
  <c r="I89" i="12"/>
  <c r="H89" i="12"/>
  <c r="D89" i="12"/>
  <c r="C89" i="12"/>
  <c r="A89" i="12"/>
  <c r="I88" i="12"/>
  <c r="D88" i="12"/>
  <c r="C88" i="12"/>
  <c r="A88" i="12"/>
  <c r="I87" i="12"/>
  <c r="H87" i="12"/>
  <c r="F87" i="12"/>
  <c r="D87" i="12"/>
  <c r="C87" i="12"/>
  <c r="B87" i="12"/>
  <c r="A87" i="12"/>
  <c r="G87" i="12" s="1"/>
  <c r="I86" i="12"/>
  <c r="D86" i="12"/>
  <c r="C86" i="12"/>
  <c r="A86" i="12"/>
  <c r="I85" i="12"/>
  <c r="D85" i="12"/>
  <c r="C85" i="12"/>
  <c r="A85" i="12"/>
  <c r="H85" i="12" s="1"/>
  <c r="I84" i="12"/>
  <c r="D84" i="12"/>
  <c r="C84" i="12"/>
  <c r="A84" i="12"/>
  <c r="F84" i="12" s="1"/>
  <c r="I83" i="12"/>
  <c r="H83" i="12"/>
  <c r="D83" i="12"/>
  <c r="C83" i="12"/>
  <c r="A83" i="12"/>
  <c r="I82" i="12"/>
  <c r="H82" i="12"/>
  <c r="F82" i="12"/>
  <c r="D82" i="12"/>
  <c r="C82" i="12"/>
  <c r="A82" i="12"/>
  <c r="G82" i="12" s="1"/>
  <c r="I81" i="12"/>
  <c r="H81" i="12"/>
  <c r="F81" i="12"/>
  <c r="D81" i="12"/>
  <c r="C81" i="12"/>
  <c r="B81" i="12"/>
  <c r="A81" i="12"/>
  <c r="G81" i="12" s="1"/>
  <c r="I80" i="12"/>
  <c r="D80" i="12"/>
  <c r="C80" i="12"/>
  <c r="A80" i="12"/>
  <c r="H80" i="12" s="1"/>
  <c r="I79" i="12"/>
  <c r="F79" i="12"/>
  <c r="D79" i="12"/>
  <c r="C79" i="12"/>
  <c r="B79" i="12"/>
  <c r="A79" i="12"/>
  <c r="G79" i="12" s="1"/>
  <c r="I78" i="12"/>
  <c r="D78" i="12"/>
  <c r="C78" i="12"/>
  <c r="B78" i="12"/>
  <c r="A78" i="12"/>
  <c r="I77" i="12"/>
  <c r="H77" i="12"/>
  <c r="D77" i="12"/>
  <c r="C77" i="12"/>
  <c r="B77" i="12"/>
  <c r="A77" i="12"/>
  <c r="I76" i="12"/>
  <c r="D76" i="12"/>
  <c r="C76" i="12"/>
  <c r="A76" i="12"/>
  <c r="G76" i="12" s="1"/>
  <c r="I75" i="12"/>
  <c r="H75" i="12"/>
  <c r="D75" i="12"/>
  <c r="C75" i="12"/>
  <c r="A75" i="12"/>
  <c r="I74" i="12"/>
  <c r="H74" i="12"/>
  <c r="F74" i="12"/>
  <c r="D74" i="12"/>
  <c r="C74" i="12"/>
  <c r="A74" i="12"/>
  <c r="G74" i="12" s="1"/>
  <c r="I73" i="12"/>
  <c r="H73" i="12"/>
  <c r="F73" i="12"/>
  <c r="D73" i="12"/>
  <c r="C73" i="12"/>
  <c r="B73" i="12"/>
  <c r="A73" i="12"/>
  <c r="G73" i="12" s="1"/>
  <c r="I72" i="12"/>
  <c r="D72" i="12"/>
  <c r="C72" i="12"/>
  <c r="A72" i="12"/>
  <c r="G72" i="12" s="1"/>
  <c r="I71" i="12"/>
  <c r="D71" i="12"/>
  <c r="C71" i="12"/>
  <c r="A71" i="12"/>
  <c r="F71" i="12" s="1"/>
  <c r="I70" i="12"/>
  <c r="D70" i="12"/>
  <c r="C70" i="12"/>
  <c r="B70" i="12"/>
  <c r="A70" i="12"/>
  <c r="I69" i="12"/>
  <c r="H69" i="12"/>
  <c r="D69" i="12"/>
  <c r="C69" i="12"/>
  <c r="B69" i="12"/>
  <c r="A69" i="12"/>
  <c r="I68" i="12"/>
  <c r="D68" i="12"/>
  <c r="C68" i="12"/>
  <c r="A68" i="12"/>
  <c r="F68" i="12" s="1"/>
  <c r="I67" i="12"/>
  <c r="H67" i="12"/>
  <c r="G67" i="12"/>
  <c r="D67" i="12"/>
  <c r="C67" i="12"/>
  <c r="B67" i="12"/>
  <c r="A67" i="12"/>
  <c r="F67" i="12" s="1"/>
  <c r="I66" i="12"/>
  <c r="D66" i="12"/>
  <c r="C66" i="12"/>
  <c r="A66" i="12"/>
  <c r="F66" i="12" s="1"/>
  <c r="I65" i="12"/>
  <c r="H65" i="12"/>
  <c r="D65" i="12"/>
  <c r="C65" i="12"/>
  <c r="A65" i="12"/>
  <c r="F65" i="12" s="1"/>
  <c r="I64" i="12"/>
  <c r="G64" i="12"/>
  <c r="D64" i="12"/>
  <c r="C64" i="12"/>
  <c r="A64" i="12"/>
  <c r="F64" i="12" s="1"/>
  <c r="I63" i="12"/>
  <c r="H63" i="12"/>
  <c r="D63" i="12"/>
  <c r="C63" i="12"/>
  <c r="B63" i="12"/>
  <c r="A63" i="12"/>
  <c r="F63" i="12" s="1"/>
  <c r="I62" i="12"/>
  <c r="H62" i="12"/>
  <c r="G62" i="12"/>
  <c r="D62" i="12"/>
  <c r="C62" i="12"/>
  <c r="A62" i="12"/>
  <c r="F62" i="12" s="1"/>
  <c r="I61" i="12"/>
  <c r="H61" i="12"/>
  <c r="G61" i="12"/>
  <c r="D61" i="12"/>
  <c r="C61" i="12"/>
  <c r="B61" i="12"/>
  <c r="A61" i="12"/>
  <c r="F61" i="12" s="1"/>
  <c r="I60" i="12"/>
  <c r="D60" i="12"/>
  <c r="C60" i="12"/>
  <c r="A60" i="12"/>
  <c r="F60" i="12" s="1"/>
  <c r="I59" i="12"/>
  <c r="H59" i="12"/>
  <c r="G59" i="12"/>
  <c r="D59" i="12"/>
  <c r="C59" i="12"/>
  <c r="B59" i="12"/>
  <c r="A59" i="12"/>
  <c r="F59" i="12" s="1"/>
  <c r="I58" i="12"/>
  <c r="D58" i="12"/>
  <c r="C58" i="12"/>
  <c r="A58" i="12"/>
  <c r="F58" i="12" s="1"/>
  <c r="I57" i="12"/>
  <c r="H57" i="12"/>
  <c r="D57" i="12"/>
  <c r="C57" i="12"/>
  <c r="A57" i="12"/>
  <c r="F57" i="12" s="1"/>
  <c r="I56" i="12"/>
  <c r="G56" i="12"/>
  <c r="D56" i="12"/>
  <c r="C56" i="12"/>
  <c r="A56" i="12"/>
  <c r="F56" i="12" s="1"/>
  <c r="I55" i="12"/>
  <c r="H55" i="12"/>
  <c r="D55" i="12"/>
  <c r="C55" i="12"/>
  <c r="A55" i="12"/>
  <c r="F55" i="12" s="1"/>
  <c r="I54" i="12"/>
  <c r="H54" i="12"/>
  <c r="G54" i="12"/>
  <c r="D54" i="12"/>
  <c r="C54" i="12"/>
  <c r="A54" i="12"/>
  <c r="F54" i="12" s="1"/>
  <c r="I53" i="12"/>
  <c r="H53" i="12"/>
  <c r="G53" i="12"/>
  <c r="D53" i="12"/>
  <c r="C53" i="12"/>
  <c r="B53" i="12"/>
  <c r="A53" i="12"/>
  <c r="F53" i="12" s="1"/>
  <c r="I52" i="12"/>
  <c r="D52" i="12"/>
  <c r="C52" i="12"/>
  <c r="A52" i="12"/>
  <c r="F52" i="12" s="1"/>
  <c r="I51" i="12"/>
  <c r="H51" i="12"/>
  <c r="G51" i="12"/>
  <c r="D51" i="12"/>
  <c r="C51" i="12"/>
  <c r="B51" i="12"/>
  <c r="A51" i="12"/>
  <c r="F51" i="12" s="1"/>
  <c r="I50" i="12"/>
  <c r="D50" i="12"/>
  <c r="C50" i="12"/>
  <c r="A50" i="12"/>
  <c r="F50" i="12" s="1"/>
  <c r="I49" i="12"/>
  <c r="H49" i="12"/>
  <c r="D49" i="12"/>
  <c r="C49" i="12"/>
  <c r="A49" i="12"/>
  <c r="F49" i="12" s="1"/>
  <c r="I48" i="12"/>
  <c r="G48" i="12"/>
  <c r="D48" i="12"/>
  <c r="C48" i="12"/>
  <c r="A48" i="12"/>
  <c r="F48" i="12" s="1"/>
  <c r="I47" i="12"/>
  <c r="H47" i="12"/>
  <c r="D47" i="12"/>
  <c r="C47" i="12"/>
  <c r="A47" i="12"/>
  <c r="F47" i="12" s="1"/>
  <c r="I46" i="12"/>
  <c r="H46" i="12"/>
  <c r="G46" i="12"/>
  <c r="D46" i="12"/>
  <c r="C46" i="12"/>
  <c r="A46" i="12"/>
  <c r="F46" i="12" s="1"/>
  <c r="I45" i="12"/>
  <c r="H45" i="12"/>
  <c r="G45" i="12"/>
  <c r="D45" i="12"/>
  <c r="C45" i="12"/>
  <c r="B45" i="12"/>
  <c r="A45" i="12"/>
  <c r="F45" i="12" s="1"/>
  <c r="I44" i="12"/>
  <c r="D44" i="12"/>
  <c r="C44" i="12"/>
  <c r="A44" i="12"/>
  <c r="F44" i="12" s="1"/>
  <c r="I43" i="12"/>
  <c r="H43" i="12"/>
  <c r="G43" i="12"/>
  <c r="D43" i="12"/>
  <c r="C43" i="12"/>
  <c r="B43" i="12"/>
  <c r="A43" i="12"/>
  <c r="F43" i="12" s="1"/>
  <c r="I42" i="12"/>
  <c r="D42" i="12"/>
  <c r="C42" i="12"/>
  <c r="A42" i="12"/>
  <c r="F42" i="12" s="1"/>
  <c r="I41" i="12"/>
  <c r="H41" i="12"/>
  <c r="D41" i="12"/>
  <c r="C41" i="12"/>
  <c r="A41" i="12"/>
  <c r="F41" i="12" s="1"/>
  <c r="I40" i="12"/>
  <c r="G40" i="12"/>
  <c r="D40" i="12"/>
  <c r="C40" i="12"/>
  <c r="A40" i="12"/>
  <c r="F40" i="12" s="1"/>
  <c r="I39" i="12"/>
  <c r="H39" i="12"/>
  <c r="D39" i="12"/>
  <c r="C39" i="12"/>
  <c r="A39" i="12"/>
  <c r="F39" i="12" s="1"/>
  <c r="I38" i="12"/>
  <c r="H38" i="12"/>
  <c r="G38" i="12"/>
  <c r="D38" i="12"/>
  <c r="C38" i="12"/>
  <c r="A38" i="12"/>
  <c r="F38" i="12" s="1"/>
  <c r="I37" i="12"/>
  <c r="H37" i="12"/>
  <c r="G37" i="12"/>
  <c r="D37" i="12"/>
  <c r="C37" i="12"/>
  <c r="B37" i="12"/>
  <c r="A37" i="12"/>
  <c r="F37" i="12" s="1"/>
  <c r="I36" i="12"/>
  <c r="D36" i="12"/>
  <c r="C36" i="12"/>
  <c r="A36" i="12"/>
  <c r="F36" i="12" s="1"/>
  <c r="I35" i="12"/>
  <c r="G35" i="12"/>
  <c r="D35" i="12"/>
  <c r="C35" i="12"/>
  <c r="B35" i="12"/>
  <c r="A35" i="12"/>
  <c r="F35" i="12" s="1"/>
  <c r="I34" i="12"/>
  <c r="D34" i="12"/>
  <c r="C34" i="12"/>
  <c r="A34" i="12"/>
  <c r="F34" i="12" s="1"/>
  <c r="I33" i="12"/>
  <c r="H33" i="12"/>
  <c r="D33" i="12"/>
  <c r="C33" i="12"/>
  <c r="A33" i="12"/>
  <c r="F33" i="12" s="1"/>
  <c r="I32" i="12"/>
  <c r="G32" i="12"/>
  <c r="D32" i="12"/>
  <c r="C32" i="12"/>
  <c r="A32" i="12"/>
  <c r="F32" i="12" s="1"/>
  <c r="I31" i="12"/>
  <c r="H31" i="12"/>
  <c r="D31" i="12"/>
  <c r="C31" i="12"/>
  <c r="A31" i="12"/>
  <c r="F31" i="12" s="1"/>
  <c r="I30" i="12"/>
  <c r="H30" i="12"/>
  <c r="G30" i="12"/>
  <c r="D30" i="12"/>
  <c r="C30" i="12"/>
  <c r="A30" i="12"/>
  <c r="F30" i="12" s="1"/>
  <c r="I29" i="12"/>
  <c r="H29" i="12"/>
  <c r="G29" i="12"/>
  <c r="D29" i="12"/>
  <c r="C29" i="12"/>
  <c r="B29" i="12"/>
  <c r="A29" i="12"/>
  <c r="F29" i="12" s="1"/>
  <c r="I28" i="12"/>
  <c r="D28" i="12"/>
  <c r="C28" i="12"/>
  <c r="A28" i="12"/>
  <c r="F28" i="12" s="1"/>
  <c r="I27" i="12"/>
  <c r="D27" i="12"/>
  <c r="C27" i="12"/>
  <c r="B27" i="12"/>
  <c r="A27" i="12"/>
  <c r="F27" i="12" s="1"/>
  <c r="I26" i="12"/>
  <c r="D26" i="12"/>
  <c r="C26" i="12"/>
  <c r="A26" i="12"/>
  <c r="F26" i="12" s="1"/>
  <c r="I25" i="12"/>
  <c r="H25" i="12"/>
  <c r="D25" i="12"/>
  <c r="C25" i="12"/>
  <c r="A25" i="12"/>
  <c r="F25" i="12" s="1"/>
  <c r="I24" i="12"/>
  <c r="G24" i="12"/>
  <c r="D24" i="12"/>
  <c r="C24" i="12"/>
  <c r="A24" i="12"/>
  <c r="F24" i="12" s="1"/>
  <c r="I23" i="12"/>
  <c r="H23" i="12"/>
  <c r="G23" i="12"/>
  <c r="D23" i="12"/>
  <c r="C23" i="12"/>
  <c r="A23" i="12"/>
  <c r="F23" i="12" s="1"/>
  <c r="I22" i="12"/>
  <c r="H22" i="12"/>
  <c r="G22" i="12"/>
  <c r="D22" i="12"/>
  <c r="C22" i="12"/>
  <c r="A22" i="12"/>
  <c r="F22" i="12" s="1"/>
  <c r="I21" i="12"/>
  <c r="H21" i="12"/>
  <c r="G21" i="12"/>
  <c r="D21" i="12"/>
  <c r="C21" i="12"/>
  <c r="B21" i="12"/>
  <c r="A21" i="12"/>
  <c r="F21" i="12" s="1"/>
  <c r="I20" i="12"/>
  <c r="D20" i="12"/>
  <c r="C20" i="12"/>
  <c r="A20" i="12"/>
  <c r="F20" i="12" s="1"/>
  <c r="I19" i="12"/>
  <c r="D19" i="12"/>
  <c r="C19" i="12"/>
  <c r="B19" i="12"/>
  <c r="A19" i="12"/>
  <c r="F19" i="12" s="1"/>
  <c r="I18" i="12"/>
  <c r="D18" i="12"/>
  <c r="C18" i="12"/>
  <c r="A18" i="12"/>
  <c r="F18" i="12" s="1"/>
  <c r="I17" i="12"/>
  <c r="H17" i="12"/>
  <c r="D17" i="12"/>
  <c r="C17" i="12"/>
  <c r="A17" i="12"/>
  <c r="F17" i="12" s="1"/>
  <c r="I16" i="12"/>
  <c r="G16" i="12"/>
  <c r="D16" i="12"/>
  <c r="C16" i="12"/>
  <c r="A16" i="12"/>
  <c r="F16" i="12" s="1"/>
  <c r="I15" i="12"/>
  <c r="H15" i="12"/>
  <c r="G15" i="12"/>
  <c r="D15" i="12"/>
  <c r="C15" i="12"/>
  <c r="A15" i="12"/>
  <c r="F15" i="12" s="1"/>
  <c r="I14" i="12"/>
  <c r="H14" i="12"/>
  <c r="G14" i="12"/>
  <c r="D14" i="12"/>
  <c r="C14" i="12"/>
  <c r="A14" i="12"/>
  <c r="F14" i="12" s="1"/>
  <c r="I13" i="12"/>
  <c r="H13" i="12"/>
  <c r="G13" i="12"/>
  <c r="D13" i="12"/>
  <c r="C13" i="12"/>
  <c r="B13" i="12"/>
  <c r="A13" i="12"/>
  <c r="F13" i="12" s="1"/>
  <c r="I12" i="12"/>
  <c r="D12" i="12"/>
  <c r="C12" i="12"/>
  <c r="A12" i="12"/>
  <c r="F12" i="12" s="1"/>
  <c r="I11" i="12"/>
  <c r="D11" i="12"/>
  <c r="C11" i="12"/>
  <c r="B11" i="12"/>
  <c r="A11" i="12"/>
  <c r="F11" i="12" s="1"/>
  <c r="I10" i="12"/>
  <c r="D10" i="12"/>
  <c r="C10" i="12"/>
  <c r="A10" i="12"/>
  <c r="F10" i="12" s="1"/>
  <c r="I9" i="12"/>
  <c r="D9" i="12"/>
  <c r="C9" i="12"/>
  <c r="A9" i="12"/>
  <c r="H9" i="12" s="1"/>
  <c r="I8" i="12"/>
  <c r="D8" i="12"/>
  <c r="C8" i="12"/>
  <c r="A8" i="12"/>
  <c r="H8" i="12" s="1"/>
  <c r="I7" i="12"/>
  <c r="D7" i="12"/>
  <c r="C7" i="12"/>
  <c r="A7" i="12"/>
  <c r="H7" i="12" s="1"/>
  <c r="I6" i="12"/>
  <c r="D6" i="12"/>
  <c r="C6" i="12"/>
  <c r="A6" i="12"/>
  <c r="H6" i="12" s="1"/>
  <c r="I5" i="12"/>
  <c r="D5" i="12"/>
  <c r="C5" i="12"/>
  <c r="A5" i="12"/>
  <c r="H5" i="12" s="1"/>
  <c r="M76" i="10"/>
  <c r="N76" i="10" s="1"/>
  <c r="J76" i="10"/>
  <c r="G76" i="10"/>
  <c r="M75" i="10"/>
  <c r="N75" i="10" s="1"/>
  <c r="J75" i="10"/>
  <c r="G75" i="10"/>
  <c r="M74" i="10"/>
  <c r="N74" i="10" s="1"/>
  <c r="J74" i="10"/>
  <c r="G74" i="10"/>
  <c r="M73" i="10"/>
  <c r="N73" i="10" s="1"/>
  <c r="J73" i="10"/>
  <c r="G73" i="10"/>
  <c r="M72" i="10"/>
  <c r="N72" i="10" s="1"/>
  <c r="J72" i="10"/>
  <c r="G72" i="10"/>
  <c r="M71" i="10"/>
  <c r="N71" i="10" s="1"/>
  <c r="J71" i="10"/>
  <c r="G71" i="10"/>
  <c r="M70" i="10"/>
  <c r="N70" i="10" s="1"/>
  <c r="J70" i="10"/>
  <c r="G70" i="10"/>
  <c r="M69" i="10"/>
  <c r="N69" i="10" s="1"/>
  <c r="J69" i="10"/>
  <c r="G69" i="10"/>
  <c r="M68" i="10"/>
  <c r="N68" i="10" s="1"/>
  <c r="J68" i="10"/>
  <c r="G68" i="10"/>
  <c r="M67" i="10"/>
  <c r="N67" i="10" s="1"/>
  <c r="J67" i="10"/>
  <c r="G67" i="10"/>
  <c r="M66" i="10"/>
  <c r="N66" i="10" s="1"/>
  <c r="J66" i="10"/>
  <c r="G66" i="10"/>
  <c r="M65" i="10"/>
  <c r="N65" i="10" s="1"/>
  <c r="J65" i="10"/>
  <c r="G65" i="10"/>
  <c r="M64" i="10"/>
  <c r="N64" i="10" s="1"/>
  <c r="J64" i="10"/>
  <c r="G64" i="10"/>
  <c r="M63" i="10"/>
  <c r="N63" i="10" s="1"/>
  <c r="J63" i="10"/>
  <c r="G63" i="10"/>
  <c r="M62" i="10"/>
  <c r="N62" i="10" s="1"/>
  <c r="J62" i="10"/>
  <c r="G62" i="10"/>
  <c r="M61" i="10"/>
  <c r="N61" i="10" s="1"/>
  <c r="J61" i="10"/>
  <c r="G61" i="10"/>
  <c r="M60" i="10"/>
  <c r="N60" i="10" s="1"/>
  <c r="J60" i="10"/>
  <c r="G60" i="10"/>
  <c r="M59" i="10"/>
  <c r="N59" i="10" s="1"/>
  <c r="J59" i="10"/>
  <c r="G59" i="10"/>
  <c r="M58" i="10"/>
  <c r="N58" i="10" s="1"/>
  <c r="J58" i="10"/>
  <c r="G58" i="10"/>
  <c r="M57" i="10"/>
  <c r="N57" i="10" s="1"/>
  <c r="J57" i="10"/>
  <c r="G57" i="10"/>
  <c r="M56" i="10"/>
  <c r="N56" i="10" s="1"/>
  <c r="J56" i="10"/>
  <c r="G56" i="10"/>
  <c r="M55" i="10"/>
  <c r="N55" i="10" s="1"/>
  <c r="J55" i="10"/>
  <c r="G55" i="10"/>
  <c r="M54" i="10"/>
  <c r="N54" i="10" s="1"/>
  <c r="J54" i="10"/>
  <c r="G54" i="10"/>
  <c r="M53" i="10"/>
  <c r="N53" i="10" s="1"/>
  <c r="J53" i="10"/>
  <c r="G53" i="10"/>
  <c r="M52" i="10"/>
  <c r="N52" i="10" s="1"/>
  <c r="J52" i="10"/>
  <c r="G52" i="10"/>
  <c r="M51" i="10"/>
  <c r="N51" i="10" s="1"/>
  <c r="J51" i="10"/>
  <c r="G51" i="10"/>
  <c r="M50" i="10"/>
  <c r="N50" i="10" s="1"/>
  <c r="J50" i="10"/>
  <c r="G50" i="10"/>
  <c r="M49" i="10"/>
  <c r="N49" i="10" s="1"/>
  <c r="J49" i="10"/>
  <c r="G49" i="10"/>
  <c r="M48" i="10"/>
  <c r="N48" i="10" s="1"/>
  <c r="J48" i="10"/>
  <c r="G48" i="10"/>
  <c r="M47" i="10"/>
  <c r="N47" i="10" s="1"/>
  <c r="J47" i="10"/>
  <c r="G47" i="10"/>
  <c r="M46" i="10"/>
  <c r="N46" i="10" s="1"/>
  <c r="J46" i="10"/>
  <c r="G46" i="10"/>
  <c r="M45" i="10"/>
  <c r="N45" i="10" s="1"/>
  <c r="J45" i="10"/>
  <c r="G45" i="10"/>
  <c r="M44" i="10"/>
  <c r="N44" i="10" s="1"/>
  <c r="J44" i="10"/>
  <c r="G44" i="10"/>
  <c r="M43" i="10"/>
  <c r="N43" i="10" s="1"/>
  <c r="J43" i="10"/>
  <c r="G43" i="10"/>
  <c r="M42" i="10"/>
  <c r="N42" i="10" s="1"/>
  <c r="J42" i="10"/>
  <c r="G42" i="10"/>
  <c r="M41" i="10"/>
  <c r="N41" i="10" s="1"/>
  <c r="J41" i="10"/>
  <c r="G41" i="10"/>
  <c r="M40" i="10"/>
  <c r="N40" i="10" s="1"/>
  <c r="J40" i="10"/>
  <c r="G40" i="10"/>
  <c r="M39" i="10"/>
  <c r="N39" i="10" s="1"/>
  <c r="J39" i="10"/>
  <c r="G39" i="10"/>
  <c r="M38" i="10"/>
  <c r="N38" i="10" s="1"/>
  <c r="J38" i="10"/>
  <c r="G38" i="10"/>
  <c r="M37" i="10"/>
  <c r="N37" i="10" s="1"/>
  <c r="J37" i="10"/>
  <c r="G37" i="10"/>
  <c r="M36" i="10"/>
  <c r="N36" i="10" s="1"/>
  <c r="J36" i="10"/>
  <c r="G36" i="10"/>
  <c r="M35" i="10"/>
  <c r="N35" i="10" s="1"/>
  <c r="J35" i="10"/>
  <c r="G35" i="10"/>
  <c r="M34" i="10"/>
  <c r="N34" i="10" s="1"/>
  <c r="J34" i="10"/>
  <c r="G34" i="10"/>
  <c r="M33" i="10"/>
  <c r="N33" i="10" s="1"/>
  <c r="J33" i="10"/>
  <c r="G33" i="10"/>
  <c r="M32" i="10"/>
  <c r="N32" i="10" s="1"/>
  <c r="J32" i="10"/>
  <c r="G32" i="10"/>
  <c r="M31" i="10"/>
  <c r="N31" i="10" s="1"/>
  <c r="J31" i="10"/>
  <c r="G31" i="10"/>
  <c r="M30" i="10"/>
  <c r="N30" i="10" s="1"/>
  <c r="J30" i="10"/>
  <c r="G30" i="10"/>
  <c r="M29" i="10"/>
  <c r="N29" i="10" s="1"/>
  <c r="J29" i="10"/>
  <c r="G29" i="10"/>
  <c r="M28" i="10"/>
  <c r="N28" i="10" s="1"/>
  <c r="J28" i="10"/>
  <c r="G28" i="10"/>
  <c r="M27" i="10"/>
  <c r="N27" i="10" s="1"/>
  <c r="J27" i="10"/>
  <c r="G27" i="10"/>
  <c r="M26" i="10"/>
  <c r="N26" i="10" s="1"/>
  <c r="J26" i="10"/>
  <c r="G26" i="10"/>
  <c r="M25" i="10"/>
  <c r="N25" i="10" s="1"/>
  <c r="J25" i="10"/>
  <c r="G25" i="10"/>
  <c r="M24" i="10"/>
  <c r="N24" i="10" s="1"/>
  <c r="J24" i="10"/>
  <c r="G24" i="10"/>
  <c r="M23" i="10"/>
  <c r="N23" i="10" s="1"/>
  <c r="J23" i="10"/>
  <c r="G23" i="10"/>
  <c r="M22" i="10"/>
  <c r="N22" i="10" s="1"/>
  <c r="J22" i="10"/>
  <c r="G22" i="10"/>
  <c r="M21" i="10"/>
  <c r="N21" i="10" s="1"/>
  <c r="J21" i="10"/>
  <c r="G21" i="10"/>
  <c r="M20" i="10"/>
  <c r="N20" i="10" s="1"/>
  <c r="J20" i="10"/>
  <c r="G20" i="10"/>
  <c r="M19" i="10"/>
  <c r="N19" i="10" s="1"/>
  <c r="J19" i="10"/>
  <c r="G19" i="10"/>
  <c r="M18" i="10"/>
  <c r="N18" i="10" s="1"/>
  <c r="J18" i="10"/>
  <c r="G18" i="10"/>
  <c r="M17" i="10"/>
  <c r="N17" i="10" s="1"/>
  <c r="J17" i="10"/>
  <c r="G17" i="10"/>
  <c r="M16" i="10"/>
  <c r="N16" i="10" s="1"/>
  <c r="J16" i="10"/>
  <c r="G16" i="10"/>
  <c r="M15" i="10"/>
  <c r="N15" i="10" s="1"/>
  <c r="J15" i="10"/>
  <c r="G15" i="10"/>
  <c r="M14" i="10"/>
  <c r="N14" i="10" s="1"/>
  <c r="J14" i="10"/>
  <c r="G14" i="10"/>
  <c r="M13" i="10"/>
  <c r="N13" i="10" s="1"/>
  <c r="J13" i="10"/>
  <c r="G13" i="10"/>
  <c r="M12" i="10"/>
  <c r="N12" i="10" s="1"/>
  <c r="J12" i="10"/>
  <c r="G12" i="10"/>
  <c r="M11" i="10"/>
  <c r="N11" i="10" s="1"/>
  <c r="J11" i="10"/>
  <c r="G11" i="10"/>
  <c r="M10" i="10"/>
  <c r="N10" i="10" s="1"/>
  <c r="J10" i="10"/>
  <c r="G10" i="10"/>
  <c r="M9" i="10"/>
  <c r="N9" i="10" s="1"/>
  <c r="J9" i="10"/>
  <c r="G9" i="10"/>
  <c r="M8" i="10"/>
  <c r="N8" i="10" s="1"/>
  <c r="J8" i="10"/>
  <c r="G8" i="10"/>
  <c r="M7" i="10"/>
  <c r="N7" i="10" s="1"/>
  <c r="J7" i="10"/>
  <c r="G7" i="10"/>
  <c r="M6" i="10"/>
  <c r="N6" i="10" s="1"/>
  <c r="J6" i="10"/>
  <c r="G6" i="10"/>
  <c r="M5" i="10"/>
  <c r="N5" i="10" s="1"/>
  <c r="G5" i="10"/>
  <c r="P500" i="9"/>
  <c r="O500" i="9"/>
  <c r="P499" i="9"/>
  <c r="O499" i="9"/>
  <c r="P498" i="9"/>
  <c r="O498" i="9"/>
  <c r="P497" i="9"/>
  <c r="O497" i="9"/>
  <c r="P496" i="9"/>
  <c r="O496" i="9"/>
  <c r="P495" i="9"/>
  <c r="O495" i="9"/>
  <c r="P494" i="9"/>
  <c r="O494" i="9"/>
  <c r="P493" i="9"/>
  <c r="O493" i="9"/>
  <c r="P492" i="9"/>
  <c r="O492" i="9"/>
  <c r="P491" i="9"/>
  <c r="O491" i="9"/>
  <c r="P490" i="9"/>
  <c r="O490" i="9"/>
  <c r="P489" i="9"/>
  <c r="O489" i="9"/>
  <c r="P488" i="9"/>
  <c r="O488" i="9"/>
  <c r="P487" i="9"/>
  <c r="O487" i="9"/>
  <c r="P486" i="9"/>
  <c r="O486" i="9"/>
  <c r="P485" i="9"/>
  <c r="O485" i="9"/>
  <c r="P484" i="9"/>
  <c r="O484" i="9"/>
  <c r="P483" i="9"/>
  <c r="O483" i="9"/>
  <c r="P482" i="9"/>
  <c r="O482" i="9"/>
  <c r="P481" i="9"/>
  <c r="O481" i="9"/>
  <c r="P480" i="9"/>
  <c r="O480" i="9"/>
  <c r="P479" i="9"/>
  <c r="O479" i="9"/>
  <c r="P478" i="9"/>
  <c r="O478" i="9"/>
  <c r="P477" i="9"/>
  <c r="O477" i="9"/>
  <c r="P476" i="9"/>
  <c r="O476" i="9"/>
  <c r="P475" i="9"/>
  <c r="O475" i="9"/>
  <c r="P474" i="9"/>
  <c r="O474" i="9"/>
  <c r="P473" i="9"/>
  <c r="O473" i="9"/>
  <c r="P472" i="9"/>
  <c r="O472" i="9"/>
  <c r="P471" i="9"/>
  <c r="O471" i="9"/>
  <c r="P470" i="9"/>
  <c r="O470" i="9"/>
  <c r="P469" i="9"/>
  <c r="O469" i="9"/>
  <c r="P468" i="9"/>
  <c r="O468" i="9"/>
  <c r="P467" i="9"/>
  <c r="O467" i="9"/>
  <c r="P466" i="9"/>
  <c r="O466" i="9"/>
  <c r="P465" i="9"/>
  <c r="O465" i="9"/>
  <c r="P464" i="9"/>
  <c r="O464" i="9"/>
  <c r="P463" i="9"/>
  <c r="O463" i="9"/>
  <c r="P462" i="9"/>
  <c r="O462" i="9"/>
  <c r="P461" i="9"/>
  <c r="O461" i="9"/>
  <c r="P460" i="9"/>
  <c r="O460" i="9"/>
  <c r="P459" i="9"/>
  <c r="O459" i="9"/>
  <c r="P458" i="9"/>
  <c r="O458" i="9"/>
  <c r="P457" i="9"/>
  <c r="O457" i="9"/>
  <c r="P456" i="9"/>
  <c r="O456" i="9"/>
  <c r="P455" i="9"/>
  <c r="O455" i="9"/>
  <c r="P454" i="9"/>
  <c r="O454" i="9"/>
  <c r="P453" i="9"/>
  <c r="O453" i="9"/>
  <c r="P452" i="9"/>
  <c r="O452" i="9"/>
  <c r="P451" i="9"/>
  <c r="O451" i="9"/>
  <c r="P450" i="9"/>
  <c r="O450" i="9"/>
  <c r="P449" i="9"/>
  <c r="O449" i="9"/>
  <c r="P448" i="9"/>
  <c r="O448" i="9"/>
  <c r="P447" i="9"/>
  <c r="O447" i="9"/>
  <c r="P446" i="9"/>
  <c r="O446" i="9"/>
  <c r="P445" i="9"/>
  <c r="O445" i="9"/>
  <c r="P444" i="9"/>
  <c r="O444" i="9"/>
  <c r="P443" i="9"/>
  <c r="O443" i="9"/>
  <c r="P442" i="9"/>
  <c r="O442" i="9"/>
  <c r="P441" i="9"/>
  <c r="O441" i="9"/>
  <c r="P440" i="9"/>
  <c r="O440" i="9"/>
  <c r="P439" i="9"/>
  <c r="O439" i="9"/>
  <c r="P438" i="9"/>
  <c r="O438" i="9"/>
  <c r="P437" i="9"/>
  <c r="O437" i="9"/>
  <c r="P436" i="9"/>
  <c r="O436" i="9"/>
  <c r="P435" i="9"/>
  <c r="O435" i="9"/>
  <c r="P434" i="9"/>
  <c r="O434" i="9"/>
  <c r="P433" i="9"/>
  <c r="O433" i="9"/>
  <c r="P432" i="9"/>
  <c r="O432" i="9"/>
  <c r="P431" i="9"/>
  <c r="O431" i="9"/>
  <c r="P430" i="9"/>
  <c r="O430" i="9"/>
  <c r="P429" i="9"/>
  <c r="O429" i="9"/>
  <c r="P428" i="9"/>
  <c r="O428" i="9"/>
  <c r="P427" i="9"/>
  <c r="O427" i="9"/>
  <c r="P426" i="9"/>
  <c r="O426" i="9"/>
  <c r="P425" i="9"/>
  <c r="O425" i="9"/>
  <c r="P424" i="9"/>
  <c r="O424" i="9"/>
  <c r="P423" i="9"/>
  <c r="O423" i="9"/>
  <c r="P422" i="9"/>
  <c r="O422" i="9"/>
  <c r="P421" i="9"/>
  <c r="O421" i="9"/>
  <c r="P420" i="9"/>
  <c r="O420" i="9"/>
  <c r="P419" i="9"/>
  <c r="O419" i="9"/>
  <c r="P418" i="9"/>
  <c r="O418" i="9"/>
  <c r="P417" i="9"/>
  <c r="O417" i="9"/>
  <c r="P416" i="9"/>
  <c r="O416" i="9"/>
  <c r="P415" i="9"/>
  <c r="O415" i="9"/>
  <c r="P414" i="9"/>
  <c r="O414" i="9"/>
  <c r="P413" i="9"/>
  <c r="O413" i="9"/>
  <c r="P412" i="9"/>
  <c r="O412" i="9"/>
  <c r="P411" i="9"/>
  <c r="O411" i="9"/>
  <c r="P410" i="9"/>
  <c r="O410" i="9"/>
  <c r="P409" i="9"/>
  <c r="O409" i="9"/>
  <c r="P408" i="9"/>
  <c r="O408" i="9"/>
  <c r="P407" i="9"/>
  <c r="O407" i="9"/>
  <c r="P406" i="9"/>
  <c r="O406" i="9"/>
  <c r="P405" i="9"/>
  <c r="O405" i="9"/>
  <c r="P404" i="9"/>
  <c r="O404" i="9"/>
  <c r="P403" i="9"/>
  <c r="O403" i="9"/>
  <c r="P402" i="9"/>
  <c r="O402" i="9"/>
  <c r="P401" i="9"/>
  <c r="O401" i="9"/>
  <c r="P400" i="9"/>
  <c r="O400" i="9"/>
  <c r="P399" i="9"/>
  <c r="O399" i="9"/>
  <c r="P398" i="9"/>
  <c r="O398" i="9"/>
  <c r="P397" i="9"/>
  <c r="O397" i="9"/>
  <c r="P396" i="9"/>
  <c r="O396" i="9"/>
  <c r="P395" i="9"/>
  <c r="O395" i="9"/>
  <c r="P394" i="9"/>
  <c r="O394" i="9"/>
  <c r="P393" i="9"/>
  <c r="O393" i="9"/>
  <c r="P392" i="9"/>
  <c r="O392" i="9"/>
  <c r="P391" i="9"/>
  <c r="O391" i="9"/>
  <c r="P390" i="9"/>
  <c r="O390" i="9"/>
  <c r="P389" i="9"/>
  <c r="O389" i="9"/>
  <c r="P388" i="9"/>
  <c r="O388" i="9"/>
  <c r="P387" i="9"/>
  <c r="O387" i="9"/>
  <c r="P386" i="9"/>
  <c r="O386" i="9"/>
  <c r="P385" i="9"/>
  <c r="O385" i="9"/>
  <c r="P384" i="9"/>
  <c r="O384" i="9"/>
  <c r="P383" i="9"/>
  <c r="O383" i="9"/>
  <c r="P382" i="9"/>
  <c r="O382" i="9"/>
  <c r="P381" i="9"/>
  <c r="O381" i="9"/>
  <c r="P380" i="9"/>
  <c r="O380" i="9"/>
  <c r="P379" i="9"/>
  <c r="O379" i="9"/>
  <c r="P378" i="9"/>
  <c r="O378" i="9"/>
  <c r="P377" i="9"/>
  <c r="O377" i="9"/>
  <c r="P376" i="9"/>
  <c r="O376" i="9"/>
  <c r="P375" i="9"/>
  <c r="O375" i="9"/>
  <c r="P374" i="9"/>
  <c r="O374" i="9"/>
  <c r="P373" i="9"/>
  <c r="O373" i="9"/>
  <c r="P372" i="9"/>
  <c r="O372" i="9"/>
  <c r="P371" i="9"/>
  <c r="O371" i="9"/>
  <c r="P370" i="9"/>
  <c r="O370" i="9"/>
  <c r="P369" i="9"/>
  <c r="O369" i="9"/>
  <c r="P368" i="9"/>
  <c r="O368" i="9"/>
  <c r="P367" i="9"/>
  <c r="O367" i="9"/>
  <c r="P366" i="9"/>
  <c r="O366" i="9"/>
  <c r="P365" i="9"/>
  <c r="O365" i="9"/>
  <c r="P364" i="9"/>
  <c r="O364" i="9"/>
  <c r="P363" i="9"/>
  <c r="O363" i="9"/>
  <c r="P362" i="9"/>
  <c r="O362" i="9"/>
  <c r="P361" i="9"/>
  <c r="O361" i="9"/>
  <c r="P360" i="9"/>
  <c r="O360" i="9"/>
  <c r="P359" i="9"/>
  <c r="O359" i="9"/>
  <c r="P358" i="9"/>
  <c r="O358" i="9"/>
  <c r="P357" i="9"/>
  <c r="O357" i="9"/>
  <c r="P356" i="9"/>
  <c r="O356" i="9"/>
  <c r="P355" i="9"/>
  <c r="O355" i="9"/>
  <c r="P354" i="9"/>
  <c r="O354" i="9"/>
  <c r="P353" i="9"/>
  <c r="O353" i="9"/>
  <c r="P352" i="9"/>
  <c r="O352" i="9"/>
  <c r="P351" i="9"/>
  <c r="O351" i="9"/>
  <c r="P350" i="9"/>
  <c r="O350" i="9"/>
  <c r="P349" i="9"/>
  <c r="O349" i="9"/>
  <c r="P348" i="9"/>
  <c r="O348" i="9"/>
  <c r="P347" i="9"/>
  <c r="O347" i="9"/>
  <c r="P346" i="9"/>
  <c r="O346" i="9"/>
  <c r="P345" i="9"/>
  <c r="O345" i="9"/>
  <c r="P344" i="9"/>
  <c r="O344" i="9"/>
  <c r="P343" i="9"/>
  <c r="O343" i="9"/>
  <c r="P342" i="9"/>
  <c r="O342" i="9"/>
  <c r="P341" i="9"/>
  <c r="O341" i="9"/>
  <c r="P340" i="9"/>
  <c r="O340" i="9"/>
  <c r="P339" i="9"/>
  <c r="O339" i="9"/>
  <c r="P338" i="9"/>
  <c r="O338" i="9"/>
  <c r="P337" i="9"/>
  <c r="O337" i="9"/>
  <c r="P336" i="9"/>
  <c r="O336" i="9"/>
  <c r="P335" i="9"/>
  <c r="O335" i="9"/>
  <c r="P334" i="9"/>
  <c r="O334" i="9"/>
  <c r="P333" i="9"/>
  <c r="O333" i="9"/>
  <c r="P332" i="9"/>
  <c r="O332" i="9"/>
  <c r="P331" i="9"/>
  <c r="O331" i="9"/>
  <c r="P330" i="9"/>
  <c r="O330" i="9"/>
  <c r="P329" i="9"/>
  <c r="O329" i="9"/>
  <c r="P328" i="9"/>
  <c r="O328" i="9"/>
  <c r="P327" i="9"/>
  <c r="O327" i="9"/>
  <c r="P326" i="9"/>
  <c r="O326" i="9"/>
  <c r="P325" i="9"/>
  <c r="O325" i="9"/>
  <c r="P324" i="9"/>
  <c r="O324" i="9"/>
  <c r="P323" i="9"/>
  <c r="O323" i="9"/>
  <c r="P322" i="9"/>
  <c r="O322" i="9"/>
  <c r="P321" i="9"/>
  <c r="O321" i="9"/>
  <c r="P320" i="9"/>
  <c r="O320" i="9"/>
  <c r="P319" i="9"/>
  <c r="O319" i="9"/>
  <c r="P318" i="9"/>
  <c r="O318" i="9"/>
  <c r="P317" i="9"/>
  <c r="O317" i="9"/>
  <c r="P316" i="9"/>
  <c r="O316" i="9"/>
  <c r="P315" i="9"/>
  <c r="O315" i="9"/>
  <c r="P314" i="9"/>
  <c r="O314" i="9"/>
  <c r="P313" i="9"/>
  <c r="O313" i="9"/>
  <c r="P312" i="9"/>
  <c r="O312" i="9"/>
  <c r="P311" i="9"/>
  <c r="O311" i="9"/>
  <c r="P310" i="9"/>
  <c r="O310" i="9"/>
  <c r="P309" i="9"/>
  <c r="O309" i="9"/>
  <c r="P308" i="9"/>
  <c r="O308" i="9"/>
  <c r="P307" i="9"/>
  <c r="O307" i="9"/>
  <c r="P306" i="9"/>
  <c r="O306" i="9"/>
  <c r="P305" i="9"/>
  <c r="O305" i="9"/>
  <c r="P304" i="9"/>
  <c r="O304" i="9"/>
  <c r="P303" i="9"/>
  <c r="O303" i="9"/>
  <c r="P302" i="9"/>
  <c r="O302" i="9"/>
  <c r="P301" i="9"/>
  <c r="O301" i="9"/>
  <c r="P300" i="9"/>
  <c r="O300" i="9"/>
  <c r="P299" i="9"/>
  <c r="O299" i="9"/>
  <c r="P298" i="9"/>
  <c r="O298" i="9"/>
  <c r="P297" i="9"/>
  <c r="O297" i="9"/>
  <c r="P296" i="9"/>
  <c r="O296" i="9"/>
  <c r="P295" i="9"/>
  <c r="O295" i="9"/>
  <c r="P294" i="9"/>
  <c r="O294" i="9"/>
  <c r="P293" i="9"/>
  <c r="O293" i="9"/>
  <c r="P292" i="9"/>
  <c r="O292" i="9"/>
  <c r="P291" i="9"/>
  <c r="O291" i="9"/>
  <c r="P290" i="9"/>
  <c r="O290" i="9"/>
  <c r="P289" i="9"/>
  <c r="O289" i="9"/>
  <c r="P288" i="9"/>
  <c r="O288" i="9"/>
  <c r="P287" i="9"/>
  <c r="O287" i="9"/>
  <c r="P286" i="9"/>
  <c r="O286" i="9"/>
  <c r="P285" i="9"/>
  <c r="O285" i="9"/>
  <c r="P284" i="9"/>
  <c r="O284" i="9"/>
  <c r="P283" i="9"/>
  <c r="O283" i="9"/>
  <c r="P282" i="9"/>
  <c r="O282" i="9"/>
  <c r="P281" i="9"/>
  <c r="O281" i="9"/>
  <c r="P280" i="9"/>
  <c r="O280" i="9"/>
  <c r="P279" i="9"/>
  <c r="O279" i="9"/>
  <c r="P278" i="9"/>
  <c r="O278" i="9"/>
  <c r="P277" i="9"/>
  <c r="O277" i="9"/>
  <c r="P276" i="9"/>
  <c r="O276" i="9"/>
  <c r="P275" i="9"/>
  <c r="O275" i="9"/>
  <c r="P274" i="9"/>
  <c r="O274" i="9"/>
  <c r="P273" i="9"/>
  <c r="O273" i="9"/>
  <c r="P272" i="9"/>
  <c r="O272" i="9"/>
  <c r="P271" i="9"/>
  <c r="O271" i="9"/>
  <c r="P270" i="9"/>
  <c r="O270" i="9"/>
  <c r="P269" i="9"/>
  <c r="O269" i="9"/>
  <c r="P268" i="9"/>
  <c r="O268" i="9"/>
  <c r="P267" i="9"/>
  <c r="O267" i="9"/>
  <c r="P266" i="9"/>
  <c r="O266" i="9"/>
  <c r="P265" i="9"/>
  <c r="O265" i="9"/>
  <c r="P264" i="9"/>
  <c r="O264" i="9"/>
  <c r="P263" i="9"/>
  <c r="O263" i="9"/>
  <c r="P262" i="9"/>
  <c r="O262" i="9"/>
  <c r="P261" i="9"/>
  <c r="O261" i="9"/>
  <c r="P260" i="9"/>
  <c r="O260" i="9"/>
  <c r="P259" i="9"/>
  <c r="O259" i="9"/>
  <c r="P258" i="9"/>
  <c r="O258" i="9"/>
  <c r="P257" i="9"/>
  <c r="O257" i="9"/>
  <c r="P256" i="9"/>
  <c r="O256" i="9"/>
  <c r="P255" i="9"/>
  <c r="O255" i="9"/>
  <c r="P254" i="9"/>
  <c r="O254" i="9"/>
  <c r="P253" i="9"/>
  <c r="O253" i="9"/>
  <c r="P252" i="9"/>
  <c r="O252" i="9"/>
  <c r="P251" i="9"/>
  <c r="O251" i="9"/>
  <c r="P250" i="9"/>
  <c r="O250" i="9"/>
  <c r="P249" i="9"/>
  <c r="O249" i="9"/>
  <c r="P248" i="9"/>
  <c r="O248" i="9"/>
  <c r="P247" i="9"/>
  <c r="O247" i="9"/>
  <c r="P246" i="9"/>
  <c r="O246" i="9"/>
  <c r="P245" i="9"/>
  <c r="O245" i="9"/>
  <c r="P244" i="9"/>
  <c r="O244" i="9"/>
  <c r="P243" i="9"/>
  <c r="O243" i="9"/>
  <c r="P242" i="9"/>
  <c r="O242" i="9"/>
  <c r="P241" i="9"/>
  <c r="O241" i="9"/>
  <c r="P240" i="9"/>
  <c r="O240" i="9"/>
  <c r="P239" i="9"/>
  <c r="O239" i="9"/>
  <c r="P238" i="9"/>
  <c r="O238" i="9"/>
  <c r="P237" i="9"/>
  <c r="O237" i="9"/>
  <c r="P236" i="9"/>
  <c r="O236" i="9"/>
  <c r="P235" i="9"/>
  <c r="O235" i="9"/>
  <c r="P234" i="9"/>
  <c r="O234" i="9"/>
  <c r="P233" i="9"/>
  <c r="O233" i="9"/>
  <c r="P232" i="9"/>
  <c r="O232" i="9"/>
  <c r="P231" i="9"/>
  <c r="O231" i="9"/>
  <c r="P230" i="9"/>
  <c r="O230" i="9"/>
  <c r="P229" i="9"/>
  <c r="O229" i="9"/>
  <c r="P228" i="9"/>
  <c r="O228" i="9"/>
  <c r="P227" i="9"/>
  <c r="O227" i="9"/>
  <c r="P226" i="9"/>
  <c r="O226" i="9"/>
  <c r="P225" i="9"/>
  <c r="O225" i="9"/>
  <c r="P224" i="9"/>
  <c r="O224" i="9"/>
  <c r="P223" i="9"/>
  <c r="O223" i="9"/>
  <c r="P222" i="9"/>
  <c r="O222" i="9"/>
  <c r="P221" i="9"/>
  <c r="O221" i="9"/>
  <c r="P220" i="9"/>
  <c r="O220" i="9"/>
  <c r="P219" i="9"/>
  <c r="O219" i="9"/>
  <c r="P218" i="9"/>
  <c r="O218" i="9"/>
  <c r="P217" i="9"/>
  <c r="O217" i="9"/>
  <c r="P216" i="9"/>
  <c r="O216" i="9"/>
  <c r="P215" i="9"/>
  <c r="O215" i="9"/>
  <c r="P214" i="9"/>
  <c r="O214" i="9"/>
  <c r="P213" i="9"/>
  <c r="O213" i="9"/>
  <c r="P212" i="9"/>
  <c r="O212" i="9"/>
  <c r="P211" i="9"/>
  <c r="O211" i="9"/>
  <c r="P210" i="9"/>
  <c r="O210" i="9"/>
  <c r="P209" i="9"/>
  <c r="O209" i="9"/>
  <c r="P208" i="9"/>
  <c r="O208" i="9"/>
  <c r="P207" i="9"/>
  <c r="O207" i="9"/>
  <c r="P206" i="9"/>
  <c r="O206" i="9"/>
  <c r="P205" i="9"/>
  <c r="O205" i="9"/>
  <c r="P204" i="9"/>
  <c r="O204" i="9"/>
  <c r="P203" i="9"/>
  <c r="O203" i="9"/>
  <c r="P202" i="9"/>
  <c r="O202" i="9"/>
  <c r="P201" i="9"/>
  <c r="O201" i="9"/>
  <c r="P200" i="9"/>
  <c r="O200" i="9"/>
  <c r="P199" i="9"/>
  <c r="O199" i="9"/>
  <c r="P198" i="9"/>
  <c r="O198" i="9"/>
  <c r="P197" i="9"/>
  <c r="O197" i="9"/>
  <c r="P196" i="9"/>
  <c r="O196" i="9"/>
  <c r="P195" i="9"/>
  <c r="O195" i="9"/>
  <c r="P194" i="9"/>
  <c r="O194" i="9"/>
  <c r="P193" i="9"/>
  <c r="O193" i="9"/>
  <c r="P192" i="9"/>
  <c r="O192" i="9"/>
  <c r="P191" i="9"/>
  <c r="O191" i="9"/>
  <c r="P190" i="9"/>
  <c r="O190" i="9"/>
  <c r="P189" i="9"/>
  <c r="O189" i="9"/>
  <c r="P188" i="9"/>
  <c r="O188" i="9"/>
  <c r="P187" i="9"/>
  <c r="O187" i="9"/>
  <c r="P186" i="9"/>
  <c r="O186" i="9"/>
  <c r="P185" i="9"/>
  <c r="O185" i="9"/>
  <c r="P184" i="9"/>
  <c r="O184" i="9"/>
  <c r="P183" i="9"/>
  <c r="O183" i="9"/>
  <c r="P182" i="9"/>
  <c r="O182" i="9"/>
  <c r="P181" i="9"/>
  <c r="O181" i="9"/>
  <c r="P180" i="9"/>
  <c r="O180" i="9"/>
  <c r="P179" i="9"/>
  <c r="O179" i="9"/>
  <c r="P178" i="9"/>
  <c r="O178" i="9"/>
  <c r="P177" i="9"/>
  <c r="O177" i="9"/>
  <c r="P176" i="9"/>
  <c r="O176" i="9"/>
  <c r="P175" i="9"/>
  <c r="O175" i="9"/>
  <c r="P174" i="9"/>
  <c r="O174" i="9"/>
  <c r="P173" i="9"/>
  <c r="O173" i="9"/>
  <c r="P172" i="9"/>
  <c r="O172" i="9"/>
  <c r="P171" i="9"/>
  <c r="O171" i="9"/>
  <c r="P170" i="9"/>
  <c r="O170" i="9"/>
  <c r="P169" i="9"/>
  <c r="O169" i="9"/>
  <c r="P168" i="9"/>
  <c r="O168" i="9"/>
  <c r="P167" i="9"/>
  <c r="O167" i="9"/>
  <c r="P166" i="9"/>
  <c r="O166" i="9"/>
  <c r="P165" i="9"/>
  <c r="O165" i="9"/>
  <c r="P164" i="9"/>
  <c r="O164" i="9"/>
  <c r="P163" i="9"/>
  <c r="O163" i="9"/>
  <c r="P162" i="9"/>
  <c r="O162" i="9"/>
  <c r="P161" i="9"/>
  <c r="O161" i="9"/>
  <c r="P160" i="9"/>
  <c r="O160" i="9"/>
  <c r="P159" i="9"/>
  <c r="O159" i="9"/>
  <c r="P158" i="9"/>
  <c r="O158" i="9"/>
  <c r="P157" i="9"/>
  <c r="O157" i="9"/>
  <c r="P156" i="9"/>
  <c r="O156" i="9"/>
  <c r="P155" i="9"/>
  <c r="O155" i="9"/>
  <c r="P154" i="9"/>
  <c r="O154" i="9"/>
  <c r="P153" i="9"/>
  <c r="O153" i="9"/>
  <c r="P152" i="9"/>
  <c r="O152" i="9"/>
  <c r="P151" i="9"/>
  <c r="O151" i="9"/>
  <c r="P150" i="9"/>
  <c r="O150" i="9"/>
  <c r="P149" i="9"/>
  <c r="O149" i="9"/>
  <c r="P148" i="9"/>
  <c r="O148" i="9"/>
  <c r="P147" i="9"/>
  <c r="O147" i="9"/>
  <c r="P146" i="9"/>
  <c r="O146" i="9"/>
  <c r="P145" i="9"/>
  <c r="O145" i="9"/>
  <c r="P144" i="9"/>
  <c r="O144" i="9"/>
  <c r="P143" i="9"/>
  <c r="O143" i="9"/>
  <c r="P142" i="9"/>
  <c r="O142" i="9"/>
  <c r="P141" i="9"/>
  <c r="O141" i="9"/>
  <c r="P140" i="9"/>
  <c r="O140" i="9"/>
  <c r="P139" i="9"/>
  <c r="O139" i="9"/>
  <c r="P138" i="9"/>
  <c r="O138" i="9"/>
  <c r="P137" i="9"/>
  <c r="O137" i="9"/>
  <c r="P136" i="9"/>
  <c r="O136" i="9"/>
  <c r="P135" i="9"/>
  <c r="O135" i="9"/>
  <c r="P134" i="9"/>
  <c r="O134" i="9"/>
  <c r="P133" i="9"/>
  <c r="O133" i="9"/>
  <c r="P132" i="9"/>
  <c r="O132" i="9"/>
  <c r="P131" i="9"/>
  <c r="O131" i="9"/>
  <c r="P130" i="9"/>
  <c r="O130" i="9"/>
  <c r="P129" i="9"/>
  <c r="O129" i="9"/>
  <c r="P128" i="9"/>
  <c r="O128" i="9"/>
  <c r="P127" i="9"/>
  <c r="O127" i="9"/>
  <c r="P126" i="9"/>
  <c r="O126" i="9"/>
  <c r="P125" i="9"/>
  <c r="O125" i="9"/>
  <c r="P124" i="9"/>
  <c r="O124" i="9"/>
  <c r="P123" i="9"/>
  <c r="O123" i="9"/>
  <c r="P122" i="9"/>
  <c r="O122" i="9"/>
  <c r="P121" i="9"/>
  <c r="O121" i="9"/>
  <c r="P120" i="9"/>
  <c r="O120" i="9"/>
  <c r="P119" i="9"/>
  <c r="O119" i="9"/>
  <c r="P118" i="9"/>
  <c r="O118" i="9"/>
  <c r="P117" i="9"/>
  <c r="O117" i="9"/>
  <c r="P116" i="9"/>
  <c r="O116" i="9"/>
  <c r="P115" i="9"/>
  <c r="O115" i="9"/>
  <c r="P114" i="9"/>
  <c r="O114" i="9"/>
  <c r="P113" i="9"/>
  <c r="O113" i="9"/>
  <c r="P112" i="9"/>
  <c r="O112" i="9"/>
  <c r="P111" i="9"/>
  <c r="O111" i="9"/>
  <c r="P110" i="9"/>
  <c r="O110" i="9"/>
  <c r="P109" i="9"/>
  <c r="O109" i="9"/>
  <c r="P108" i="9"/>
  <c r="O108" i="9"/>
  <c r="P107" i="9"/>
  <c r="O107" i="9"/>
  <c r="P106" i="9"/>
  <c r="O106" i="9"/>
  <c r="P105" i="9"/>
  <c r="O105" i="9"/>
  <c r="P104" i="9"/>
  <c r="O104" i="9"/>
  <c r="P103" i="9"/>
  <c r="O103" i="9"/>
  <c r="P102" i="9"/>
  <c r="O102" i="9"/>
  <c r="P101" i="9"/>
  <c r="O101" i="9"/>
  <c r="P100" i="9"/>
  <c r="O100" i="9"/>
  <c r="P99" i="9"/>
  <c r="O99" i="9"/>
  <c r="P98" i="9"/>
  <c r="O98" i="9"/>
  <c r="P97" i="9"/>
  <c r="O97" i="9"/>
  <c r="P96" i="9"/>
  <c r="O96" i="9"/>
  <c r="P95" i="9"/>
  <c r="O95" i="9"/>
  <c r="P94" i="9"/>
  <c r="O94" i="9"/>
  <c r="P93" i="9"/>
  <c r="O93" i="9"/>
  <c r="P92" i="9"/>
  <c r="O92" i="9"/>
  <c r="P91" i="9"/>
  <c r="O91" i="9"/>
  <c r="P90" i="9"/>
  <c r="O90" i="9"/>
  <c r="P89" i="9"/>
  <c r="O89" i="9"/>
  <c r="P88" i="9"/>
  <c r="O88" i="9"/>
  <c r="P87" i="9"/>
  <c r="O87" i="9"/>
  <c r="P86" i="9"/>
  <c r="O86" i="9"/>
  <c r="P85" i="9"/>
  <c r="O85" i="9"/>
  <c r="P84" i="9"/>
  <c r="O84" i="9"/>
  <c r="P83" i="9"/>
  <c r="O83" i="9"/>
  <c r="P82" i="9"/>
  <c r="O82" i="9"/>
  <c r="P81" i="9"/>
  <c r="O81" i="9"/>
  <c r="P80" i="9"/>
  <c r="O80" i="9"/>
  <c r="P79" i="9"/>
  <c r="O79" i="9"/>
  <c r="P78" i="9"/>
  <c r="O78" i="9"/>
  <c r="P77" i="9"/>
  <c r="O77" i="9"/>
  <c r="P76" i="9"/>
  <c r="O76" i="9"/>
  <c r="P75" i="9"/>
  <c r="O75" i="9"/>
  <c r="P74" i="9"/>
  <c r="O74" i="9"/>
  <c r="P73" i="9"/>
  <c r="O73" i="9"/>
  <c r="P72" i="9"/>
  <c r="O72" i="9"/>
  <c r="P71" i="9"/>
  <c r="O71" i="9"/>
  <c r="P70" i="9"/>
  <c r="O70" i="9"/>
  <c r="P69" i="9"/>
  <c r="O69" i="9"/>
  <c r="P68" i="9"/>
  <c r="O68" i="9"/>
  <c r="P67" i="9"/>
  <c r="O67" i="9"/>
  <c r="P66" i="9"/>
  <c r="O66" i="9"/>
  <c r="P65" i="9"/>
  <c r="O65" i="9"/>
  <c r="P64" i="9"/>
  <c r="O64" i="9"/>
  <c r="P63" i="9"/>
  <c r="O63" i="9"/>
  <c r="P62" i="9"/>
  <c r="O62" i="9"/>
  <c r="P61" i="9"/>
  <c r="O61" i="9"/>
  <c r="P60" i="9"/>
  <c r="O60" i="9"/>
  <c r="P59" i="9"/>
  <c r="O59" i="9"/>
  <c r="P58" i="9"/>
  <c r="O58" i="9"/>
  <c r="P57" i="9"/>
  <c r="O57" i="9"/>
  <c r="P56" i="9"/>
  <c r="O56" i="9"/>
  <c r="P55" i="9"/>
  <c r="O55" i="9"/>
  <c r="P54" i="9"/>
  <c r="O54" i="9"/>
  <c r="P53" i="9"/>
  <c r="O53" i="9"/>
  <c r="P52" i="9"/>
  <c r="O52" i="9"/>
  <c r="P51" i="9"/>
  <c r="O51" i="9"/>
  <c r="P50" i="9"/>
  <c r="O50" i="9"/>
  <c r="P49" i="9"/>
  <c r="O49" i="9"/>
  <c r="P48" i="9"/>
  <c r="O48" i="9"/>
  <c r="P47" i="9"/>
  <c r="O47" i="9"/>
  <c r="P46" i="9"/>
  <c r="O46" i="9"/>
  <c r="P45" i="9"/>
  <c r="O45" i="9"/>
  <c r="P44" i="9"/>
  <c r="O44" i="9"/>
  <c r="P43" i="9"/>
  <c r="O43" i="9"/>
  <c r="P42" i="9"/>
  <c r="O42" i="9"/>
  <c r="P41" i="9"/>
  <c r="O41" i="9"/>
  <c r="P40" i="9"/>
  <c r="O40" i="9"/>
  <c r="P39" i="9"/>
  <c r="O39" i="9"/>
  <c r="P38" i="9"/>
  <c r="O38" i="9"/>
  <c r="P37" i="9"/>
  <c r="O37" i="9"/>
  <c r="P36" i="9"/>
  <c r="O36" i="9"/>
  <c r="P35" i="9"/>
  <c r="O35" i="9"/>
  <c r="P34" i="9"/>
  <c r="O34" i="9"/>
  <c r="P33" i="9"/>
  <c r="O33" i="9"/>
  <c r="P32" i="9"/>
  <c r="O32" i="9"/>
  <c r="P31" i="9"/>
  <c r="O31" i="9"/>
  <c r="P30" i="9"/>
  <c r="O30" i="9"/>
  <c r="P29" i="9"/>
  <c r="O29" i="9"/>
  <c r="P28" i="9"/>
  <c r="O28" i="9"/>
  <c r="P27" i="9"/>
  <c r="O27" i="9"/>
  <c r="P26" i="9"/>
  <c r="O26" i="9"/>
  <c r="P25" i="9"/>
  <c r="O25" i="9"/>
  <c r="P23" i="9"/>
  <c r="O23" i="9"/>
  <c r="P22" i="9"/>
  <c r="O22" i="9"/>
  <c r="P21" i="9"/>
  <c r="O21" i="9"/>
  <c r="P20" i="9"/>
  <c r="O20" i="9"/>
  <c r="P19" i="9"/>
  <c r="O19" i="9"/>
  <c r="P18" i="9"/>
  <c r="O18" i="9"/>
  <c r="P17" i="9"/>
  <c r="O17" i="9"/>
  <c r="P16" i="9"/>
  <c r="O16" i="9"/>
  <c r="P15" i="9"/>
  <c r="O15" i="9"/>
  <c r="P14" i="9"/>
  <c r="O14" i="9"/>
  <c r="P13" i="9"/>
  <c r="O13" i="9"/>
  <c r="P12" i="9"/>
  <c r="O12" i="9"/>
  <c r="P11" i="9"/>
  <c r="O11" i="9"/>
  <c r="P10" i="9"/>
  <c r="O10" i="9"/>
  <c r="P9" i="9"/>
  <c r="O9" i="9"/>
  <c r="P8" i="9"/>
  <c r="O8" i="9"/>
  <c r="P7" i="9"/>
  <c r="O7" i="9"/>
  <c r="P6" i="9"/>
  <c r="O6" i="9"/>
  <c r="P5" i="9"/>
  <c r="O5" i="9"/>
  <c r="P4" i="9"/>
  <c r="O4" i="9"/>
  <c r="G88" i="12" l="1"/>
  <c r="B88" i="12"/>
  <c r="B8" i="12"/>
  <c r="B18" i="12"/>
  <c r="B42" i="12"/>
  <c r="H28" i="12"/>
  <c r="B32" i="12"/>
  <c r="H36" i="12"/>
  <c r="B40" i="12"/>
  <c r="H44" i="12"/>
  <c r="B48" i="12"/>
  <c r="H52" i="12"/>
  <c r="B56" i="12"/>
  <c r="H60" i="12"/>
  <c r="B64" i="12"/>
  <c r="H68" i="12"/>
  <c r="G70" i="12"/>
  <c r="H70" i="12"/>
  <c r="F70" i="12"/>
  <c r="H72" i="12"/>
  <c r="F80" i="12"/>
  <c r="G83" i="12"/>
  <c r="F83" i="12"/>
  <c r="B83" i="12"/>
  <c r="F88" i="12"/>
  <c r="G90" i="12"/>
  <c r="B90" i="12"/>
  <c r="F90" i="12"/>
  <c r="G107" i="12"/>
  <c r="F107" i="12"/>
  <c r="B107" i="12"/>
  <c r="H107" i="12"/>
  <c r="G123" i="12"/>
  <c r="F123" i="12"/>
  <c r="B123" i="12"/>
  <c r="H123" i="12"/>
  <c r="B165" i="12"/>
  <c r="H165" i="12"/>
  <c r="F165" i="12"/>
  <c r="G165" i="12"/>
  <c r="B180" i="12"/>
  <c r="H180" i="12"/>
  <c r="G180" i="12"/>
  <c r="F180" i="12"/>
  <c r="B185" i="12"/>
  <c r="H185" i="12"/>
  <c r="F185" i="12"/>
  <c r="G185" i="12"/>
  <c r="G117" i="12"/>
  <c r="F117" i="12"/>
  <c r="B117" i="12"/>
  <c r="H117" i="12"/>
  <c r="B7" i="12"/>
  <c r="B10" i="12"/>
  <c r="B26" i="12"/>
  <c r="B50" i="12"/>
  <c r="B66" i="12"/>
  <c r="B76" i="12"/>
  <c r="B84" i="12"/>
  <c r="B163" i="12"/>
  <c r="H163" i="12"/>
  <c r="F163" i="12"/>
  <c r="B227" i="12"/>
  <c r="H227" i="12"/>
  <c r="F227" i="12"/>
  <c r="G227" i="12"/>
  <c r="B17" i="12"/>
  <c r="G20" i="12"/>
  <c r="B33" i="12"/>
  <c r="G36" i="12"/>
  <c r="G52" i="12"/>
  <c r="G60" i="12"/>
  <c r="B65" i="12"/>
  <c r="G68" i="12"/>
  <c r="F72" i="12"/>
  <c r="G75" i="12"/>
  <c r="B75" i="12"/>
  <c r="G93" i="12"/>
  <c r="F93" i="12"/>
  <c r="B93" i="12"/>
  <c r="G100" i="12"/>
  <c r="F100" i="12"/>
  <c r="B100" i="12"/>
  <c r="B168" i="12"/>
  <c r="H168" i="12"/>
  <c r="G168" i="12"/>
  <c r="F168" i="12"/>
  <c r="G11" i="12"/>
  <c r="H20" i="12"/>
  <c r="G27" i="12"/>
  <c r="F5" i="12"/>
  <c r="F6" i="12"/>
  <c r="F7" i="12"/>
  <c r="F8" i="12"/>
  <c r="F9" i="12"/>
  <c r="G10" i="12"/>
  <c r="H11" i="12"/>
  <c r="B15" i="12"/>
  <c r="G18" i="12"/>
  <c r="H19" i="12"/>
  <c r="B23" i="12"/>
  <c r="G26" i="12"/>
  <c r="H27" i="12"/>
  <c r="B31" i="12"/>
  <c r="G34" i="12"/>
  <c r="H35" i="12"/>
  <c r="B39" i="12"/>
  <c r="G42" i="12"/>
  <c r="B47" i="12"/>
  <c r="G50" i="12"/>
  <c r="B55" i="12"/>
  <c r="G58" i="12"/>
  <c r="G66" i="12"/>
  <c r="F76" i="12"/>
  <c r="G86" i="12"/>
  <c r="H86" i="12"/>
  <c r="F86" i="12"/>
  <c r="H88" i="12"/>
  <c r="G102" i="12"/>
  <c r="F102" i="12"/>
  <c r="B102" i="12"/>
  <c r="G109" i="12"/>
  <c r="F109" i="12"/>
  <c r="B109" i="12"/>
  <c r="H109" i="12"/>
  <c r="G118" i="12"/>
  <c r="F118" i="12"/>
  <c r="B118" i="12"/>
  <c r="G125" i="12"/>
  <c r="F125" i="12"/>
  <c r="B125" i="12"/>
  <c r="H125" i="12"/>
  <c r="G134" i="12"/>
  <c r="F134" i="12"/>
  <c r="B134" i="12"/>
  <c r="G163" i="12"/>
  <c r="F217" i="12"/>
  <c r="B217" i="12"/>
  <c r="G217" i="12"/>
  <c r="H217" i="12"/>
  <c r="G71" i="12"/>
  <c r="H71" i="12"/>
  <c r="G80" i="12"/>
  <c r="B80" i="12"/>
  <c r="G84" i="12"/>
  <c r="H84" i="12"/>
  <c r="G91" i="12"/>
  <c r="B91" i="12"/>
  <c r="H91" i="12"/>
  <c r="G110" i="12"/>
  <c r="F110" i="12"/>
  <c r="B110" i="12"/>
  <c r="G126" i="12"/>
  <c r="F126" i="12"/>
  <c r="B126" i="12"/>
  <c r="G133" i="12"/>
  <c r="F133" i="12"/>
  <c r="B133" i="12"/>
  <c r="H133" i="12"/>
  <c r="B5" i="12"/>
  <c r="B6" i="12"/>
  <c r="B9" i="12"/>
  <c r="B34" i="12"/>
  <c r="B58" i="12"/>
  <c r="B71" i="12"/>
  <c r="G96" i="12"/>
  <c r="F96" i="12"/>
  <c r="B96" i="12"/>
  <c r="H96" i="12"/>
  <c r="B145" i="12"/>
  <c r="H145" i="12"/>
  <c r="F145" i="12"/>
  <c r="G145" i="12"/>
  <c r="B160" i="12"/>
  <c r="H160" i="12"/>
  <c r="G160" i="12"/>
  <c r="B171" i="12"/>
  <c r="H171" i="12"/>
  <c r="F171" i="12"/>
  <c r="G171" i="12"/>
  <c r="B191" i="12"/>
  <c r="H191" i="12"/>
  <c r="F191" i="12"/>
  <c r="G191" i="12"/>
  <c r="G12" i="12"/>
  <c r="B25" i="12"/>
  <c r="G28" i="12"/>
  <c r="B41" i="12"/>
  <c r="G44" i="12"/>
  <c r="B49" i="12"/>
  <c r="B57" i="12"/>
  <c r="G112" i="12"/>
  <c r="F112" i="12"/>
  <c r="B112" i="12"/>
  <c r="H112" i="12"/>
  <c r="G128" i="12"/>
  <c r="F128" i="12"/>
  <c r="B128" i="12"/>
  <c r="H128" i="12"/>
  <c r="B157" i="12"/>
  <c r="H157" i="12"/>
  <c r="F157" i="12"/>
  <c r="B183" i="12"/>
  <c r="H183" i="12"/>
  <c r="F183" i="12"/>
  <c r="G183" i="12"/>
  <c r="B188" i="12"/>
  <c r="H188" i="12"/>
  <c r="G188" i="12"/>
  <c r="F188" i="12"/>
  <c r="B220" i="12"/>
  <c r="F220" i="12"/>
  <c r="G220" i="12"/>
  <c r="H220" i="12"/>
  <c r="B231" i="12"/>
  <c r="H231" i="12"/>
  <c r="F231" i="12"/>
  <c r="G231" i="12"/>
  <c r="H12" i="12"/>
  <c r="B16" i="12"/>
  <c r="G19" i="12"/>
  <c r="B24" i="12"/>
  <c r="G5" i="12"/>
  <c r="G6" i="12"/>
  <c r="G7" i="12"/>
  <c r="G8" i="12"/>
  <c r="G9" i="12"/>
  <c r="H10" i="12"/>
  <c r="B14" i="12"/>
  <c r="G17" i="12"/>
  <c r="H18" i="12"/>
  <c r="B22" i="12"/>
  <c r="G25" i="12"/>
  <c r="H26" i="12"/>
  <c r="B30" i="12"/>
  <c r="G33" i="12"/>
  <c r="H34" i="12"/>
  <c r="B38" i="12"/>
  <c r="G41" i="12"/>
  <c r="H42" i="12"/>
  <c r="B46" i="12"/>
  <c r="G49" i="12"/>
  <c r="H50" i="12"/>
  <c r="B54" i="12"/>
  <c r="G57" i="12"/>
  <c r="H58" i="12"/>
  <c r="B62" i="12"/>
  <c r="G65" i="12"/>
  <c r="H66" i="12"/>
  <c r="G69" i="12"/>
  <c r="F69" i="12"/>
  <c r="F75" i="12"/>
  <c r="H76" i="12"/>
  <c r="G78" i="12"/>
  <c r="H78" i="12"/>
  <c r="F78" i="12"/>
  <c r="B86" i="12"/>
  <c r="G92" i="12"/>
  <c r="F92" i="12"/>
  <c r="B92" i="12"/>
  <c r="H93" i="12"/>
  <c r="H100" i="12"/>
  <c r="B139" i="12"/>
  <c r="H139" i="12"/>
  <c r="F139" i="12"/>
  <c r="G139" i="12"/>
  <c r="G157" i="12"/>
  <c r="B159" i="12"/>
  <c r="H159" i="12"/>
  <c r="F159" i="12"/>
  <c r="G159" i="12"/>
  <c r="B177" i="12"/>
  <c r="H177" i="12"/>
  <c r="F177" i="12"/>
  <c r="G177" i="12"/>
  <c r="B192" i="12"/>
  <c r="H192" i="12"/>
  <c r="G192" i="12"/>
  <c r="B195" i="12"/>
  <c r="H195" i="12"/>
  <c r="F195" i="12"/>
  <c r="B203" i="12"/>
  <c r="H203" i="12"/>
  <c r="F203" i="12"/>
  <c r="G203" i="12"/>
  <c r="G104" i="12"/>
  <c r="F104" i="12"/>
  <c r="B104" i="12"/>
  <c r="H104" i="12"/>
  <c r="G120" i="12"/>
  <c r="F120" i="12"/>
  <c r="B120" i="12"/>
  <c r="H120" i="12"/>
  <c r="B151" i="12"/>
  <c r="H151" i="12"/>
  <c r="F151" i="12"/>
  <c r="G151" i="12"/>
  <c r="B156" i="12"/>
  <c r="H156" i="12"/>
  <c r="G156" i="12"/>
  <c r="F156" i="12"/>
  <c r="B189" i="12"/>
  <c r="H189" i="12"/>
  <c r="F189" i="12"/>
  <c r="B200" i="12"/>
  <c r="H200" i="12"/>
  <c r="G200" i="12"/>
  <c r="F200" i="12"/>
  <c r="G85" i="12"/>
  <c r="F85" i="12"/>
  <c r="G99" i="12"/>
  <c r="F99" i="12"/>
  <c r="B99" i="12"/>
  <c r="H99" i="12"/>
  <c r="B136" i="12"/>
  <c r="H136" i="12"/>
  <c r="G136" i="12"/>
  <c r="F136" i="12"/>
  <c r="B12" i="12"/>
  <c r="H16" i="12"/>
  <c r="B20" i="12"/>
  <c r="H24" i="12"/>
  <c r="B28" i="12"/>
  <c r="G31" i="12"/>
  <c r="H32" i="12"/>
  <c r="B36" i="12"/>
  <c r="G39" i="12"/>
  <c r="H40" i="12"/>
  <c r="B44" i="12"/>
  <c r="G47" i="12"/>
  <c r="H48" i="12"/>
  <c r="B52" i="12"/>
  <c r="G55" i="12"/>
  <c r="H56" i="12"/>
  <c r="B60" i="12"/>
  <c r="G63" i="12"/>
  <c r="H64" i="12"/>
  <c r="B68" i="12"/>
  <c r="B72" i="12"/>
  <c r="G77" i="12"/>
  <c r="F77" i="12"/>
  <c r="B85" i="12"/>
  <c r="G94" i="12"/>
  <c r="F94" i="12"/>
  <c r="B94" i="12"/>
  <c r="G101" i="12"/>
  <c r="F101" i="12"/>
  <c r="B101" i="12"/>
  <c r="H102" i="12"/>
  <c r="G115" i="12"/>
  <c r="F115" i="12"/>
  <c r="B115" i="12"/>
  <c r="H115" i="12"/>
  <c r="H118" i="12"/>
  <c r="G131" i="12"/>
  <c r="F131" i="12"/>
  <c r="B131" i="12"/>
  <c r="H131" i="12"/>
  <c r="H134" i="12"/>
  <c r="B148" i="12"/>
  <c r="H148" i="12"/>
  <c r="G148" i="12"/>
  <c r="F148" i="12"/>
  <c r="B153" i="12"/>
  <c r="H153" i="12"/>
  <c r="F153" i="12"/>
  <c r="G153" i="12"/>
  <c r="B197" i="12"/>
  <c r="H197" i="12"/>
  <c r="F197" i="12"/>
  <c r="G197" i="12"/>
  <c r="H79" i="12"/>
  <c r="G89" i="12"/>
  <c r="B89" i="12"/>
  <c r="G98" i="12"/>
  <c r="F98" i="12"/>
  <c r="B98" i="12"/>
  <c r="G106" i="12"/>
  <c r="F106" i="12"/>
  <c r="B106" i="12"/>
  <c r="G114" i="12"/>
  <c r="F114" i="12"/>
  <c r="B114" i="12"/>
  <c r="G122" i="12"/>
  <c r="F122" i="12"/>
  <c r="B122" i="12"/>
  <c r="G130" i="12"/>
  <c r="F130" i="12"/>
  <c r="B130" i="12"/>
  <c r="B141" i="12"/>
  <c r="H141" i="12"/>
  <c r="F141" i="12"/>
  <c r="B144" i="12"/>
  <c r="H144" i="12"/>
  <c r="G144" i="12"/>
  <c r="B147" i="12"/>
  <c r="H147" i="12"/>
  <c r="F147" i="12"/>
  <c r="B173" i="12"/>
  <c r="H173" i="12"/>
  <c r="F173" i="12"/>
  <c r="B176" i="12"/>
  <c r="H176" i="12"/>
  <c r="G176" i="12"/>
  <c r="B179" i="12"/>
  <c r="H179" i="12"/>
  <c r="F179" i="12"/>
  <c r="B205" i="12"/>
  <c r="H205" i="12"/>
  <c r="F205" i="12"/>
  <c r="B74" i="12"/>
  <c r="B82" i="12"/>
  <c r="G95" i="12"/>
  <c r="F95" i="12"/>
  <c r="B95" i="12"/>
  <c r="G103" i="12"/>
  <c r="F103" i="12"/>
  <c r="B103" i="12"/>
  <c r="G111" i="12"/>
  <c r="F111" i="12"/>
  <c r="B111" i="12"/>
  <c r="G119" i="12"/>
  <c r="F119" i="12"/>
  <c r="B119" i="12"/>
  <c r="G127" i="12"/>
  <c r="F127" i="12"/>
  <c r="B127" i="12"/>
  <c r="G135" i="12"/>
  <c r="F135" i="12"/>
  <c r="B135" i="12"/>
  <c r="B161" i="12"/>
  <c r="H161" i="12"/>
  <c r="F161" i="12"/>
  <c r="B164" i="12"/>
  <c r="H164" i="12"/>
  <c r="G164" i="12"/>
  <c r="B167" i="12"/>
  <c r="H167" i="12"/>
  <c r="F167" i="12"/>
  <c r="B193" i="12"/>
  <c r="H193" i="12"/>
  <c r="F193" i="12"/>
  <c r="B196" i="12"/>
  <c r="H196" i="12"/>
  <c r="G196" i="12"/>
  <c r="B199" i="12"/>
  <c r="H199" i="12"/>
  <c r="F199" i="12"/>
  <c r="B228" i="12"/>
  <c r="H228" i="12"/>
  <c r="F228" i="12"/>
  <c r="G228" i="12"/>
  <c r="G108" i="12"/>
  <c r="F108" i="12"/>
  <c r="B108" i="12"/>
  <c r="G116" i="12"/>
  <c r="F116" i="12"/>
  <c r="B116" i="12"/>
  <c r="G124" i="12"/>
  <c r="F124" i="12"/>
  <c r="B124" i="12"/>
  <c r="G132" i="12"/>
  <c r="F132" i="12"/>
  <c r="B132" i="12"/>
  <c r="B149" i="12"/>
  <c r="H149" i="12"/>
  <c r="F149" i="12"/>
  <c r="B152" i="12"/>
  <c r="H152" i="12"/>
  <c r="G152" i="12"/>
  <c r="B155" i="12"/>
  <c r="H155" i="12"/>
  <c r="F155" i="12"/>
  <c r="B181" i="12"/>
  <c r="H181" i="12"/>
  <c r="F181" i="12"/>
  <c r="B184" i="12"/>
  <c r="H184" i="12"/>
  <c r="G184" i="12"/>
  <c r="B187" i="12"/>
  <c r="H187" i="12"/>
  <c r="F187" i="12"/>
  <c r="B219" i="12"/>
  <c r="F219" i="12"/>
  <c r="H219" i="12"/>
  <c r="G219" i="12"/>
  <c r="F89" i="12"/>
  <c r="G97" i="12"/>
  <c r="F97" i="12"/>
  <c r="B97" i="12"/>
  <c r="H98" i="12"/>
  <c r="G105" i="12"/>
  <c r="F105" i="12"/>
  <c r="B105" i="12"/>
  <c r="H106" i="12"/>
  <c r="G113" i="12"/>
  <c r="F113" i="12"/>
  <c r="B113" i="12"/>
  <c r="H114" i="12"/>
  <c r="G121" i="12"/>
  <c r="F121" i="12"/>
  <c r="B121" i="12"/>
  <c r="H122" i="12"/>
  <c r="G129" i="12"/>
  <c r="F129" i="12"/>
  <c r="B129" i="12"/>
  <c r="H130" i="12"/>
  <c r="B137" i="12"/>
  <c r="H137" i="12"/>
  <c r="F137" i="12"/>
  <c r="B140" i="12"/>
  <c r="H140" i="12"/>
  <c r="G140" i="12"/>
  <c r="G141" i="12"/>
  <c r="B143" i="12"/>
  <c r="H143" i="12"/>
  <c r="F143" i="12"/>
  <c r="F144" i="12"/>
  <c r="G147" i="12"/>
  <c r="B169" i="12"/>
  <c r="H169" i="12"/>
  <c r="F169" i="12"/>
  <c r="B172" i="12"/>
  <c r="H172" i="12"/>
  <c r="G172" i="12"/>
  <c r="G173" i="12"/>
  <c r="B175" i="12"/>
  <c r="H175" i="12"/>
  <c r="F175" i="12"/>
  <c r="F176" i="12"/>
  <c r="G179" i="12"/>
  <c r="B201" i="12"/>
  <c r="H201" i="12"/>
  <c r="F201" i="12"/>
  <c r="B204" i="12"/>
  <c r="H204" i="12"/>
  <c r="G204" i="12"/>
  <c r="G205" i="12"/>
  <c r="B233" i="12"/>
  <c r="H233" i="12"/>
  <c r="F233" i="12"/>
  <c r="G233" i="12"/>
  <c r="B138" i="12"/>
  <c r="H138" i="12"/>
  <c r="B142" i="12"/>
  <c r="H142" i="12"/>
  <c r="B146" i="12"/>
  <c r="H146" i="12"/>
  <c r="B150" i="12"/>
  <c r="H150" i="12"/>
  <c r="B154" i="12"/>
  <c r="H154" i="12"/>
  <c r="B158" i="12"/>
  <c r="H158" i="12"/>
  <c r="B162" i="12"/>
  <c r="H162" i="12"/>
  <c r="B166" i="12"/>
  <c r="H166" i="12"/>
  <c r="B170" i="12"/>
  <c r="H170" i="12"/>
  <c r="B174" i="12"/>
  <c r="H174" i="12"/>
  <c r="B178" i="12"/>
  <c r="H178" i="12"/>
  <c r="B182" i="12"/>
  <c r="H182" i="12"/>
  <c r="B186" i="12"/>
  <c r="H186" i="12"/>
  <c r="B190" i="12"/>
  <c r="H190" i="12"/>
  <c r="B194" i="12"/>
  <c r="H194" i="12"/>
  <c r="B198" i="12"/>
  <c r="H198" i="12"/>
  <c r="B202" i="12"/>
  <c r="H202" i="12"/>
  <c r="B223" i="12"/>
  <c r="H223" i="12"/>
  <c r="F223" i="12"/>
  <c r="G223" i="12"/>
  <c r="B225" i="12"/>
  <c r="H225" i="12"/>
  <c r="F225" i="12"/>
  <c r="G225" i="12"/>
  <c r="H206" i="12"/>
  <c r="H207" i="12"/>
  <c r="H208" i="12"/>
  <c r="H209" i="12"/>
  <c r="H210" i="12"/>
  <c r="H211" i="12"/>
  <c r="H212" i="12"/>
  <c r="H213" i="12"/>
  <c r="H214" i="12"/>
  <c r="H215" i="12"/>
  <c r="B222" i="12"/>
  <c r="H222" i="12"/>
  <c r="F222" i="12"/>
  <c r="B230" i="12"/>
  <c r="H230" i="12"/>
  <c r="F230" i="12"/>
  <c r="B224" i="12"/>
  <c r="H224" i="12"/>
  <c r="F224" i="12"/>
  <c r="B232" i="12"/>
  <c r="H232" i="12"/>
  <c r="F232" i="12"/>
  <c r="B216" i="12"/>
  <c r="B221" i="12"/>
  <c r="H221" i="12"/>
  <c r="F221" i="12"/>
  <c r="G222" i="12"/>
  <c r="B229" i="12"/>
  <c r="H229" i="12"/>
  <c r="F229" i="12"/>
  <c r="G230" i="12"/>
  <c r="G218" i="12"/>
  <c r="B226" i="12"/>
  <c r="H226" i="12"/>
  <c r="F226" i="12"/>
  <c r="B234" i="12"/>
  <c r="H234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G300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G303" i="12"/>
  <c r="F302" i="12"/>
  <c r="F301" i="12"/>
  <c r="F304" i="12"/>
  <c r="H300" i="12"/>
  <c r="H301" i="12"/>
  <c r="H302" i="12"/>
  <c r="H303" i="12"/>
  <c r="G304" i="12"/>
</calcChain>
</file>

<file path=xl/sharedStrings.xml><?xml version="1.0" encoding="utf-8"?>
<sst xmlns="http://schemas.openxmlformats.org/spreadsheetml/2006/main" count="6264" uniqueCount="435">
  <si>
    <t>PLANILLA MAESTRA DEL CAMPEONATO – AF NACIMIENTO</t>
  </si>
  <si>
    <t>Esta planilla centraliza la administración del campeonato. Las hojas Clubes, Partidos, Castigados, Multas y Noticias mantienen los nombres de columnas principales compatibles con la aplicación Streamlit.</t>
  </si>
  <si>
    <t>HOJA</t>
  </si>
  <si>
    <t>FINALIDAD</t>
  </si>
  <si>
    <t>QUIÉN DEBE ACTUALIZARLA</t>
  </si>
  <si>
    <t>OBSERVACIÓN</t>
  </si>
  <si>
    <t>Dashboard</t>
  </si>
  <si>
    <t>Resumen automático del campeonato</t>
  </si>
  <si>
    <t>No requiere carga manual</t>
  </si>
  <si>
    <t>Los indicadores se alimentan de las demás hojas.</t>
  </si>
  <si>
    <t>Configuracion</t>
  </si>
  <si>
    <t>Parámetros, listas y valores para desplegables</t>
  </si>
  <si>
    <t>Administrador</t>
  </si>
  <si>
    <t>No eliminar listas; se utilizan en las validaciones.</t>
  </si>
  <si>
    <t>Clubes</t>
  </si>
  <si>
    <t>Registro oficial de clubes</t>
  </si>
  <si>
    <t>Secretaría / administrador</t>
  </si>
  <si>
    <t>Villa Alegre se incluye una sola vez.</t>
  </si>
  <si>
    <t>Series</t>
  </si>
  <si>
    <t>Catálogo de series oficiales</t>
  </si>
  <si>
    <t>Se cargaron las 9 series informadas.</t>
  </si>
  <si>
    <t>Inscripciones</t>
  </si>
  <si>
    <t>Participación de cada club por serie</t>
  </si>
  <si>
    <t>Secretaría</t>
  </si>
  <si>
    <t>Cambiar 'Por confirmar' por Sí o No.</t>
  </si>
  <si>
    <t>Canchas</t>
  </si>
  <si>
    <t>Registro de estadios y canchas</t>
  </si>
  <si>
    <t>Incluye las canchas identificadas en el fixture.</t>
  </si>
  <si>
    <t>Jugadores</t>
  </si>
  <si>
    <t>Nómina completa de jugadores</t>
  </si>
  <si>
    <t>Clubes / secretaría</t>
  </si>
  <si>
    <t>Usar un ID único por jugador.</t>
  </si>
  <si>
    <t>Cuerpo_Tecnico</t>
  </si>
  <si>
    <t>Directores técnicos, delegados y personal</t>
  </si>
  <si>
    <t>Relacionar con club y serie.</t>
  </si>
  <si>
    <t>Partidos</t>
  </si>
  <si>
    <t>Fixture, resultados, árbitros y actas</t>
  </si>
  <si>
    <t>Competencia</t>
  </si>
  <si>
    <t>Asignar la serie a los partidos referenciales.</t>
  </si>
  <si>
    <t>Tabla_Posiciones</t>
  </si>
  <si>
    <t>Cálculo automático de posiciones</t>
  </si>
  <si>
    <t>Funciona cuando Inscripciones indica Sí y Partidos está Finalizado.</t>
  </si>
  <si>
    <t>Goles</t>
  </si>
  <si>
    <t>Registro individual de goles</t>
  </si>
  <si>
    <t>Mesa / competencia</t>
  </si>
  <si>
    <t>Permite obtener goleadores.</t>
  </si>
  <si>
    <t>Goleadores</t>
  </si>
  <si>
    <t>Resumen automático por jugador</t>
  </si>
  <si>
    <t>Se alimenta de Jugadores y Goles.</t>
  </si>
  <si>
    <t>Disciplina</t>
  </si>
  <si>
    <t>Tarjetas e incidentes por partido</t>
  </si>
  <si>
    <t>Tribunal / competencia</t>
  </si>
  <si>
    <t>Registrar amarillas, rojas e informes.</t>
  </si>
  <si>
    <t>Castigados</t>
  </si>
  <si>
    <t>Sanciones vigentes o históricas</t>
  </si>
  <si>
    <t>Tribunal de disciplina</t>
  </si>
  <si>
    <t>Compatible con el módulo de castigados de Streamlit.</t>
  </si>
  <si>
    <t>Multas</t>
  </si>
  <si>
    <t>Multas por club y estado de pago</t>
  </si>
  <si>
    <t>Tesorería / tribunal</t>
  </si>
  <si>
    <t>Compatible con el módulo de multas de Streamlit.</t>
  </si>
  <si>
    <t>Arbitros</t>
  </si>
  <si>
    <t>Registro de árbitros</t>
  </si>
  <si>
    <t>Comisión de árbitros</t>
  </si>
  <si>
    <t>Los nombramientos también se consignan en Partidos.</t>
  </si>
  <si>
    <t>Noticias</t>
  </si>
  <si>
    <t>Publicaciones para la página</t>
  </si>
  <si>
    <t>Comunicaciones</t>
  </si>
  <si>
    <t>Compatible con el módulo de noticias de Streamlit.</t>
  </si>
  <si>
    <t>Documentos</t>
  </si>
  <si>
    <t>Reglamentos, bases, actas y resoluciones</t>
  </si>
  <si>
    <t>Incorporar enlace público o interno.</t>
  </si>
  <si>
    <t>CONFIGURACIÓN GENERAL Y LISTAS DE CONTROL</t>
  </si>
  <si>
    <t>Parámetro</t>
  </si>
  <si>
    <t>Valor</t>
  </si>
  <si>
    <t>Estados partido</t>
  </si>
  <si>
    <t>Sí / No</t>
  </si>
  <si>
    <t>Tipos de gol</t>
  </si>
  <si>
    <t>Tipos de tarjeta</t>
  </si>
  <si>
    <t>Estados sanción</t>
  </si>
  <si>
    <t>Estados multa</t>
  </si>
  <si>
    <t>Estados registro</t>
  </si>
  <si>
    <t>Tipos documento</t>
  </si>
  <si>
    <t>Tipos noticia</t>
  </si>
  <si>
    <t>Cargos técnicos</t>
  </si>
  <si>
    <t>Categorías árbitro</t>
  </si>
  <si>
    <t>Temporada</t>
  </si>
  <si>
    <t>Segunda Adulta</t>
  </si>
  <si>
    <t>Programado</t>
  </si>
  <si>
    <t>Sí</t>
  </si>
  <si>
    <t>Jugada</t>
  </si>
  <si>
    <t>Amarilla</t>
  </si>
  <si>
    <t>Pendiente</t>
  </si>
  <si>
    <t>Activo</t>
  </si>
  <si>
    <t>Bases</t>
  </si>
  <si>
    <t>Noticia</t>
  </si>
  <si>
    <t>Director Técnico</t>
  </si>
  <si>
    <t>Árbitro</t>
  </si>
  <si>
    <t>Nombre del campeonato</t>
  </si>
  <si>
    <t>Campeonato Oficial ANFA Nacimiento</t>
  </si>
  <si>
    <t>Primera Adulta</t>
  </si>
  <si>
    <t>Reprogramado</t>
  </si>
  <si>
    <t>No</t>
  </si>
  <si>
    <t>Penal</t>
  </si>
  <si>
    <t>Doble amarilla</t>
  </si>
  <si>
    <t>Cumpliendo</t>
  </si>
  <si>
    <t>Pagada</t>
  </si>
  <si>
    <t>Inactivo</t>
  </si>
  <si>
    <t>Reglamento</t>
  </si>
  <si>
    <t>Comunicado</t>
  </si>
  <si>
    <t>Ayudante Técnico</t>
  </si>
  <si>
    <t>Árbitro asistente</t>
  </si>
  <si>
    <t>Puntos por victoria</t>
  </si>
  <si>
    <t>Super Senior</t>
  </si>
  <si>
    <t>Suspendido</t>
  </si>
  <si>
    <t>Por confirmar</t>
  </si>
  <si>
    <t>Tiro libre</t>
  </si>
  <si>
    <t>Roja directa</t>
  </si>
  <si>
    <t>Cumplida</t>
  </si>
  <si>
    <t>Parcial</t>
  </si>
  <si>
    <t>Acta</t>
  </si>
  <si>
    <t>Programación</t>
  </si>
  <si>
    <t>Preparador Físico</t>
  </si>
  <si>
    <t>Cuarto árbitro</t>
  </si>
  <si>
    <t>Puntos por empate</t>
  </si>
  <si>
    <t>Senior</t>
  </si>
  <si>
    <t>En curso</t>
  </si>
  <si>
    <t>Cabeza</t>
  </si>
  <si>
    <t>Informe arbitral</t>
  </si>
  <si>
    <t>Apelada</t>
  </si>
  <si>
    <t>Retirado</t>
  </si>
  <si>
    <t>Resolución</t>
  </si>
  <si>
    <t>Resultado</t>
  </si>
  <si>
    <t>Paramédico</t>
  </si>
  <si>
    <t>Comisario</t>
  </si>
  <si>
    <t>Puntos por derrota</t>
  </si>
  <si>
    <t>Dorados</t>
  </si>
  <si>
    <t>Finalizado</t>
  </si>
  <si>
    <t>Autogol</t>
  </si>
  <si>
    <t>Incidente</t>
  </si>
  <si>
    <t>Anulada</t>
  </si>
  <si>
    <t>Delegado</t>
  </si>
  <si>
    <t>Otro</t>
  </si>
  <si>
    <t>Honor</t>
  </si>
  <si>
    <t>Anulado</t>
  </si>
  <si>
    <t>Institucional</t>
  </si>
  <si>
    <t>Utilero</t>
  </si>
  <si>
    <t>Tercera Infantil</t>
  </si>
  <si>
    <t>Dirigente</t>
  </si>
  <si>
    <t>Segunda Infantil</t>
  </si>
  <si>
    <t>Primera Infantil</t>
  </si>
  <si>
    <t>REGISTRO OFICIAL DE CLUBES</t>
  </si>
  <si>
    <t>club</t>
  </si>
  <si>
    <t>estadio</t>
  </si>
  <si>
    <t>fundacion</t>
  </si>
  <si>
    <t>presidente</t>
  </si>
  <si>
    <t>rut_club</t>
  </si>
  <si>
    <t>sigla</t>
  </si>
  <si>
    <t>colores</t>
  </si>
  <si>
    <t>direccion</t>
  </si>
  <si>
    <t>comuna</t>
  </si>
  <si>
    <t>telefono</t>
  </si>
  <si>
    <t>correo</t>
  </si>
  <si>
    <t>redes_sociales</t>
  </si>
  <si>
    <t>logo_url</t>
  </si>
  <si>
    <t>estado</t>
  </si>
  <si>
    <t>Villa Alegre</t>
  </si>
  <si>
    <t>Por definir</t>
  </si>
  <si>
    <t>Nacimiento</t>
  </si>
  <si>
    <t>U.J. Lautaro</t>
  </si>
  <si>
    <t>Forestal</t>
  </si>
  <si>
    <t>Estadio Forestal</t>
  </si>
  <si>
    <t>Grinvasul</t>
  </si>
  <si>
    <t>Jota Montt</t>
  </si>
  <si>
    <t>Inca</t>
  </si>
  <si>
    <t>Colo Colo</t>
  </si>
  <si>
    <t>Maestranza</t>
  </si>
  <si>
    <t>SERIES OFICIALES DEL CAMPEONATO</t>
  </si>
  <si>
    <t>serie</t>
  </si>
  <si>
    <t>orden</t>
  </si>
  <si>
    <t>categoria</t>
  </si>
  <si>
    <t>edad_minima</t>
  </si>
  <si>
    <t>edad_maxima</t>
  </si>
  <si>
    <t>año_nacimiento_desde</t>
  </si>
  <si>
    <t>año_nacimiento_hasta</t>
  </si>
  <si>
    <t>duracion_partido_min</t>
  </si>
  <si>
    <t>regla_especial</t>
  </si>
  <si>
    <t>Adulta</t>
  </si>
  <si>
    <t>Por definir según bases</t>
  </si>
  <si>
    <t>Infantil</t>
  </si>
  <si>
    <t>INSCRIPCIÓN DE CLUBES POR SERIE</t>
  </si>
  <si>
    <t>id_inscripcion</t>
  </si>
  <si>
    <t>participa</t>
  </si>
  <si>
    <t>fecha_inscripcion</t>
  </si>
  <si>
    <t>delegado</t>
  </si>
  <si>
    <t>telefono_delegado</t>
  </si>
  <si>
    <t>correo_delegado</t>
  </si>
  <si>
    <t>estado_documental</t>
  </si>
  <si>
    <t>observaciones</t>
  </si>
  <si>
    <t>REGISTRO DE CANCHAS Y ESTADIOS</t>
  </si>
  <si>
    <t>id_cancha</t>
  </si>
  <si>
    <t>nombre</t>
  </si>
  <si>
    <t>capacidad</t>
  </si>
  <si>
    <t>club_asociado</t>
  </si>
  <si>
    <t>CAN-001</t>
  </si>
  <si>
    <t>Estadio Municipal Cancha 1</t>
  </si>
  <si>
    <t>CAN-002</t>
  </si>
  <si>
    <t>Estadio Municipal Cancha 2</t>
  </si>
  <si>
    <t>CAN-003</t>
  </si>
  <si>
    <t>CAN-004</t>
  </si>
  <si>
    <t>Cancha COINAC</t>
  </si>
  <si>
    <t>id_jugador</t>
  </si>
  <si>
    <t>nombres</t>
  </si>
  <si>
    <t>apellido_paterno</t>
  </si>
  <si>
    <t>apellido_materno</t>
  </si>
  <si>
    <t>rut</t>
  </si>
  <si>
    <t>posicion</t>
  </si>
  <si>
    <t>FIXTURE, RESULTADOS Y DESIGNACIONES</t>
  </si>
  <si>
    <t>jornada</t>
  </si>
  <si>
    <t>fecha</t>
  </si>
  <si>
    <t>hora</t>
  </si>
  <si>
    <t>local</t>
  </si>
  <si>
    <t>visita</t>
  </si>
  <si>
    <t>goles_local</t>
  </si>
  <si>
    <t>goles_visita</t>
  </si>
  <si>
    <t>id_partido</t>
  </si>
  <si>
    <t>temporada</t>
  </si>
  <si>
    <t>campeonato</t>
  </si>
  <si>
    <t>arbitro</t>
  </si>
  <si>
    <t>asistente_1</t>
  </si>
  <si>
    <t>ganador</t>
  </si>
  <si>
    <t>resultado</t>
  </si>
  <si>
    <t>puntos_local</t>
  </si>
  <si>
    <t>puntos_visita</t>
  </si>
  <si>
    <t>publicar_web</t>
  </si>
  <si>
    <t>ultima_actualizacion</t>
  </si>
  <si>
    <t>TABLA DE POSICIONES AUTOMÁTICA</t>
  </si>
  <si>
    <t>PJ</t>
  </si>
  <si>
    <t>PG</t>
  </si>
  <si>
    <t>PE</t>
  </si>
  <si>
    <t>PP</t>
  </si>
  <si>
    <t>GF</t>
  </si>
  <si>
    <t>GC</t>
  </si>
  <si>
    <t>DG</t>
  </si>
  <si>
    <t>puntos_obtenidos</t>
  </si>
  <si>
    <t>descuento_puntos</t>
  </si>
  <si>
    <t>PTS</t>
  </si>
  <si>
    <t>jugador</t>
  </si>
  <si>
    <t>minuto</t>
  </si>
  <si>
    <t>TABLA AUTOMÁTICA DE GOLEADORES</t>
  </si>
  <si>
    <t>El resumen se genera a partir del ID de jugador registrado en Jugadores y de los eventos ingresados en Goles.</t>
  </si>
  <si>
    <t>partidos_jugados</t>
  </si>
  <si>
    <t>goles</t>
  </si>
  <si>
    <t>penales</t>
  </si>
  <si>
    <t>autogoles</t>
  </si>
  <si>
    <t>TARJETAS, INCIDENTES E INFORMES</t>
  </si>
  <si>
    <t>id_evento</t>
  </si>
  <si>
    <t>tipo_evento</t>
  </si>
  <si>
    <t>motivo</t>
  </si>
  <si>
    <t>arbitro_informante</t>
  </si>
  <si>
    <t>expulsado</t>
  </si>
  <si>
    <t>pasa_a_tribunal</t>
  </si>
  <si>
    <t>enlace_informe</t>
  </si>
  <si>
    <t>JUGADORES CASTIGADOS Y SANCIONES</t>
  </si>
  <si>
    <t>fechas_pendientes</t>
  </si>
  <si>
    <t>id_sancion</t>
  </si>
  <si>
    <t>fecha_resolucion</t>
  </si>
  <si>
    <t>fechas_sancionadas</t>
  </si>
  <si>
    <t>organismo</t>
  </si>
  <si>
    <t>numero_resolucion</t>
  </si>
  <si>
    <t>fecha_cumplimiento</t>
  </si>
  <si>
    <t>enlace_resolucion</t>
  </si>
  <si>
    <t>MULTAS, CARGOS Y ESTADO DE PAGO</t>
  </si>
  <si>
    <t>monto</t>
  </si>
  <si>
    <t>id_multa</t>
  </si>
  <si>
    <t>fecha_emision</t>
  </si>
  <si>
    <t>fecha_vencimiento</t>
  </si>
  <si>
    <t>monto_pagado</t>
  </si>
  <si>
    <t>saldo</t>
  </si>
  <si>
    <t>fecha_pago</t>
  </si>
  <si>
    <t>medio_pago</t>
  </si>
  <si>
    <t>REGISTRO DE ÁRBITROS Y OFICIALES</t>
  </si>
  <si>
    <t>id_arbitro</t>
  </si>
  <si>
    <t>fecha_ingreso</t>
  </si>
  <si>
    <t>partidos_designados</t>
  </si>
  <si>
    <t>evaluacion_promedio</t>
  </si>
  <si>
    <t>NOTICIAS Y COMUNICADOS PARA LA PÁGINA</t>
  </si>
  <si>
    <t>titulo</t>
  </si>
  <si>
    <t>resumen</t>
  </si>
  <si>
    <t>id_noticia</t>
  </si>
  <si>
    <t>tipo</t>
  </si>
  <si>
    <t>contenido</t>
  </si>
  <si>
    <t>autor</t>
  </si>
  <si>
    <t>imagen_url</t>
  </si>
  <si>
    <t>documento_url</t>
  </si>
  <si>
    <t>destacada</t>
  </si>
  <si>
    <t>fecha_publicacion</t>
  </si>
  <si>
    <t>DOCUMENTOS OFICIALES DEL CAMPEONATO</t>
  </si>
  <si>
    <t>id_documento</t>
  </si>
  <si>
    <t>fecha_documento</t>
  </si>
  <si>
    <t>numero_documento</t>
  </si>
  <si>
    <t>enlace_archivo</t>
  </si>
  <si>
    <t>PANEL GENERAL DEL CAMPEONATO 2026</t>
  </si>
  <si>
    <t>CLUBES ACTIVOS</t>
  </si>
  <si>
    <t>SERIES ACTIVAS</t>
  </si>
  <si>
    <t>PARTIDOS REGISTRADOS</t>
  </si>
  <si>
    <t>PARTIDOS FINALIZADOS</t>
  </si>
  <si>
    <t>GOLES REGISTRADOS</t>
  </si>
  <si>
    <t>SANCIONES PENDIENTES</t>
  </si>
  <si>
    <t>MULTAS PENDIENTES</t>
  </si>
  <si>
    <t>SALDO DE MULTAS</t>
  </si>
  <si>
    <t>NOTICIAS PUBLICADAS</t>
  </si>
  <si>
    <t>Serie</t>
  </si>
  <si>
    <t>Finalizados</t>
  </si>
  <si>
    <t>Pendientes</t>
  </si>
  <si>
    <t>Control</t>
  </si>
  <si>
    <t>Alerta</t>
  </si>
  <si>
    <t>Criterio</t>
  </si>
  <si>
    <t>Acción recomendada</t>
  </si>
  <si>
    <t>INS-001</t>
  </si>
  <si>
    <t>Completo</t>
  </si>
  <si>
    <t>DATOS FICTICIOS PARA SIMULACIÓN DE LA APLICACIÓN</t>
  </si>
  <si>
    <t>INS-002</t>
  </si>
  <si>
    <t>INS-003</t>
  </si>
  <si>
    <t>INS-004</t>
  </si>
  <si>
    <t>INS-005</t>
  </si>
  <si>
    <t>INS-006</t>
  </si>
  <si>
    <t>INS-007</t>
  </si>
  <si>
    <t>INS-008</t>
  </si>
  <si>
    <t>INS-009</t>
  </si>
  <si>
    <t>INS-010</t>
  </si>
  <si>
    <t>INS-011</t>
  </si>
  <si>
    <t>INS-012</t>
  </si>
  <si>
    <t>INS-013</t>
  </si>
  <si>
    <t>INS-014</t>
  </si>
  <si>
    <t>INS-015</t>
  </si>
  <si>
    <t>INS-016</t>
  </si>
  <si>
    <t>INS-017</t>
  </si>
  <si>
    <t>INS-018</t>
  </si>
  <si>
    <t>INS-019</t>
  </si>
  <si>
    <t>INS-020</t>
  </si>
  <si>
    <t>INS-021</t>
  </si>
  <si>
    <t>INS-022</t>
  </si>
  <si>
    <t>INS-023</t>
  </si>
  <si>
    <t>INS-024</t>
  </si>
  <si>
    <t>INS-025</t>
  </si>
  <si>
    <t>INS-026</t>
  </si>
  <si>
    <t>INS-027</t>
  </si>
  <si>
    <t>INS-028</t>
  </si>
  <si>
    <t>INS-029</t>
  </si>
  <si>
    <t>INS-030</t>
  </si>
  <si>
    <t>INS-031</t>
  </si>
  <si>
    <t>INS-032</t>
  </si>
  <si>
    <t>INS-033</t>
  </si>
  <si>
    <t>INS-034</t>
  </si>
  <si>
    <t>INS-035</t>
  </si>
  <si>
    <t>INS-036</t>
  </si>
  <si>
    <t>INS-037</t>
  </si>
  <si>
    <t>INS-038</t>
  </si>
  <si>
    <t>INS-039</t>
  </si>
  <si>
    <t>INS-040</t>
  </si>
  <si>
    <t>INS-041</t>
  </si>
  <si>
    <t>INS-042</t>
  </si>
  <si>
    <t>INS-043</t>
  </si>
  <si>
    <t>INS-044</t>
  </si>
  <si>
    <t>INS-045</t>
  </si>
  <si>
    <t>INS-046</t>
  </si>
  <si>
    <t>INS-047</t>
  </si>
  <si>
    <t>INS-048</t>
  </si>
  <si>
    <t>INS-049</t>
  </si>
  <si>
    <t>INS-050</t>
  </si>
  <si>
    <t>INS-051</t>
  </si>
  <si>
    <t>INS-052</t>
  </si>
  <si>
    <t>INS-053</t>
  </si>
  <si>
    <t>INS-054</t>
  </si>
  <si>
    <t>INS-055</t>
  </si>
  <si>
    <t>INS-056</t>
  </si>
  <si>
    <t>INS-057</t>
  </si>
  <si>
    <t>INS-058</t>
  </si>
  <si>
    <t>INS-059</t>
  </si>
  <si>
    <t>INS-060</t>
  </si>
  <si>
    <t>INS-061</t>
  </si>
  <si>
    <t>INS-062</t>
  </si>
  <si>
    <t>INS-063</t>
  </si>
  <si>
    <t>INS-064</t>
  </si>
  <si>
    <t>INS-065</t>
  </si>
  <si>
    <t>INS-066</t>
  </si>
  <si>
    <t>INS-067</t>
  </si>
  <si>
    <t>INS-068</t>
  </si>
  <si>
    <t>INS-069</t>
  </si>
  <si>
    <t>INS-070</t>
  </si>
  <si>
    <t>INS-071</t>
  </si>
  <si>
    <t>INS-072</t>
  </si>
  <si>
    <t>17:15</t>
  </si>
  <si>
    <t>Patricio Soto</t>
  </si>
  <si>
    <t>Cristian Rojas</t>
  </si>
  <si>
    <t>Héctor Sepúlveda</t>
  </si>
  <si>
    <t>RESULTADO FICTICIO – SIMULACIÓN AL CIERRE DE LA FECHA 9</t>
  </si>
  <si>
    <t>Mauricio Herrera</t>
  </si>
  <si>
    <t>Alejandro Salazar</t>
  </si>
  <si>
    <t>Luis Sandoval</t>
  </si>
  <si>
    <t>Felipe Contreras</t>
  </si>
  <si>
    <t>Rodrigo Fuentes</t>
  </si>
  <si>
    <t>Jorge Valdés</t>
  </si>
  <si>
    <t>Matías Arriagada</t>
  </si>
  <si>
    <t>Diego Bustos</t>
  </si>
  <si>
    <t>Carlos Muñoz</t>
  </si>
  <si>
    <t>PARTIDO PROGRAMADO FICTICIO – SEGUNDA RUEDA</t>
  </si>
  <si>
    <t>18:30</t>
  </si>
  <si>
    <t>14:45</t>
  </si>
  <si>
    <t>16:00</t>
  </si>
  <si>
    <t>13:30</t>
  </si>
  <si>
    <t>20:00</t>
  </si>
  <si>
    <t>09:00</t>
  </si>
  <si>
    <t>10:30</t>
  </si>
  <si>
    <t>12:00</t>
  </si>
  <si>
    <t>SIMULACIÓN FICTICIA: tabla calculada al cierre de la fecha 9, correspondiente a la 2ª fecha de la segunda rueda.</t>
  </si>
  <si>
    <t>SIMULACIÓN FECHA 9 – 2ª FECHA DE LA SEGUNDA RUEDA</t>
  </si>
  <si>
    <t>Indicadores de simulación del campeonato: 14 fechas, dos ruedas y resultados cargados hasta la fecha 9.</t>
  </si>
  <si>
    <t>Partidos sin serie</t>
  </si>
  <si>
    <t>OK</t>
  </si>
  <si>
    <t>Debe ser 0</t>
  </si>
  <si>
    <t>Sin acciones pendientes.</t>
  </si>
  <si>
    <t>Partidos sin fecha</t>
  </si>
  <si>
    <t>Revisar programación</t>
  </si>
  <si>
    <t>Fixture completo cargado.</t>
  </si>
  <si>
    <t>Clubes por confirmar</t>
  </si>
  <si>
    <t>Revisar inscripciones</t>
  </si>
  <si>
    <t>Los 8 clubes participan en las 9 series.</t>
  </si>
  <si>
    <t>Sanciones pendientes</t>
  </si>
  <si>
    <t>Seguimiento tribunal</t>
  </si>
  <si>
    <t>Sin sanciones ficticias cargadas.</t>
  </si>
  <si>
    <t>Multas con saldo</t>
  </si>
  <si>
    <t>Seguimiento tesorería</t>
  </si>
  <si>
    <t>Sin multas ficticias cargadas.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</si>
</sst>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"/>
    <numFmt numFmtId="165" formatCode="hh:mm"/>
    <numFmt numFmtId="166" formatCode="dd\-mm\-yyyy\ hh:mm"/>
    <numFmt numFmtId="167" formatCode="\$\ #,##0"/>
    <numFmt numFmtId="168" formatCode="0.0"/>
  </numFmts>
  <fonts count="12">
    <font>
      <sz val="11"/>
      <name val="Carlito"/>
    </font>
    <font>
      <b/>
      <sz val="18"/>
      <color rgb="FFFFFFFF"/>
      <name val="Carlito"/>
    </font>
    <font>
      <b/>
      <sz val="11"/>
      <color rgb="FF092A55"/>
      <name val="Carlito"/>
    </font>
    <font>
      <b/>
      <sz val="10"/>
      <color rgb="FFFFFFFF"/>
      <name val="Carlito"/>
    </font>
    <font>
      <b/>
      <sz val="24"/>
      <color rgb="FF092A55"/>
      <name val="Carlito"/>
    </font>
    <font>
      <b/>
      <sz val="10"/>
      <color rgb="FF092A55"/>
      <name val="Carlito"/>
    </font>
    <font>
      <b/>
      <sz val="22"/>
      <color rgb="FF092A55"/>
      <name val="Carlito"/>
    </font>
    <font>
      <b/>
      <sz val="10"/>
      <color rgb="FF1F2937"/>
      <name val="Carlito"/>
    </font>
    <font>
      <sz val="10"/>
      <color rgb="FF1F2937"/>
      <name val="Carlito"/>
    </font>
    <font>
      <sz val="9"/>
      <color rgb="FF1F2937"/>
      <name val="Carlito"/>
    </font>
    <font>
      <b/>
      <sz val="10"/>
      <color theme="0"/>
      <name val="Carlito"/>
    </font>
    <font>
      <b/>
      <sz val="18"/>
      <color theme="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92A55"/>
      </patternFill>
    </fill>
    <fill>
      <patternFill patternType="solid">
        <fgColor rgb="FFDCE8F5"/>
      </patternFill>
    </fill>
    <fill>
      <patternFill patternType="solid">
        <fgColor rgb="FF0D3F7A"/>
      </patternFill>
    </fill>
    <fill>
      <patternFill patternType="solid">
        <fgColor rgb="FFF4F7FB"/>
      </patternFill>
    </fill>
    <fill>
      <patternFill patternType="solid">
        <fgColor rgb="FFFFFFFF"/>
      </patternFill>
    </fill>
    <fill>
      <patternFill patternType="solid">
        <fgColor rgb="FFE6B643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5" borderId="0" xfId="0" applyFill="1" applyAlignment="1">
      <alignment horizontal="center"/>
    </xf>
    <xf numFmtId="16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166" fontId="0" fillId="0" borderId="0" xfId="0" applyNumberFormat="1" applyAlignment="1">
      <alignment vertical="center" wrapText="1"/>
    </xf>
    <xf numFmtId="167" fontId="0" fillId="0" borderId="0" xfId="0" applyNumberFormat="1" applyAlignment="1">
      <alignment vertical="center" wrapText="1"/>
    </xf>
    <xf numFmtId="168" fontId="0" fillId="0" borderId="0" xfId="0" applyNumberFormat="1" applyAlignment="1">
      <alignment vertical="center" wrapText="1"/>
    </xf>
    <xf numFmtId="0" fontId="8" fillId="0" borderId="0" xfId="0" applyFont="1"/>
    <xf numFmtId="0" fontId="7" fillId="4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8" borderId="0" xfId="0" applyFont="1" applyFill="1" applyAlignment="1">
      <alignment vertical="center" wrapText="1"/>
    </xf>
    <xf numFmtId="164" fontId="8" fillId="8" borderId="0" xfId="0" applyNumberFormat="1" applyFont="1" applyFill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8" fillId="8" borderId="2" xfId="0" applyFont="1" applyFill="1" applyBorder="1" applyAlignment="1">
      <alignment vertical="center" wrapText="1"/>
    </xf>
    <xf numFmtId="164" fontId="8" fillId="8" borderId="2" xfId="0" applyNumberFormat="1" applyFont="1" applyFill="1" applyBorder="1" applyAlignment="1">
      <alignment vertical="center" wrapText="1"/>
    </xf>
    <xf numFmtId="0" fontId="8" fillId="8" borderId="3" xfId="0" applyFont="1" applyFill="1" applyBorder="1" applyAlignment="1">
      <alignment vertical="center" wrapText="1"/>
    </xf>
    <xf numFmtId="0" fontId="8" fillId="8" borderId="4" xfId="0" applyFont="1" applyFill="1" applyBorder="1" applyAlignment="1">
      <alignment vertical="center" wrapText="1"/>
    </xf>
    <xf numFmtId="0" fontId="8" fillId="8" borderId="5" xfId="0" applyFont="1" applyFill="1" applyBorder="1" applyAlignment="1">
      <alignment vertical="center" wrapText="1"/>
    </xf>
    <xf numFmtId="0" fontId="8" fillId="8" borderId="6" xfId="0" applyFont="1" applyFill="1" applyBorder="1" applyAlignment="1">
      <alignment vertical="center" wrapText="1"/>
    </xf>
    <xf numFmtId="0" fontId="8" fillId="8" borderId="7" xfId="0" applyFont="1" applyFill="1" applyBorder="1" applyAlignment="1">
      <alignment vertical="center" wrapText="1"/>
    </xf>
    <xf numFmtId="164" fontId="8" fillId="8" borderId="7" xfId="0" applyNumberFormat="1" applyFont="1" applyFill="1" applyBorder="1" applyAlignment="1">
      <alignment vertical="center" wrapText="1"/>
    </xf>
    <xf numFmtId="0" fontId="8" fillId="8" borderId="8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1" fontId="8" fillId="8" borderId="2" xfId="0" applyNumberFormat="1" applyFont="1" applyFill="1" applyBorder="1" applyAlignment="1">
      <alignment horizontal="center" vertical="center" wrapText="1"/>
    </xf>
    <xf numFmtId="1" fontId="8" fillId="8" borderId="0" xfId="0" applyNumberFormat="1" applyFont="1" applyFill="1" applyAlignment="1">
      <alignment horizontal="center" vertical="center" wrapText="1"/>
    </xf>
    <xf numFmtId="1" fontId="8" fillId="8" borderId="7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8" fillId="8" borderId="3" xfId="0" applyFont="1" applyFill="1" applyBorder="1" applyAlignment="1">
      <alignment vertical="center"/>
    </xf>
    <xf numFmtId="0" fontId="8" fillId="8" borderId="5" xfId="0" applyFont="1" applyFill="1" applyBorder="1" applyAlignment="1">
      <alignment vertical="center"/>
    </xf>
    <xf numFmtId="0" fontId="8" fillId="8" borderId="8" xfId="0" applyFont="1" applyFill="1" applyBorder="1" applyAlignment="1">
      <alignment vertical="center"/>
    </xf>
    <xf numFmtId="0" fontId="10" fillId="4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0" borderId="9" xfId="0" applyBorder="1"/>
    <xf numFmtId="0" fontId="9" fillId="8" borderId="9" xfId="0" applyFont="1" applyFill="1" applyBorder="1" applyAlignment="1">
      <alignment horizontal="center" vertical="center"/>
    </xf>
    <xf numFmtId="164" fontId="9" fillId="8" borderId="9" xfId="0" applyNumberFormat="1" applyFont="1" applyFill="1" applyBorder="1" applyAlignment="1">
      <alignment horizontal="center" vertical="center"/>
    </xf>
    <xf numFmtId="165" fontId="9" fillId="8" borderId="9" xfId="0" applyNumberFormat="1" applyFont="1" applyFill="1" applyBorder="1" applyAlignment="1">
      <alignment horizontal="center" vertical="center"/>
    </xf>
    <xf numFmtId="0" fontId="9" fillId="8" borderId="9" xfId="0" applyFont="1" applyFill="1" applyBorder="1" applyAlignment="1">
      <alignment vertical="center"/>
    </xf>
    <xf numFmtId="1" fontId="9" fillId="8" borderId="9" xfId="0" applyNumberFormat="1" applyFont="1" applyFill="1" applyBorder="1" applyAlignment="1">
      <alignment horizontal="center" vertical="center"/>
    </xf>
    <xf numFmtId="0" fontId="0" fillId="0" borderId="9" xfId="0" applyFont="1" applyBorder="1"/>
  </cellXfs>
  <cellStyles count="1">
    <cellStyle name="Normal" xfId="0" builtinId="0"/>
  </cellStyles>
  <dxfs count="41"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font>
        <b/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color rgb="FF274E13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274E13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092A55"/>
      </font>
      <fill>
        <patternFill>
          <bgColor rgb="FFE6B643"/>
        </patternFill>
      </fill>
    </dxf>
    <dxf>
      <fill>
        <patternFill patternType="solid">
          <bgColor rgb="FFD7EFF9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ill>
        <patternFill patternType="solid">
          <bgColor rgb="FFD7EFF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ill>
        <patternFill patternType="solid">
          <bgColor rgb="FFD7EFF9"/>
        </patternFill>
      </fill>
    </dxf>
    <dxf>
      <font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Partidos registrados y finalizados por serie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Partidos</c:v>
          </c:tx>
          <c:invertIfNegative val="1"/>
          <c:cat>
            <c:strRef>
              <c:f>Dashboard!$A$16:$A$24</c:f>
              <c:strCache>
                <c:ptCount val="9"/>
                <c:pt idx="0">
                  <c:v>Segunda Adulta</c:v>
                </c:pt>
                <c:pt idx="1">
                  <c:v>Primera Adulta</c:v>
                </c:pt>
                <c:pt idx="2">
                  <c:v>Super Senior</c:v>
                </c:pt>
                <c:pt idx="3">
                  <c:v>Senior</c:v>
                </c:pt>
                <c:pt idx="4">
                  <c:v>Dorados</c:v>
                </c:pt>
                <c:pt idx="5">
                  <c:v>Honor</c:v>
                </c:pt>
                <c:pt idx="6">
                  <c:v>Tercera Infantil</c:v>
                </c:pt>
                <c:pt idx="7">
                  <c:v>Segunda Infantil</c:v>
                </c:pt>
                <c:pt idx="8">
                  <c:v>Primera Infantil</c:v>
                </c:pt>
              </c:strCache>
            </c:strRef>
          </c:cat>
          <c:val>
            <c:numRef>
              <c:f>Dashboard!$B$16:$B$24</c:f>
              <c:numCache>
                <c:formatCode>0</c:formatCode>
                <c:ptCount val="9"/>
                <c:pt idx="0">
                  <c:v>56</c:v>
                </c:pt>
                <c:pt idx="1">
                  <c:v>56</c:v>
                </c:pt>
                <c:pt idx="2">
                  <c:v>56</c:v>
                </c:pt>
                <c:pt idx="3">
                  <c:v>56</c:v>
                </c:pt>
                <c:pt idx="4">
                  <c:v>56</c:v>
                </c:pt>
                <c:pt idx="5">
                  <c:v>56</c:v>
                </c:pt>
                <c:pt idx="6">
                  <c:v>56</c:v>
                </c:pt>
                <c:pt idx="7">
                  <c:v>56</c:v>
                </c:pt>
                <c:pt idx="8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F-40EA-92EE-45CA0616E6B5}"/>
            </c:ext>
          </c:extLst>
        </c:ser>
        <c:ser>
          <c:idx val="1"/>
          <c:order val="1"/>
          <c:tx>
            <c:v>Finalizados</c:v>
          </c:tx>
          <c:invertIfNegative val="1"/>
          <c:cat>
            <c:strRef>
              <c:f>Dashboard!$A$16:$A$24</c:f>
              <c:strCache>
                <c:ptCount val="9"/>
                <c:pt idx="0">
                  <c:v>Segunda Adulta</c:v>
                </c:pt>
                <c:pt idx="1">
                  <c:v>Primera Adulta</c:v>
                </c:pt>
                <c:pt idx="2">
                  <c:v>Super Senior</c:v>
                </c:pt>
                <c:pt idx="3">
                  <c:v>Senior</c:v>
                </c:pt>
                <c:pt idx="4">
                  <c:v>Dorados</c:v>
                </c:pt>
                <c:pt idx="5">
                  <c:v>Honor</c:v>
                </c:pt>
                <c:pt idx="6">
                  <c:v>Tercera Infantil</c:v>
                </c:pt>
                <c:pt idx="7">
                  <c:v>Segunda Infantil</c:v>
                </c:pt>
                <c:pt idx="8">
                  <c:v>Primera Infantil</c:v>
                </c:pt>
              </c:strCache>
            </c:strRef>
          </c:cat>
          <c:val>
            <c:numRef>
              <c:f>Dashboard!$C$16:$C$24</c:f>
              <c:numCache>
                <c:formatCode>0</c:formatCode>
                <c:ptCount val="9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CF-40EA-92EE-45CA0616E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Instrucciones" displayName="TablaInstrucciones" ref="A6:D24">
  <tableColumns count="4">
    <tableColumn id="1" xr3:uid="{00000000-0010-0000-0000-000001000000}" name="HOJA"/>
    <tableColumn id="2" xr3:uid="{00000000-0010-0000-0000-000002000000}" name="FINALIDAD"/>
    <tableColumn id="3" xr3:uid="{00000000-0010-0000-0000-000003000000}" name="QUIÉN DEBE ACTUALIZARLA"/>
    <tableColumn id="4" xr3:uid="{00000000-0010-0000-0000-000004000000}" name="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Clubes" displayName="TablaClubes" ref="A3:N11">
  <tableColumns count="14">
    <tableColumn id="1" xr3:uid="{00000000-0010-0000-0100-000001000000}" name="club"/>
    <tableColumn id="2" xr3:uid="{00000000-0010-0000-0100-000002000000}" name="estadio"/>
    <tableColumn id="3" xr3:uid="{00000000-0010-0000-0100-000003000000}" name="fundacion"/>
    <tableColumn id="4" xr3:uid="{00000000-0010-0000-0100-000004000000}" name="presidente"/>
    <tableColumn id="5" xr3:uid="{00000000-0010-0000-0100-000005000000}" name="rut_club"/>
    <tableColumn id="6" xr3:uid="{00000000-0010-0000-0100-000006000000}" name="sigla"/>
    <tableColumn id="7" xr3:uid="{00000000-0010-0000-0100-000007000000}" name="colores"/>
    <tableColumn id="8" xr3:uid="{00000000-0010-0000-0100-000008000000}" name="direccion"/>
    <tableColumn id="9" xr3:uid="{00000000-0010-0000-0100-000009000000}" name="comuna"/>
    <tableColumn id="10" xr3:uid="{00000000-0010-0000-0100-00000A000000}" name="telefono"/>
    <tableColumn id="11" xr3:uid="{00000000-0010-0000-0100-00000B000000}" name="correo"/>
    <tableColumn id="12" xr3:uid="{00000000-0010-0000-0100-00000C000000}" name="redes_sociales"/>
    <tableColumn id="13" xr3:uid="{00000000-0010-0000-0100-00000D000000}" name="logo_url"/>
    <tableColumn id="14" xr3:uid="{00000000-0010-0000-0100-00000E000000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Series" displayName="TablaSeries" ref="A3:J12">
  <tableColumns count="10">
    <tableColumn id="1" xr3:uid="{00000000-0010-0000-0200-000001000000}" name="serie"/>
    <tableColumn id="2" xr3:uid="{00000000-0010-0000-0200-000002000000}" name="orden"/>
    <tableColumn id="3" xr3:uid="{00000000-0010-0000-0200-000003000000}" name="categoria"/>
    <tableColumn id="4" xr3:uid="{00000000-0010-0000-0200-000004000000}" name="edad_minima"/>
    <tableColumn id="5" xr3:uid="{00000000-0010-0000-0200-000005000000}" name="edad_maxima"/>
    <tableColumn id="6" xr3:uid="{00000000-0010-0000-0200-000006000000}" name="año_nacimiento_desde"/>
    <tableColumn id="7" xr3:uid="{00000000-0010-0000-0200-000007000000}" name="año_nacimiento_hasta"/>
    <tableColumn id="8" xr3:uid="{00000000-0010-0000-0200-000008000000}" name="duracion_partido_min"/>
    <tableColumn id="9" xr3:uid="{00000000-0010-0000-0200-000009000000}" name="regla_especial"/>
    <tableColumn id="10" xr3:uid="{00000000-0010-0000-0200-00000A000000}" name="est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Inscripciones" displayName="TablaInscripciones" ref="A3:J75">
  <tableColumns count="10">
    <tableColumn id="1" xr3:uid="{00000000-0010-0000-0300-000001000000}" name="id_inscripcion"/>
    <tableColumn id="2" xr3:uid="{00000000-0010-0000-0300-000002000000}" name="serie"/>
    <tableColumn id="3" xr3:uid="{00000000-0010-0000-0300-000003000000}" name="club"/>
    <tableColumn id="4" xr3:uid="{00000000-0010-0000-0300-000004000000}" name="participa"/>
    <tableColumn id="5" xr3:uid="{00000000-0010-0000-0300-000005000000}" name="fecha_inscripcion"/>
    <tableColumn id="6" xr3:uid="{00000000-0010-0000-0300-000006000000}" name="delegado"/>
    <tableColumn id="7" xr3:uid="{00000000-0010-0000-0300-000007000000}" name="telefono_delegado"/>
    <tableColumn id="8" xr3:uid="{00000000-0010-0000-0300-000008000000}" name="correo_delegado"/>
    <tableColumn id="9" xr3:uid="{00000000-0010-0000-0300-000009000000}" name="estado_documental"/>
    <tableColumn id="10" xr3:uid="{00000000-0010-0000-0300-00000A000000}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Canchas" displayName="TablaCanchas" ref="A3:H7">
  <tableColumns count="8">
    <tableColumn id="1" xr3:uid="{00000000-0010-0000-0400-000001000000}" name="id_cancha"/>
    <tableColumn id="2" xr3:uid="{00000000-0010-0000-0400-000002000000}" name="nombre"/>
    <tableColumn id="3" xr3:uid="{00000000-0010-0000-0400-000003000000}" name="direccion"/>
    <tableColumn id="4" xr3:uid="{00000000-0010-0000-0400-000004000000}" name="comuna"/>
    <tableColumn id="5" xr3:uid="{00000000-0010-0000-0400-000005000000}" name="estado"/>
    <tableColumn id="6" xr3:uid="{00000000-0010-0000-0400-000006000000}" name="capacidad"/>
    <tableColumn id="7" xr3:uid="{00000000-0010-0000-0400-000007000000}" name="club_asociado"/>
    <tableColumn id="8" xr3:uid="{00000000-0010-0000-0400-000008000000}" name="observ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Partidos" displayName="TablaPartidos" ref="A3:T10">
  <autoFilter ref="A3:T10" xr:uid="{00000000-000C-0000-FFFF-FFFF07000000}"/>
  <tableColumns count="20">
    <tableColumn id="1" xr3:uid="{00000000-0010-0000-0700-000001000000}" name="serie" dataDxfId="19" dataCellStyle="Normal"/>
    <tableColumn id="2" xr3:uid="{00000000-0010-0000-0700-000002000000}" name="jornada" dataDxfId="18"/>
    <tableColumn id="3" xr3:uid="{00000000-0010-0000-0700-000003000000}" name="fecha" dataDxfId="17"/>
    <tableColumn id="4" xr3:uid="{00000000-0010-0000-0700-000004000000}" name="hora" dataDxfId="16"/>
    <tableColumn id="5" xr3:uid="{00000000-0010-0000-0700-000005000000}" name="estadio" dataDxfId="15"/>
    <tableColumn id="6" xr3:uid="{00000000-0010-0000-0700-000006000000}" name="local" dataDxfId="14"/>
    <tableColumn id="7" xr3:uid="{00000000-0010-0000-0700-000007000000}" name="visita" dataDxfId="13"/>
    <tableColumn id="8" xr3:uid="{00000000-0010-0000-0700-000008000000}" name="goles_local" dataDxfId="12"/>
    <tableColumn id="9" xr3:uid="{00000000-0010-0000-0700-000009000000}" name="goles_visita" dataDxfId="11"/>
    <tableColumn id="11" xr3:uid="{00000000-0010-0000-0700-00000B000000}" name="temporada" dataDxfId="10"/>
    <tableColumn id="12" xr3:uid="{00000000-0010-0000-0700-00000C000000}" name="campeonato" dataDxfId="9"/>
    <tableColumn id="13" xr3:uid="{00000000-0010-0000-0700-00000D000000}" name="estado" dataDxfId="8"/>
    <tableColumn id="14" xr3:uid="{00000000-0010-0000-0700-00000E000000}" name="arbitro" dataDxfId="7"/>
    <tableColumn id="15" xr3:uid="{00000000-0010-0000-0700-00000F000000}" name="asistente_1" dataDxfId="6"/>
    <tableColumn id="17" xr3:uid="{00000000-0010-0000-0700-000011000000}" name="ganador" dataDxfId="5"/>
    <tableColumn id="18" xr3:uid="{00000000-0010-0000-0700-000012000000}" name="resultado" dataDxfId="4"/>
    <tableColumn id="19" xr3:uid="{00000000-0010-0000-0700-000013000000}" name="puntos_local" dataDxfId="3"/>
    <tableColumn id="20" xr3:uid="{00000000-0010-0000-0700-000014000000}" name="puntos_visita" dataDxfId="2"/>
    <tableColumn id="22" xr3:uid="{00000000-0010-0000-0700-000016000000}" name="observaciones" dataDxfId="1"/>
    <tableColumn id="24" xr3:uid="{00000000-0010-0000-0700-000018000000}" name="ultima_actualizacion" dataDxfId="0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Posiciones" displayName="TablaPosiciones" ref="A4:O76">
  <autoFilter ref="A4:O76" xr:uid="{00000000-000C-0000-FFFF-FFFF08000000}"/>
  <tableColumns count="15">
    <tableColumn id="1" xr3:uid="{00000000-0010-0000-0800-000001000000}" name="serie"/>
    <tableColumn id="2" xr3:uid="{00000000-0010-0000-0800-000002000000}" name="club"/>
    <tableColumn id="3" xr3:uid="{00000000-0010-0000-0800-000003000000}" name="participa"/>
    <tableColumn id="4" xr3:uid="{00000000-0010-0000-0800-000004000000}" name="PJ"/>
    <tableColumn id="5" xr3:uid="{00000000-0010-0000-0800-000005000000}" name="PG"/>
    <tableColumn id="6" xr3:uid="{00000000-0010-0000-0800-000006000000}" name="PE"/>
    <tableColumn id="7" xr3:uid="{00000000-0010-0000-0800-000007000000}" name="PP"/>
    <tableColumn id="8" xr3:uid="{00000000-0010-0000-0800-000008000000}" name="GF"/>
    <tableColumn id="9" xr3:uid="{00000000-0010-0000-0800-000009000000}" name="GC"/>
    <tableColumn id="10" xr3:uid="{00000000-0010-0000-0800-00000A000000}" name="DG"/>
    <tableColumn id="11" xr3:uid="{00000000-0010-0000-0800-00000B000000}" name="puntos_obtenidos"/>
    <tableColumn id="12" xr3:uid="{00000000-0010-0000-0800-00000C000000}" name="descuento_puntos"/>
    <tableColumn id="13" xr3:uid="{00000000-0010-0000-0800-00000D000000}" name="PTS"/>
    <tableColumn id="14" xr3:uid="{00000000-0010-0000-0800-00000E000000}" name="posicion"/>
    <tableColumn id="15" xr3:uid="{00000000-0010-0000-0800-00000F000000}" name="observacion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aGoleadores" displayName="TablaGoleadores" ref="A4:I304">
  <tableColumns count="9">
    <tableColumn id="1" xr3:uid="{00000000-0010-0000-0A00-000001000000}" name="id_jugador"/>
    <tableColumn id="2" xr3:uid="{00000000-0010-0000-0A00-000002000000}" name="jugador"/>
    <tableColumn id="3" xr3:uid="{00000000-0010-0000-0A00-000003000000}" name="club"/>
    <tableColumn id="4" xr3:uid="{00000000-0010-0000-0A00-000004000000}" name="serie"/>
    <tableColumn id="5" xr3:uid="{00000000-0010-0000-0A00-000005000000}" name="partidos_jugados"/>
    <tableColumn id="6" xr3:uid="{00000000-0010-0000-0A00-000006000000}" name="goles"/>
    <tableColumn id="7" xr3:uid="{00000000-0010-0000-0A00-000007000000}" name="penales"/>
    <tableColumn id="8" xr3:uid="{00000000-0010-0000-0A00-000008000000}" name="autogoles"/>
    <tableColumn id="9" xr3:uid="{00000000-0010-0000-0A00-000009000000}" name="estad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aDisciplina" displayName="TablaDisciplina" ref="A3:O4">
  <tableColumns count="15">
    <tableColumn id="1" xr3:uid="{00000000-0010-0000-0B00-000001000000}" name="id_evento"/>
    <tableColumn id="2" xr3:uid="{00000000-0010-0000-0B00-000002000000}" name="id_partido"/>
    <tableColumn id="3" xr3:uid="{00000000-0010-0000-0B00-000003000000}" name="fecha"/>
    <tableColumn id="4" xr3:uid="{00000000-0010-0000-0B00-000004000000}" name="serie"/>
    <tableColumn id="5" xr3:uid="{00000000-0010-0000-0B00-000005000000}" name="jugador"/>
    <tableColumn id="6" xr3:uid="{00000000-0010-0000-0B00-000006000000}" name="id_jugador"/>
    <tableColumn id="7" xr3:uid="{00000000-0010-0000-0B00-000007000000}" name="club"/>
    <tableColumn id="8" xr3:uid="{00000000-0010-0000-0B00-000008000000}" name="tipo_evento"/>
    <tableColumn id="9" xr3:uid="{00000000-0010-0000-0B00-000009000000}" name="minuto"/>
    <tableColumn id="10" xr3:uid="{00000000-0010-0000-0B00-00000A000000}" name="motivo"/>
    <tableColumn id="11" xr3:uid="{00000000-0010-0000-0B00-00000B000000}" name="arbitro_informante"/>
    <tableColumn id="12" xr3:uid="{00000000-0010-0000-0B00-00000C000000}" name="expulsado"/>
    <tableColumn id="13" xr3:uid="{00000000-0010-0000-0B00-00000D000000}" name="pasa_a_tribunal"/>
    <tableColumn id="14" xr3:uid="{00000000-0010-0000-0B00-00000E000000}" name="enlace_informe"/>
    <tableColumn id="15" xr3:uid="{00000000-0010-0000-0B00-00000F000000}" name="observacion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aCastigados" displayName="TablaCastigados" ref="A3:O4">
  <tableColumns count="15">
    <tableColumn id="1" xr3:uid="{00000000-0010-0000-0C00-000001000000}" name="jugador"/>
    <tableColumn id="2" xr3:uid="{00000000-0010-0000-0C00-000002000000}" name="club"/>
    <tableColumn id="3" xr3:uid="{00000000-0010-0000-0C00-000003000000}" name="serie"/>
    <tableColumn id="4" xr3:uid="{00000000-0010-0000-0C00-000004000000}" name="motivo"/>
    <tableColumn id="5" xr3:uid="{00000000-0010-0000-0C00-000005000000}" name="fechas_pendientes"/>
    <tableColumn id="6" xr3:uid="{00000000-0010-0000-0C00-000006000000}" name="id_sancion"/>
    <tableColumn id="7" xr3:uid="{00000000-0010-0000-0C00-000007000000}" name="id_jugador"/>
    <tableColumn id="8" xr3:uid="{00000000-0010-0000-0C00-000008000000}" name="fecha_resolucion"/>
    <tableColumn id="9" xr3:uid="{00000000-0010-0000-0C00-000009000000}" name="fechas_sancionadas"/>
    <tableColumn id="10" xr3:uid="{00000000-0010-0000-0C00-00000A000000}" name="estado"/>
    <tableColumn id="11" xr3:uid="{00000000-0010-0000-0C00-00000B000000}" name="organismo"/>
    <tableColumn id="12" xr3:uid="{00000000-0010-0000-0C00-00000C000000}" name="numero_resolucion"/>
    <tableColumn id="13" xr3:uid="{00000000-0010-0000-0C00-00000D000000}" name="fecha_cumplimiento"/>
    <tableColumn id="14" xr3:uid="{00000000-0010-0000-0C00-00000E000000}" name="enlace_resolucion"/>
    <tableColumn id="15" xr3:uid="{00000000-0010-0000-0C00-00000F000000}" name="observacion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aMultas" displayName="TablaMultas" ref="A3:N4">
  <tableColumns count="14">
    <tableColumn id="1" xr3:uid="{00000000-0010-0000-0D00-000001000000}" name="club"/>
    <tableColumn id="2" xr3:uid="{00000000-0010-0000-0D00-000002000000}" name="serie"/>
    <tableColumn id="3" xr3:uid="{00000000-0010-0000-0D00-000003000000}" name="motivo"/>
    <tableColumn id="4" xr3:uid="{00000000-0010-0000-0D00-000004000000}" name="monto"/>
    <tableColumn id="5" xr3:uid="{00000000-0010-0000-0D00-000005000000}" name="estado"/>
    <tableColumn id="6" xr3:uid="{00000000-0010-0000-0D00-000006000000}" name="id_multa"/>
    <tableColumn id="7" xr3:uid="{00000000-0010-0000-0D00-000007000000}" name="fecha_emision"/>
    <tableColumn id="8" xr3:uid="{00000000-0010-0000-0D00-000008000000}" name="fecha_vencimiento"/>
    <tableColumn id="9" xr3:uid="{00000000-0010-0000-0D00-000009000000}" name="monto_pagado"/>
    <tableColumn id="10" xr3:uid="{00000000-0010-0000-0D00-00000A000000}" name="saldo"/>
    <tableColumn id="11" xr3:uid="{00000000-0010-0000-0D00-00000B000000}" name="fecha_pago"/>
    <tableColumn id="12" xr3:uid="{00000000-0010-0000-0D00-00000C000000}" name="medio_pago"/>
    <tableColumn id="13" xr3:uid="{00000000-0010-0000-0D00-00000D000000}" name="numero_resolucion"/>
    <tableColumn id="14" xr3:uid="{00000000-0010-0000-0D00-00000E000000}" name="observacion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aArbitros" displayName="TablaArbitros" ref="A3:M4">
  <tableColumns count="13">
    <tableColumn id="1" xr3:uid="{00000000-0010-0000-0E00-000001000000}" name="id_arbitro"/>
    <tableColumn id="2" xr3:uid="{00000000-0010-0000-0E00-000002000000}" name="nombres"/>
    <tableColumn id="3" xr3:uid="{00000000-0010-0000-0E00-000003000000}" name="apellido_paterno"/>
    <tableColumn id="4" xr3:uid="{00000000-0010-0000-0E00-000004000000}" name="apellido_materno"/>
    <tableColumn id="5" xr3:uid="{00000000-0010-0000-0E00-000005000000}" name="rut"/>
    <tableColumn id="6" xr3:uid="{00000000-0010-0000-0E00-000006000000}" name="categoria"/>
    <tableColumn id="7" xr3:uid="{00000000-0010-0000-0E00-000007000000}" name="telefono"/>
    <tableColumn id="8" xr3:uid="{00000000-0010-0000-0E00-000008000000}" name="correo"/>
    <tableColumn id="9" xr3:uid="{00000000-0010-0000-0E00-000009000000}" name="fecha_ingreso"/>
    <tableColumn id="10" xr3:uid="{00000000-0010-0000-0E00-00000A000000}" name="estado"/>
    <tableColumn id="11" xr3:uid="{00000000-0010-0000-0E00-00000B000000}" name="partidos_designados"/>
    <tableColumn id="12" xr3:uid="{00000000-0010-0000-0E00-00000C000000}" name="evaluacion_promedio"/>
    <tableColumn id="13" xr3:uid="{00000000-0010-0000-0E00-00000D000000}" name="observacion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aNoticias" displayName="TablaNoticias" ref="A3:L4">
  <tableColumns count="12">
    <tableColumn id="1" xr3:uid="{00000000-0010-0000-0F00-000001000000}" name="titulo"/>
    <tableColumn id="2" xr3:uid="{00000000-0010-0000-0F00-000002000000}" name="fecha"/>
    <tableColumn id="3" xr3:uid="{00000000-0010-0000-0F00-000003000000}" name="resumen"/>
    <tableColumn id="4" xr3:uid="{00000000-0010-0000-0F00-000004000000}" name="id_noticia"/>
    <tableColumn id="5" xr3:uid="{00000000-0010-0000-0F00-000005000000}" name="tipo"/>
    <tableColumn id="6" xr3:uid="{00000000-0010-0000-0F00-000006000000}" name="contenido"/>
    <tableColumn id="7" xr3:uid="{00000000-0010-0000-0F00-000007000000}" name="autor"/>
    <tableColumn id="8" xr3:uid="{00000000-0010-0000-0F00-000008000000}" name="imagen_url"/>
    <tableColumn id="9" xr3:uid="{00000000-0010-0000-0F00-000009000000}" name="documento_url"/>
    <tableColumn id="10" xr3:uid="{00000000-0010-0000-0F00-00000A000000}" name="destacada"/>
    <tableColumn id="11" xr3:uid="{00000000-0010-0000-0F00-00000B000000}" name="estado"/>
    <tableColumn id="12" xr3:uid="{00000000-0010-0000-0F00-00000C000000}" name="fecha_publicac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aDocumentos" displayName="TablaDocumentos" ref="A3:L4">
  <tableColumns count="12">
    <tableColumn id="1" xr3:uid="{00000000-0010-0000-1000-000001000000}" name="id_documento"/>
    <tableColumn id="2" xr3:uid="{00000000-0010-0000-1000-000002000000}" name="tipo"/>
    <tableColumn id="3" xr3:uid="{00000000-0010-0000-1000-000003000000}" name="titulo"/>
    <tableColumn id="4" xr3:uid="{00000000-0010-0000-1000-000004000000}" name="temporada"/>
    <tableColumn id="5" xr3:uid="{00000000-0010-0000-1000-000005000000}" name="serie"/>
    <tableColumn id="6" xr3:uid="{00000000-0010-0000-1000-000006000000}" name="club"/>
    <tableColumn id="7" xr3:uid="{00000000-0010-0000-1000-000007000000}" name="fecha_documento"/>
    <tableColumn id="8" xr3:uid="{00000000-0010-0000-1000-000008000000}" name="numero_documento"/>
    <tableColumn id="9" xr3:uid="{00000000-0010-0000-1000-000009000000}" name="estado"/>
    <tableColumn id="10" xr3:uid="{00000000-0010-0000-1000-00000A000000}" name="enlace_archivo"/>
    <tableColumn id="11" xr3:uid="{00000000-0010-0000-1000-00000B000000}" name="publicar_web"/>
    <tableColumn id="12" xr3:uid="{00000000-0010-0000-1000-00000C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aResumenSeries" displayName="TablaResumenSeries" ref="A15:E24">
  <tableColumns count="5">
    <tableColumn id="1" xr3:uid="{00000000-0010-0000-1100-000001000000}" name="Serie"/>
    <tableColumn id="2" xr3:uid="{00000000-0010-0000-1100-000002000000}" name="Partidos"/>
    <tableColumn id="3" xr3:uid="{00000000-0010-0000-1100-000003000000}" name="Finalizados"/>
    <tableColumn id="4" xr3:uid="{00000000-0010-0000-1100-000004000000}" name="Pendientes"/>
    <tableColumn id="5" xr3:uid="{00000000-0010-0000-1100-000005000000}" name="Go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sqref="A1:H1"/>
    </sheetView>
  </sheetViews>
  <sheetFormatPr baseColWidth="10" defaultColWidth="8.6640625" defaultRowHeight="14"/>
  <cols>
    <col min="1" max="1" width="22" customWidth="1"/>
    <col min="2" max="2" width="38" customWidth="1"/>
    <col min="3" max="3" width="27" customWidth="1"/>
    <col min="4" max="4" width="48" customWidth="1"/>
  </cols>
  <sheetData>
    <row r="1" spans="1:8" ht="15.15" customHeight="1">
      <c r="A1" s="41" t="s">
        <v>0</v>
      </c>
      <c r="B1" s="41"/>
      <c r="C1" s="41"/>
      <c r="D1" s="41"/>
      <c r="E1" s="41"/>
      <c r="F1" s="41"/>
      <c r="G1" s="41"/>
      <c r="H1" s="41"/>
    </row>
    <row r="3" spans="1:8" ht="12.4" customHeight="1">
      <c r="A3" s="42" t="s">
        <v>1</v>
      </c>
      <c r="B3" s="42"/>
      <c r="C3" s="42"/>
      <c r="D3" s="42"/>
      <c r="E3" s="42"/>
      <c r="F3" s="42"/>
      <c r="G3" s="42"/>
      <c r="H3" s="42"/>
    </row>
    <row r="4" spans="1:8" ht="12.4" customHeight="1">
      <c r="A4" s="42"/>
      <c r="B4" s="42"/>
      <c r="C4" s="42"/>
      <c r="D4" s="42"/>
      <c r="E4" s="42"/>
      <c r="F4" s="42"/>
      <c r="G4" s="42"/>
      <c r="H4" s="42"/>
    </row>
    <row r="6" spans="1:8" ht="13.4" customHeight="1">
      <c r="A6" s="1" t="s">
        <v>2</v>
      </c>
      <c r="B6" s="1" t="s">
        <v>3</v>
      </c>
      <c r="C6" s="1" t="s">
        <v>4</v>
      </c>
      <c r="D6" s="1" t="s">
        <v>5</v>
      </c>
    </row>
    <row r="7" spans="1:8">
      <c r="A7" s="2" t="s">
        <v>6</v>
      </c>
      <c r="B7" s="2" t="s">
        <v>7</v>
      </c>
      <c r="C7" s="2" t="s">
        <v>8</v>
      </c>
      <c r="D7" s="2" t="s">
        <v>9</v>
      </c>
    </row>
    <row r="8" spans="1:8" ht="28">
      <c r="A8" s="2" t="s">
        <v>10</v>
      </c>
      <c r="B8" s="2" t="s">
        <v>11</v>
      </c>
      <c r="C8" s="2" t="s">
        <v>12</v>
      </c>
      <c r="D8" s="2" t="s">
        <v>13</v>
      </c>
    </row>
    <row r="9" spans="1:8">
      <c r="A9" s="2" t="s">
        <v>14</v>
      </c>
      <c r="B9" s="2" t="s">
        <v>15</v>
      </c>
      <c r="C9" s="2" t="s">
        <v>16</v>
      </c>
      <c r="D9" s="2" t="s">
        <v>17</v>
      </c>
    </row>
    <row r="10" spans="1:8">
      <c r="A10" s="2" t="s">
        <v>18</v>
      </c>
      <c r="B10" s="2" t="s">
        <v>19</v>
      </c>
      <c r="C10" s="2" t="s">
        <v>12</v>
      </c>
      <c r="D10" s="2" t="s">
        <v>20</v>
      </c>
    </row>
    <row r="11" spans="1:8">
      <c r="A11" s="2" t="s">
        <v>21</v>
      </c>
      <c r="B11" s="2" t="s">
        <v>22</v>
      </c>
      <c r="C11" s="2" t="s">
        <v>23</v>
      </c>
      <c r="D11" s="2" t="s">
        <v>24</v>
      </c>
    </row>
    <row r="12" spans="1:8">
      <c r="A12" s="2" t="s">
        <v>25</v>
      </c>
      <c r="B12" s="2" t="s">
        <v>26</v>
      </c>
      <c r="C12" s="2" t="s">
        <v>12</v>
      </c>
      <c r="D12" s="2" t="s">
        <v>27</v>
      </c>
    </row>
    <row r="13" spans="1:8">
      <c r="A13" s="2" t="s">
        <v>28</v>
      </c>
      <c r="B13" s="2" t="s">
        <v>29</v>
      </c>
      <c r="C13" s="2" t="s">
        <v>30</v>
      </c>
      <c r="D13" s="2" t="s">
        <v>31</v>
      </c>
    </row>
    <row r="14" spans="1:8">
      <c r="A14" s="2" t="s">
        <v>32</v>
      </c>
      <c r="B14" s="2" t="s">
        <v>33</v>
      </c>
      <c r="C14" s="2" t="s">
        <v>30</v>
      </c>
      <c r="D14" s="2" t="s">
        <v>34</v>
      </c>
    </row>
    <row r="15" spans="1:8">
      <c r="A15" s="2" t="s">
        <v>35</v>
      </c>
      <c r="B15" s="2" t="s">
        <v>36</v>
      </c>
      <c r="C15" s="2" t="s">
        <v>37</v>
      </c>
      <c r="D15" s="2" t="s">
        <v>38</v>
      </c>
    </row>
    <row r="16" spans="1:8" ht="28">
      <c r="A16" s="2" t="s">
        <v>39</v>
      </c>
      <c r="B16" s="2" t="s">
        <v>40</v>
      </c>
      <c r="C16" s="2" t="s">
        <v>8</v>
      </c>
      <c r="D16" s="2" t="s">
        <v>41</v>
      </c>
    </row>
    <row r="17" spans="1:4">
      <c r="A17" s="2" t="s">
        <v>42</v>
      </c>
      <c r="B17" s="2" t="s">
        <v>43</v>
      </c>
      <c r="C17" s="2" t="s">
        <v>44</v>
      </c>
      <c r="D17" s="2" t="s">
        <v>45</v>
      </c>
    </row>
    <row r="18" spans="1:4">
      <c r="A18" s="2" t="s">
        <v>46</v>
      </c>
      <c r="B18" s="2" t="s">
        <v>47</v>
      </c>
      <c r="C18" s="2" t="s">
        <v>8</v>
      </c>
      <c r="D18" s="2" t="s">
        <v>48</v>
      </c>
    </row>
    <row r="19" spans="1:4">
      <c r="A19" s="2" t="s">
        <v>49</v>
      </c>
      <c r="B19" s="2" t="s">
        <v>50</v>
      </c>
      <c r="C19" s="2" t="s">
        <v>51</v>
      </c>
      <c r="D19" s="2" t="s">
        <v>52</v>
      </c>
    </row>
    <row r="20" spans="1:4">
      <c r="A20" s="2" t="s">
        <v>53</v>
      </c>
      <c r="B20" s="2" t="s">
        <v>54</v>
      </c>
      <c r="C20" s="2" t="s">
        <v>55</v>
      </c>
      <c r="D20" s="2" t="s">
        <v>56</v>
      </c>
    </row>
    <row r="21" spans="1:4">
      <c r="A21" s="2" t="s">
        <v>57</v>
      </c>
      <c r="B21" s="2" t="s">
        <v>58</v>
      </c>
      <c r="C21" s="2" t="s">
        <v>59</v>
      </c>
      <c r="D21" s="2" t="s">
        <v>60</v>
      </c>
    </row>
    <row r="22" spans="1:4">
      <c r="A22" s="2" t="s">
        <v>61</v>
      </c>
      <c r="B22" s="2" t="s">
        <v>62</v>
      </c>
      <c r="C22" s="2" t="s">
        <v>63</v>
      </c>
      <c r="D22" s="2" t="s">
        <v>64</v>
      </c>
    </row>
    <row r="23" spans="1:4">
      <c r="A23" s="2" t="s">
        <v>65</v>
      </c>
      <c r="B23" s="2" t="s">
        <v>66</v>
      </c>
      <c r="C23" s="2" t="s">
        <v>67</v>
      </c>
      <c r="D23" s="2" t="s">
        <v>68</v>
      </c>
    </row>
    <row r="24" spans="1:4">
      <c r="A24" s="2" t="s">
        <v>69</v>
      </c>
      <c r="B24" s="2" t="s">
        <v>70</v>
      </c>
      <c r="C24" s="2" t="s">
        <v>23</v>
      </c>
      <c r="D24" s="2" t="s">
        <v>71</v>
      </c>
    </row>
  </sheetData>
  <mergeCells count="2">
    <mergeCell ref="A1:H1"/>
    <mergeCell ref="A3:H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"/>
  <sheetViews>
    <sheetView workbookViewId="0">
      <selection sqref="A1:O1"/>
    </sheetView>
  </sheetViews>
  <sheetFormatPr baseColWidth="10" defaultColWidth="8.6640625" defaultRowHeight="14"/>
  <cols>
    <col min="1" max="1" width="23.6640625" customWidth="1"/>
    <col min="2" max="2" width="32" customWidth="1"/>
    <col min="3" max="3" width="3.08203125" customWidth="1"/>
    <col min="4" max="4" width="17" customWidth="1"/>
    <col min="5" max="5" width="16.5" customWidth="1"/>
    <col min="6" max="6" width="13.08203125" customWidth="1"/>
    <col min="7" max="7" width="11.58203125" customWidth="1"/>
    <col min="8" max="8" width="13.08203125" customWidth="1"/>
    <col min="9" max="9" width="13.9140625" customWidth="1"/>
    <col min="10" max="10" width="12.08203125" customWidth="1"/>
    <col min="11" max="11" width="14" customWidth="1"/>
    <col min="12" max="12" width="15.4140625" customWidth="1"/>
    <col min="13" max="13" width="16.08203125" customWidth="1"/>
    <col min="14" max="14" width="17.33203125" customWidth="1"/>
    <col min="15" max="15" width="17.6640625" customWidth="1"/>
  </cols>
  <sheetData>
    <row r="1" spans="1:15" ht="15.15" customHeight="1">
      <c r="A1" s="41" t="s">
        <v>72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3" spans="1:15" ht="13.4" customHeight="1">
      <c r="A3" s="1" t="s">
        <v>73</v>
      </c>
      <c r="B3" s="1" t="s">
        <v>74</v>
      </c>
      <c r="D3" s="1" t="s">
        <v>18</v>
      </c>
      <c r="E3" s="1" t="s">
        <v>75</v>
      </c>
      <c r="F3" s="1" t="s">
        <v>76</v>
      </c>
      <c r="G3" s="1" t="s">
        <v>77</v>
      </c>
      <c r="H3" s="1" t="s">
        <v>78</v>
      </c>
      <c r="I3" s="1" t="s">
        <v>79</v>
      </c>
      <c r="J3" s="1" t="s">
        <v>80</v>
      </c>
      <c r="K3" s="1" t="s">
        <v>81</v>
      </c>
      <c r="L3" s="1" t="s">
        <v>82</v>
      </c>
      <c r="M3" s="1" t="s">
        <v>83</v>
      </c>
      <c r="N3" s="1" t="s">
        <v>84</v>
      </c>
      <c r="O3" s="1" t="s">
        <v>85</v>
      </c>
    </row>
    <row r="4" spans="1:15">
      <c r="A4" s="3" t="s">
        <v>86</v>
      </c>
      <c r="B4" s="4">
        <v>2026</v>
      </c>
      <c r="D4" t="s">
        <v>87</v>
      </c>
      <c r="E4" t="s">
        <v>88</v>
      </c>
      <c r="F4" t="s">
        <v>89</v>
      </c>
      <c r="G4" t="s">
        <v>90</v>
      </c>
      <c r="H4" t="s">
        <v>91</v>
      </c>
      <c r="I4" t="s">
        <v>92</v>
      </c>
      <c r="J4" t="s">
        <v>92</v>
      </c>
      <c r="K4" t="s">
        <v>93</v>
      </c>
      <c r="L4" t="s">
        <v>94</v>
      </c>
      <c r="M4" t="s">
        <v>95</v>
      </c>
      <c r="N4" t="s">
        <v>96</v>
      </c>
      <c r="O4" t="s">
        <v>97</v>
      </c>
    </row>
    <row r="5" spans="1:15">
      <c r="A5" s="3" t="s">
        <v>98</v>
      </c>
      <c r="B5" s="4" t="s">
        <v>99</v>
      </c>
      <c r="D5" t="s">
        <v>100</v>
      </c>
      <c r="E5" t="s">
        <v>101</v>
      </c>
      <c r="F5" t="s">
        <v>102</v>
      </c>
      <c r="G5" t="s">
        <v>103</v>
      </c>
      <c r="H5" t="s">
        <v>104</v>
      </c>
      <c r="I5" t="s">
        <v>105</v>
      </c>
      <c r="J5" t="s">
        <v>106</v>
      </c>
      <c r="K5" t="s">
        <v>107</v>
      </c>
      <c r="L5" t="s">
        <v>108</v>
      </c>
      <c r="M5" t="s">
        <v>109</v>
      </c>
      <c r="N5" t="s">
        <v>110</v>
      </c>
      <c r="O5" t="s">
        <v>111</v>
      </c>
    </row>
    <row r="6" spans="1:15">
      <c r="A6" s="3" t="s">
        <v>112</v>
      </c>
      <c r="B6" s="4">
        <v>3</v>
      </c>
      <c r="D6" t="s">
        <v>113</v>
      </c>
      <c r="E6" t="s">
        <v>114</v>
      </c>
      <c r="F6" t="s">
        <v>115</v>
      </c>
      <c r="G6" t="s">
        <v>116</v>
      </c>
      <c r="H6" t="s">
        <v>117</v>
      </c>
      <c r="I6" t="s">
        <v>118</v>
      </c>
      <c r="J6" t="s">
        <v>119</v>
      </c>
      <c r="K6" t="s">
        <v>114</v>
      </c>
      <c r="L6" t="s">
        <v>120</v>
      </c>
      <c r="M6" t="s">
        <v>121</v>
      </c>
      <c r="N6" t="s">
        <v>122</v>
      </c>
      <c r="O6" t="s">
        <v>123</v>
      </c>
    </row>
    <row r="7" spans="1:15">
      <c r="A7" s="3" t="s">
        <v>124</v>
      </c>
      <c r="B7" s="4">
        <v>1</v>
      </c>
      <c r="D7" t="s">
        <v>125</v>
      </c>
      <c r="E7" t="s">
        <v>126</v>
      </c>
      <c r="G7" t="s">
        <v>127</v>
      </c>
      <c r="H7" t="s">
        <v>128</v>
      </c>
      <c r="I7" t="s">
        <v>129</v>
      </c>
      <c r="J7" t="s">
        <v>129</v>
      </c>
      <c r="K7" t="s">
        <v>130</v>
      </c>
      <c r="L7" t="s">
        <v>131</v>
      </c>
      <c r="M7" t="s">
        <v>132</v>
      </c>
      <c r="N7" t="s">
        <v>133</v>
      </c>
      <c r="O7" t="s">
        <v>134</v>
      </c>
    </row>
    <row r="8" spans="1:15">
      <c r="A8" s="3" t="s">
        <v>135</v>
      </c>
      <c r="B8" s="4">
        <v>0</v>
      </c>
      <c r="D8" t="s">
        <v>136</v>
      </c>
      <c r="E8" t="s">
        <v>137</v>
      </c>
      <c r="G8" t="s">
        <v>138</v>
      </c>
      <c r="H8" t="s">
        <v>139</v>
      </c>
      <c r="I8" t="s">
        <v>140</v>
      </c>
      <c r="J8" t="s">
        <v>140</v>
      </c>
      <c r="L8" t="s">
        <v>121</v>
      </c>
      <c r="M8" t="s">
        <v>49</v>
      </c>
      <c r="N8" t="s">
        <v>141</v>
      </c>
      <c r="O8" t="s">
        <v>142</v>
      </c>
    </row>
    <row r="9" spans="1:15">
      <c r="D9" t="s">
        <v>143</v>
      </c>
      <c r="E9" t="s">
        <v>144</v>
      </c>
      <c r="G9" t="s">
        <v>142</v>
      </c>
      <c r="L9" t="s">
        <v>109</v>
      </c>
      <c r="M9" t="s">
        <v>145</v>
      </c>
      <c r="N9" t="s">
        <v>146</v>
      </c>
    </row>
    <row r="10" spans="1:15">
      <c r="D10" t="s">
        <v>147</v>
      </c>
      <c r="L10" t="s">
        <v>142</v>
      </c>
      <c r="N10" t="s">
        <v>148</v>
      </c>
    </row>
    <row r="11" spans="1:15">
      <c r="D11" t="s">
        <v>149</v>
      </c>
      <c r="N11" t="s">
        <v>142</v>
      </c>
    </row>
    <row r="12" spans="1:15">
      <c r="D12" t="s">
        <v>150</v>
      </c>
    </row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00"/>
  <sheetViews>
    <sheetView workbookViewId="0">
      <selection sqref="A1:N1"/>
    </sheetView>
  </sheetViews>
  <sheetFormatPr baseColWidth="10" defaultColWidth="8.6640625" defaultRowHeight="14"/>
  <cols>
    <col min="1" max="1" width="22" customWidth="1"/>
    <col min="2" max="2" width="28" customWidth="1"/>
    <col min="3" max="3" width="15" customWidth="1"/>
    <col min="4" max="4" width="24" customWidth="1"/>
    <col min="5" max="5" width="16" customWidth="1"/>
    <col min="6" max="6" width="11" customWidth="1"/>
    <col min="7" max="7" width="20" customWidth="1"/>
    <col min="8" max="8" width="28" customWidth="1"/>
    <col min="9" max="9" width="18" customWidth="1"/>
    <col min="10" max="10" width="15" customWidth="1"/>
    <col min="11" max="12" width="28" customWidth="1"/>
    <col min="13" max="13" width="35" customWidth="1"/>
    <col min="14" max="14" width="15" customWidth="1"/>
  </cols>
  <sheetData>
    <row r="1" spans="1:14" ht="15.15" customHeight="1">
      <c r="A1" s="43" t="s">
        <v>151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>
      <c r="A2" s="10"/>
    </row>
    <row r="3" spans="1:14" ht="13.4" customHeight="1">
      <c r="A3" s="11" t="s">
        <v>152</v>
      </c>
      <c r="B3" s="1" t="s">
        <v>153</v>
      </c>
      <c r="C3" s="1" t="s">
        <v>154</v>
      </c>
      <c r="D3" s="1" t="s">
        <v>155</v>
      </c>
      <c r="E3" s="1" t="s">
        <v>156</v>
      </c>
      <c r="F3" s="1" t="s">
        <v>157</v>
      </c>
      <c r="G3" s="1" t="s">
        <v>158</v>
      </c>
      <c r="H3" s="1" t="s">
        <v>159</v>
      </c>
      <c r="I3" s="1" t="s">
        <v>160</v>
      </c>
      <c r="J3" s="1" t="s">
        <v>161</v>
      </c>
      <c r="K3" s="1" t="s">
        <v>162</v>
      </c>
      <c r="L3" s="1" t="s">
        <v>163</v>
      </c>
      <c r="M3" s="1" t="s">
        <v>164</v>
      </c>
      <c r="N3" s="1" t="s">
        <v>165</v>
      </c>
    </row>
    <row r="4" spans="1:14">
      <c r="A4" s="12" t="s">
        <v>166</v>
      </c>
      <c r="B4" s="2" t="s">
        <v>167</v>
      </c>
      <c r="C4" s="2" t="s">
        <v>167</v>
      </c>
      <c r="D4" s="2" t="s">
        <v>167</v>
      </c>
      <c r="E4" s="2"/>
      <c r="F4" s="2"/>
      <c r="G4" s="2"/>
      <c r="H4" s="2"/>
      <c r="I4" s="2" t="s">
        <v>168</v>
      </c>
      <c r="J4" s="2"/>
      <c r="K4" s="2"/>
      <c r="L4" s="2"/>
      <c r="M4" s="2"/>
      <c r="N4" s="2" t="s">
        <v>93</v>
      </c>
    </row>
    <row r="5" spans="1:14">
      <c r="A5" s="12" t="s">
        <v>169</v>
      </c>
      <c r="B5" s="2" t="s">
        <v>167</v>
      </c>
      <c r="C5" s="2" t="s">
        <v>167</v>
      </c>
      <c r="D5" s="2" t="s">
        <v>167</v>
      </c>
      <c r="E5" s="2"/>
      <c r="F5" s="2"/>
      <c r="G5" s="2"/>
      <c r="H5" s="2"/>
      <c r="I5" s="2" t="s">
        <v>168</v>
      </c>
      <c r="J5" s="2"/>
      <c r="K5" s="2"/>
      <c r="L5" s="2"/>
      <c r="M5" s="2"/>
      <c r="N5" s="2" t="s">
        <v>93</v>
      </c>
    </row>
    <row r="6" spans="1:14">
      <c r="A6" s="12" t="s">
        <v>170</v>
      </c>
      <c r="B6" s="2" t="s">
        <v>171</v>
      </c>
      <c r="C6" s="2" t="s">
        <v>167</v>
      </c>
      <c r="D6" s="2" t="s">
        <v>167</v>
      </c>
      <c r="E6" s="2"/>
      <c r="F6" s="2"/>
      <c r="G6" s="2"/>
      <c r="H6" s="2"/>
      <c r="I6" s="2" t="s">
        <v>168</v>
      </c>
      <c r="J6" s="2"/>
      <c r="K6" s="2"/>
      <c r="L6" s="2"/>
      <c r="M6" s="2"/>
      <c r="N6" s="2" t="s">
        <v>93</v>
      </c>
    </row>
    <row r="7" spans="1:14">
      <c r="A7" s="12" t="s">
        <v>172</v>
      </c>
      <c r="B7" s="2" t="s">
        <v>167</v>
      </c>
      <c r="C7" s="2" t="s">
        <v>167</v>
      </c>
      <c r="D7" s="2" t="s">
        <v>167</v>
      </c>
      <c r="E7" s="2"/>
      <c r="F7" s="2"/>
      <c r="G7" s="2"/>
      <c r="H7" s="2"/>
      <c r="I7" s="2" t="s">
        <v>168</v>
      </c>
      <c r="J7" s="2"/>
      <c r="K7" s="2"/>
      <c r="L7" s="2"/>
      <c r="M7" s="2"/>
      <c r="N7" s="2" t="s">
        <v>93</v>
      </c>
    </row>
    <row r="8" spans="1:14">
      <c r="A8" s="12" t="s">
        <v>173</v>
      </c>
      <c r="B8" s="2" t="s">
        <v>167</v>
      </c>
      <c r="C8" s="2" t="s">
        <v>167</v>
      </c>
      <c r="D8" s="2" t="s">
        <v>167</v>
      </c>
      <c r="E8" s="2"/>
      <c r="F8" s="2"/>
      <c r="G8" s="2"/>
      <c r="H8" s="2"/>
      <c r="I8" s="2" t="s">
        <v>168</v>
      </c>
      <c r="J8" s="2"/>
      <c r="K8" s="2"/>
      <c r="L8" s="2"/>
      <c r="M8" s="2"/>
      <c r="N8" s="2" t="s">
        <v>93</v>
      </c>
    </row>
    <row r="9" spans="1:14">
      <c r="A9" s="12" t="s">
        <v>174</v>
      </c>
      <c r="B9" s="2" t="s">
        <v>167</v>
      </c>
      <c r="C9" s="2" t="s">
        <v>167</v>
      </c>
      <c r="D9" s="2" t="s">
        <v>167</v>
      </c>
      <c r="E9" s="2"/>
      <c r="F9" s="2"/>
      <c r="G9" s="2"/>
      <c r="H9" s="2"/>
      <c r="I9" s="2" t="s">
        <v>168</v>
      </c>
      <c r="J9" s="2"/>
      <c r="K9" s="2"/>
      <c r="L9" s="2"/>
      <c r="M9" s="2"/>
      <c r="N9" s="2" t="s">
        <v>93</v>
      </c>
    </row>
    <row r="10" spans="1:14">
      <c r="A10" s="12" t="s">
        <v>175</v>
      </c>
      <c r="B10" s="2" t="s">
        <v>167</v>
      </c>
      <c r="C10" s="2" t="s">
        <v>167</v>
      </c>
      <c r="D10" s="2" t="s">
        <v>167</v>
      </c>
      <c r="E10" s="2"/>
      <c r="F10" s="2"/>
      <c r="G10" s="2"/>
      <c r="H10" s="2"/>
      <c r="I10" s="2" t="s">
        <v>168</v>
      </c>
      <c r="J10" s="2"/>
      <c r="K10" s="2"/>
      <c r="L10" s="2"/>
      <c r="M10" s="2"/>
      <c r="N10" s="2" t="s">
        <v>93</v>
      </c>
    </row>
    <row r="11" spans="1:14">
      <c r="A11" s="12" t="s">
        <v>176</v>
      </c>
      <c r="B11" s="2" t="s">
        <v>167</v>
      </c>
      <c r="C11" s="2" t="s">
        <v>167</v>
      </c>
      <c r="D11" s="2" t="s">
        <v>167</v>
      </c>
      <c r="E11" s="2"/>
      <c r="F11" s="2"/>
      <c r="G11" s="2"/>
      <c r="H11" s="2"/>
      <c r="I11" s="2" t="s">
        <v>168</v>
      </c>
      <c r="J11" s="2"/>
      <c r="K11" s="2"/>
      <c r="L11" s="2"/>
      <c r="M11" s="2"/>
      <c r="N11" s="2" t="s">
        <v>93</v>
      </c>
    </row>
    <row r="12" spans="1:14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1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1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1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1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1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1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1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1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1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1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1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1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1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1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1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1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1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1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1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1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1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1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1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1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1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1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1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1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1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1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1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1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1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1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1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1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1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1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1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1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>
      <c r="A54" s="1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>
      <c r="A55" s="1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>
      <c r="A56" s="1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>
      <c r="A57" s="1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>
      <c r="A58" s="1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>
      <c r="A59" s="1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>
      <c r="A60" s="1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>
      <c r="A61" s="1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1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1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1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1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1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1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1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1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1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1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1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1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1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1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1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1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1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1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1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1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1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>
      <c r="A83" s="1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>
      <c r="A84" s="1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1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>
      <c r="A86" s="1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>
      <c r="A87" s="1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>
      <c r="A88" s="1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>
      <c r="A89" s="1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>
      <c r="A90" s="1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>
      <c r="A91" s="1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>
      <c r="A92" s="1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>
      <c r="A93" s="1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>
      <c r="A94" s="1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>
      <c r="A95" s="1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>
      <c r="A96" s="1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1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>
      <c r="A98" s="1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>
      <c r="A99" s="1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>
      <c r="A100" s="1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>
      <c r="A101" s="10"/>
    </row>
    <row r="102" spans="1:14">
      <c r="A102" s="10"/>
    </row>
    <row r="103" spans="1:14">
      <c r="A103" s="10"/>
    </row>
    <row r="104" spans="1:14">
      <c r="A104" s="10"/>
    </row>
    <row r="105" spans="1:14">
      <c r="A105" s="10"/>
    </row>
    <row r="106" spans="1:14">
      <c r="A106" s="10"/>
    </row>
    <row r="107" spans="1:14">
      <c r="A107" s="10"/>
    </row>
    <row r="108" spans="1:14">
      <c r="A108" s="10"/>
    </row>
    <row r="109" spans="1:14">
      <c r="A109" s="10"/>
    </row>
    <row r="110" spans="1:14">
      <c r="A110" s="10"/>
    </row>
    <row r="111" spans="1:14">
      <c r="A111" s="10"/>
    </row>
    <row r="112" spans="1:14">
      <c r="A112" s="10"/>
    </row>
    <row r="113" spans="1:1">
      <c r="A113" s="10"/>
    </row>
    <row r="114" spans="1:1">
      <c r="A114" s="10"/>
    </row>
    <row r="115" spans="1:1">
      <c r="A115" s="10"/>
    </row>
    <row r="116" spans="1:1">
      <c r="A116" s="10"/>
    </row>
    <row r="117" spans="1:1">
      <c r="A117" s="10"/>
    </row>
    <row r="118" spans="1:1">
      <c r="A118" s="10"/>
    </row>
    <row r="119" spans="1:1">
      <c r="A119" s="10"/>
    </row>
    <row r="120" spans="1:1">
      <c r="A120" s="10"/>
    </row>
    <row r="121" spans="1:1">
      <c r="A121" s="10"/>
    </row>
    <row r="122" spans="1:1">
      <c r="A122" s="10"/>
    </row>
    <row r="123" spans="1:1">
      <c r="A123" s="10"/>
    </row>
    <row r="124" spans="1:1">
      <c r="A124" s="10"/>
    </row>
    <row r="125" spans="1:1">
      <c r="A125" s="10"/>
    </row>
    <row r="126" spans="1:1">
      <c r="A126" s="10"/>
    </row>
    <row r="127" spans="1:1">
      <c r="A127" s="10"/>
    </row>
    <row r="128" spans="1:1">
      <c r="A128" s="10"/>
    </row>
    <row r="129" spans="1:1">
      <c r="A129" s="10"/>
    </row>
    <row r="130" spans="1:1">
      <c r="A130" s="10"/>
    </row>
    <row r="131" spans="1:1">
      <c r="A131" s="10"/>
    </row>
    <row r="132" spans="1:1">
      <c r="A132" s="10"/>
    </row>
    <row r="133" spans="1:1">
      <c r="A133" s="10"/>
    </row>
    <row r="134" spans="1:1">
      <c r="A134" s="10"/>
    </row>
    <row r="135" spans="1:1">
      <c r="A135" s="10"/>
    </row>
    <row r="136" spans="1:1">
      <c r="A136" s="10"/>
    </row>
    <row r="137" spans="1:1">
      <c r="A137" s="10"/>
    </row>
    <row r="138" spans="1:1">
      <c r="A138" s="10"/>
    </row>
    <row r="139" spans="1:1">
      <c r="A139" s="10"/>
    </row>
    <row r="140" spans="1:1">
      <c r="A140" s="10"/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  <row r="159" spans="1:1">
      <c r="A159" s="10"/>
    </row>
    <row r="160" spans="1:1">
      <c r="A160" s="10"/>
    </row>
    <row r="161" spans="1:1">
      <c r="A161" s="10"/>
    </row>
    <row r="162" spans="1:1">
      <c r="A162" s="10"/>
    </row>
    <row r="163" spans="1:1">
      <c r="A163" s="10"/>
    </row>
    <row r="164" spans="1:1">
      <c r="A164" s="10"/>
    </row>
    <row r="165" spans="1:1">
      <c r="A165" s="10"/>
    </row>
    <row r="166" spans="1:1">
      <c r="A166" s="10"/>
    </row>
    <row r="167" spans="1:1">
      <c r="A167" s="10"/>
    </row>
    <row r="168" spans="1:1">
      <c r="A168" s="10"/>
    </row>
    <row r="169" spans="1:1">
      <c r="A169" s="10"/>
    </row>
    <row r="170" spans="1:1">
      <c r="A170" s="10"/>
    </row>
    <row r="171" spans="1:1">
      <c r="A171" s="10"/>
    </row>
    <row r="172" spans="1:1">
      <c r="A172" s="10"/>
    </row>
    <row r="173" spans="1:1">
      <c r="A173" s="10"/>
    </row>
    <row r="174" spans="1:1">
      <c r="A174" s="10"/>
    </row>
    <row r="175" spans="1:1">
      <c r="A175" s="10"/>
    </row>
    <row r="176" spans="1:1">
      <c r="A176" s="10"/>
    </row>
    <row r="177" spans="1:1">
      <c r="A177" s="10"/>
    </row>
    <row r="178" spans="1:1">
      <c r="A178" s="10"/>
    </row>
    <row r="179" spans="1:1">
      <c r="A179" s="10"/>
    </row>
    <row r="180" spans="1:1">
      <c r="A180" s="10"/>
    </row>
    <row r="181" spans="1:1">
      <c r="A181" s="10"/>
    </row>
    <row r="182" spans="1:1">
      <c r="A182" s="10"/>
    </row>
    <row r="183" spans="1:1">
      <c r="A183" s="10"/>
    </row>
    <row r="184" spans="1:1">
      <c r="A184" s="10"/>
    </row>
    <row r="185" spans="1:1">
      <c r="A185" s="10"/>
    </row>
    <row r="186" spans="1:1">
      <c r="A186" s="10"/>
    </row>
    <row r="187" spans="1:1">
      <c r="A187" s="10"/>
    </row>
    <row r="188" spans="1:1">
      <c r="A188" s="10"/>
    </row>
    <row r="189" spans="1:1">
      <c r="A189" s="10"/>
    </row>
    <row r="190" spans="1:1">
      <c r="A190" s="10"/>
    </row>
    <row r="191" spans="1:1">
      <c r="A191" s="10"/>
    </row>
    <row r="192" spans="1:1">
      <c r="A192" s="10"/>
    </row>
    <row r="193" spans="1:1">
      <c r="A193" s="10"/>
    </row>
    <row r="194" spans="1:1">
      <c r="A194" s="10"/>
    </row>
    <row r="195" spans="1:1">
      <c r="A195" s="10"/>
    </row>
    <row r="196" spans="1:1">
      <c r="A196" s="10"/>
    </row>
    <row r="197" spans="1:1">
      <c r="A197" s="10"/>
    </row>
    <row r="198" spans="1:1">
      <c r="A198" s="10"/>
    </row>
    <row r="199" spans="1:1">
      <c r="A199" s="10"/>
    </row>
    <row r="200" spans="1:1">
      <c r="A200" s="10"/>
    </row>
    <row r="201" spans="1:1">
      <c r="A201" s="10"/>
    </row>
    <row r="202" spans="1:1">
      <c r="A202" s="10"/>
    </row>
    <row r="203" spans="1:1">
      <c r="A203" s="10"/>
    </row>
    <row r="204" spans="1:1">
      <c r="A204" s="10"/>
    </row>
    <row r="205" spans="1:1">
      <c r="A205" s="10"/>
    </row>
    <row r="206" spans="1:1">
      <c r="A206" s="10"/>
    </row>
    <row r="207" spans="1:1">
      <c r="A207" s="10"/>
    </row>
    <row r="208" spans="1:1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10"/>
    </row>
    <row r="255" spans="1:1">
      <c r="A255" s="10"/>
    </row>
    <row r="256" spans="1:1">
      <c r="A256" s="10"/>
    </row>
    <row r="257" spans="1:1">
      <c r="A257" s="10"/>
    </row>
    <row r="258" spans="1:1">
      <c r="A258" s="10"/>
    </row>
    <row r="259" spans="1:1">
      <c r="A259" s="10"/>
    </row>
    <row r="260" spans="1:1">
      <c r="A260" s="10"/>
    </row>
    <row r="261" spans="1:1">
      <c r="A261" s="10"/>
    </row>
    <row r="262" spans="1:1">
      <c r="A262" s="10"/>
    </row>
    <row r="263" spans="1:1">
      <c r="A263" s="10"/>
    </row>
    <row r="264" spans="1:1">
      <c r="A264" s="10"/>
    </row>
    <row r="265" spans="1:1">
      <c r="A265" s="10"/>
    </row>
    <row r="266" spans="1:1">
      <c r="A266" s="10"/>
    </row>
    <row r="267" spans="1:1">
      <c r="A267" s="10"/>
    </row>
    <row r="268" spans="1:1">
      <c r="A268" s="10"/>
    </row>
    <row r="269" spans="1:1">
      <c r="A269" s="10"/>
    </row>
    <row r="270" spans="1:1">
      <c r="A270" s="10"/>
    </row>
    <row r="271" spans="1:1">
      <c r="A271" s="10"/>
    </row>
    <row r="272" spans="1:1">
      <c r="A272" s="10"/>
    </row>
    <row r="273" spans="1:1">
      <c r="A273" s="10"/>
    </row>
    <row r="274" spans="1:1">
      <c r="A274" s="10"/>
    </row>
    <row r="275" spans="1:1">
      <c r="A275" s="10"/>
    </row>
    <row r="276" spans="1:1">
      <c r="A276" s="10"/>
    </row>
    <row r="277" spans="1:1">
      <c r="A277" s="10"/>
    </row>
    <row r="278" spans="1:1">
      <c r="A278" s="10"/>
    </row>
    <row r="279" spans="1:1">
      <c r="A279" s="10"/>
    </row>
    <row r="280" spans="1:1">
      <c r="A280" s="10"/>
    </row>
    <row r="281" spans="1:1">
      <c r="A281" s="10"/>
    </row>
    <row r="282" spans="1:1">
      <c r="A282" s="10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  <row r="390" spans="1:1">
      <c r="A390" s="10"/>
    </row>
    <row r="391" spans="1:1">
      <c r="A391" s="10"/>
    </row>
    <row r="392" spans="1:1">
      <c r="A392" s="10"/>
    </row>
    <row r="393" spans="1:1">
      <c r="A393" s="10"/>
    </row>
    <row r="394" spans="1:1">
      <c r="A394" s="10"/>
    </row>
    <row r="395" spans="1:1">
      <c r="A395" s="10"/>
    </row>
    <row r="396" spans="1:1">
      <c r="A396" s="10"/>
    </row>
    <row r="397" spans="1:1">
      <c r="A397" s="10"/>
    </row>
    <row r="398" spans="1:1">
      <c r="A398" s="10"/>
    </row>
    <row r="399" spans="1:1">
      <c r="A399" s="10"/>
    </row>
    <row r="400" spans="1:1">
      <c r="A400" s="10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10"/>
    </row>
    <row r="410" spans="1:1">
      <c r="A410" s="10"/>
    </row>
    <row r="411" spans="1:1">
      <c r="A411" s="10"/>
    </row>
    <row r="412" spans="1:1">
      <c r="A412" s="10"/>
    </row>
    <row r="413" spans="1:1">
      <c r="A413" s="10"/>
    </row>
    <row r="414" spans="1:1">
      <c r="A414" s="10"/>
    </row>
    <row r="415" spans="1:1">
      <c r="A415" s="10"/>
    </row>
    <row r="416" spans="1:1">
      <c r="A416" s="10"/>
    </row>
    <row r="417" spans="1:1">
      <c r="A417" s="10"/>
    </row>
    <row r="418" spans="1:1">
      <c r="A418" s="10"/>
    </row>
    <row r="419" spans="1:1">
      <c r="A419" s="10"/>
    </row>
    <row r="420" spans="1:1">
      <c r="A420" s="10"/>
    </row>
    <row r="421" spans="1:1">
      <c r="A421" s="10"/>
    </row>
    <row r="422" spans="1:1">
      <c r="A422" s="10"/>
    </row>
    <row r="423" spans="1:1">
      <c r="A423" s="10"/>
    </row>
    <row r="424" spans="1:1">
      <c r="A424" s="10"/>
    </row>
    <row r="425" spans="1:1">
      <c r="A425" s="10"/>
    </row>
    <row r="426" spans="1:1">
      <c r="A426" s="10"/>
    </row>
    <row r="427" spans="1:1">
      <c r="A427" s="10"/>
    </row>
    <row r="428" spans="1:1">
      <c r="A428" s="10"/>
    </row>
    <row r="429" spans="1:1">
      <c r="A429" s="10"/>
    </row>
    <row r="430" spans="1:1">
      <c r="A430" s="10"/>
    </row>
    <row r="431" spans="1:1">
      <c r="A431" s="10"/>
    </row>
    <row r="432" spans="1:1">
      <c r="A432" s="10"/>
    </row>
    <row r="433" spans="1:1">
      <c r="A433" s="10"/>
    </row>
    <row r="434" spans="1:1">
      <c r="A434" s="10"/>
    </row>
    <row r="435" spans="1:1">
      <c r="A435" s="10"/>
    </row>
    <row r="436" spans="1:1">
      <c r="A436" s="10"/>
    </row>
    <row r="437" spans="1:1">
      <c r="A437" s="10"/>
    </row>
    <row r="438" spans="1:1">
      <c r="A438" s="10"/>
    </row>
    <row r="439" spans="1:1">
      <c r="A439" s="10"/>
    </row>
    <row r="440" spans="1:1">
      <c r="A440" s="10"/>
    </row>
    <row r="441" spans="1:1">
      <c r="A441" s="10"/>
    </row>
    <row r="442" spans="1:1">
      <c r="A442" s="10"/>
    </row>
    <row r="443" spans="1:1">
      <c r="A443" s="10"/>
    </row>
    <row r="444" spans="1:1">
      <c r="A444" s="10"/>
    </row>
    <row r="445" spans="1:1">
      <c r="A445" s="10"/>
    </row>
    <row r="446" spans="1:1">
      <c r="A446" s="10"/>
    </row>
    <row r="447" spans="1:1">
      <c r="A447" s="10"/>
    </row>
    <row r="448" spans="1:1">
      <c r="A448" s="10"/>
    </row>
    <row r="449" spans="1:1">
      <c r="A449" s="10"/>
    </row>
    <row r="450" spans="1:1">
      <c r="A450" s="10"/>
    </row>
    <row r="451" spans="1:1">
      <c r="A451" s="10"/>
    </row>
    <row r="452" spans="1:1">
      <c r="A452" s="10"/>
    </row>
    <row r="453" spans="1:1">
      <c r="A453" s="10"/>
    </row>
    <row r="454" spans="1:1">
      <c r="A454" s="10"/>
    </row>
    <row r="455" spans="1:1">
      <c r="A455" s="10"/>
    </row>
    <row r="456" spans="1:1">
      <c r="A456" s="10"/>
    </row>
    <row r="457" spans="1:1">
      <c r="A457" s="10"/>
    </row>
    <row r="458" spans="1:1">
      <c r="A458" s="10"/>
    </row>
    <row r="459" spans="1:1">
      <c r="A459" s="10"/>
    </row>
    <row r="460" spans="1:1">
      <c r="A460" s="10"/>
    </row>
    <row r="461" spans="1:1">
      <c r="A461" s="10"/>
    </row>
    <row r="462" spans="1:1">
      <c r="A462" s="10"/>
    </row>
    <row r="463" spans="1:1">
      <c r="A463" s="10"/>
    </row>
    <row r="464" spans="1:1">
      <c r="A464" s="10"/>
    </row>
    <row r="465" spans="1:1">
      <c r="A465" s="10"/>
    </row>
    <row r="466" spans="1:1">
      <c r="A466" s="10"/>
    </row>
    <row r="467" spans="1:1">
      <c r="A467" s="10"/>
    </row>
    <row r="468" spans="1:1">
      <c r="A468" s="10"/>
    </row>
    <row r="469" spans="1:1">
      <c r="A469" s="10"/>
    </row>
    <row r="470" spans="1:1">
      <c r="A470" s="10"/>
    </row>
    <row r="471" spans="1:1">
      <c r="A471" s="10"/>
    </row>
    <row r="472" spans="1:1">
      <c r="A472" s="10"/>
    </row>
    <row r="473" spans="1:1">
      <c r="A473" s="10"/>
    </row>
    <row r="474" spans="1:1">
      <c r="A474" s="10"/>
    </row>
    <row r="475" spans="1:1">
      <c r="A475" s="10"/>
    </row>
    <row r="476" spans="1:1">
      <c r="A476" s="10"/>
    </row>
    <row r="477" spans="1:1">
      <c r="A477" s="10"/>
    </row>
    <row r="478" spans="1:1">
      <c r="A478" s="10"/>
    </row>
    <row r="479" spans="1:1">
      <c r="A479" s="10"/>
    </row>
    <row r="480" spans="1:1">
      <c r="A480" s="10"/>
    </row>
    <row r="481" spans="1:1">
      <c r="A481" s="10"/>
    </row>
    <row r="482" spans="1:1">
      <c r="A482" s="10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</sheetData>
  <mergeCells count="1">
    <mergeCell ref="A1:N1"/>
  </mergeCells>
  <conditionalFormatting sqref="N4:N100">
    <cfRule type="expression" dxfId="40" priority="1">
      <formula>N4="Activo"</formula>
    </cfRule>
    <cfRule type="expression" dxfId="39" priority="2">
      <formula>N4="Inactivo"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0"/>
  <sheetViews>
    <sheetView workbookViewId="0">
      <selection sqref="A1:J1"/>
    </sheetView>
  </sheetViews>
  <sheetFormatPr baseColWidth="10" defaultColWidth="8.6640625" defaultRowHeight="14"/>
  <cols>
    <col min="1" max="1" width="24" customWidth="1"/>
    <col min="2" max="2" width="10" customWidth="1"/>
    <col min="3" max="5" width="14" customWidth="1"/>
    <col min="6" max="7" width="22" customWidth="1"/>
    <col min="8" max="8" width="21" customWidth="1"/>
    <col min="9" max="9" width="38" customWidth="1"/>
    <col min="10" max="10" width="15" customWidth="1"/>
  </cols>
  <sheetData>
    <row r="1" spans="1:10" ht="15.15" customHeight="1">
      <c r="A1" s="43" t="s">
        <v>177</v>
      </c>
      <c r="B1" s="41"/>
      <c r="C1" s="41"/>
      <c r="D1" s="41"/>
      <c r="E1" s="41"/>
      <c r="F1" s="41"/>
      <c r="G1" s="41"/>
      <c r="H1" s="41"/>
      <c r="I1" s="41"/>
      <c r="J1" s="41"/>
    </row>
    <row r="2" spans="1:10">
      <c r="A2" s="10"/>
    </row>
    <row r="3" spans="1:10" ht="13.4" customHeight="1">
      <c r="A3" s="11" t="s">
        <v>178</v>
      </c>
      <c r="B3" s="1" t="s">
        <v>179</v>
      </c>
      <c r="C3" s="1" t="s">
        <v>180</v>
      </c>
      <c r="D3" s="1" t="s">
        <v>181</v>
      </c>
      <c r="E3" s="1" t="s">
        <v>182</v>
      </c>
      <c r="F3" s="1" t="s">
        <v>183</v>
      </c>
      <c r="G3" s="1" t="s">
        <v>184</v>
      </c>
      <c r="H3" s="1" t="s">
        <v>185</v>
      </c>
      <c r="I3" s="1" t="s">
        <v>186</v>
      </c>
      <c r="J3" s="1" t="s">
        <v>165</v>
      </c>
    </row>
    <row r="4" spans="1:10">
      <c r="A4" s="12" t="s">
        <v>87</v>
      </c>
      <c r="B4" s="2">
        <v>1</v>
      </c>
      <c r="C4" s="2" t="s">
        <v>187</v>
      </c>
      <c r="D4" s="2"/>
      <c r="E4" s="2"/>
      <c r="F4" s="2"/>
      <c r="G4" s="2"/>
      <c r="H4" s="2"/>
      <c r="I4" s="2" t="s">
        <v>188</v>
      </c>
      <c r="J4" s="2" t="s">
        <v>93</v>
      </c>
    </row>
    <row r="5" spans="1:10">
      <c r="A5" s="12" t="s">
        <v>100</v>
      </c>
      <c r="B5" s="2">
        <v>2</v>
      </c>
      <c r="C5" s="2" t="s">
        <v>187</v>
      </c>
      <c r="D5" s="2"/>
      <c r="E5" s="2"/>
      <c r="F5" s="2"/>
      <c r="G5" s="2"/>
      <c r="H5" s="2"/>
      <c r="I5" s="2" t="s">
        <v>188</v>
      </c>
      <c r="J5" s="2" t="s">
        <v>93</v>
      </c>
    </row>
    <row r="6" spans="1:10">
      <c r="A6" s="12" t="s">
        <v>113</v>
      </c>
      <c r="B6" s="2">
        <v>3</v>
      </c>
      <c r="C6" s="2" t="s">
        <v>187</v>
      </c>
      <c r="D6" s="2"/>
      <c r="E6" s="2"/>
      <c r="F6" s="2"/>
      <c r="G6" s="2"/>
      <c r="H6" s="2"/>
      <c r="I6" s="2" t="s">
        <v>188</v>
      </c>
      <c r="J6" s="2" t="s">
        <v>93</v>
      </c>
    </row>
    <row r="7" spans="1:10">
      <c r="A7" s="12" t="s">
        <v>125</v>
      </c>
      <c r="B7" s="2">
        <v>4</v>
      </c>
      <c r="C7" s="2" t="s">
        <v>187</v>
      </c>
      <c r="D7" s="2"/>
      <c r="E7" s="2"/>
      <c r="F7" s="2"/>
      <c r="G7" s="2"/>
      <c r="H7" s="2"/>
      <c r="I7" s="2" t="s">
        <v>188</v>
      </c>
      <c r="J7" s="2" t="s">
        <v>93</v>
      </c>
    </row>
    <row r="8" spans="1:10">
      <c r="A8" s="12" t="s">
        <v>136</v>
      </c>
      <c r="B8" s="2">
        <v>5</v>
      </c>
      <c r="C8" s="2" t="s">
        <v>187</v>
      </c>
      <c r="D8" s="2"/>
      <c r="E8" s="2"/>
      <c r="F8" s="2"/>
      <c r="G8" s="2"/>
      <c r="H8" s="2"/>
      <c r="I8" s="2" t="s">
        <v>188</v>
      </c>
      <c r="J8" s="2" t="s">
        <v>93</v>
      </c>
    </row>
    <row r="9" spans="1:10">
      <c r="A9" s="12" t="s">
        <v>143</v>
      </c>
      <c r="B9" s="2">
        <v>6</v>
      </c>
      <c r="C9" s="2" t="s">
        <v>187</v>
      </c>
      <c r="D9" s="2"/>
      <c r="E9" s="2"/>
      <c r="F9" s="2"/>
      <c r="G9" s="2"/>
      <c r="H9" s="2"/>
      <c r="I9" s="2" t="s">
        <v>188</v>
      </c>
      <c r="J9" s="2" t="s">
        <v>93</v>
      </c>
    </row>
    <row r="10" spans="1:10">
      <c r="A10" s="12" t="s">
        <v>147</v>
      </c>
      <c r="B10" s="2">
        <v>7</v>
      </c>
      <c r="C10" s="2" t="s">
        <v>189</v>
      </c>
      <c r="D10" s="2"/>
      <c r="E10" s="2"/>
      <c r="F10" s="2"/>
      <c r="G10" s="2"/>
      <c r="H10" s="2"/>
      <c r="I10" s="2" t="s">
        <v>188</v>
      </c>
      <c r="J10" s="2" t="s">
        <v>93</v>
      </c>
    </row>
    <row r="11" spans="1:10">
      <c r="A11" s="12" t="s">
        <v>149</v>
      </c>
      <c r="B11" s="2">
        <v>8</v>
      </c>
      <c r="C11" s="2" t="s">
        <v>189</v>
      </c>
      <c r="D11" s="2"/>
      <c r="E11" s="2"/>
      <c r="F11" s="2"/>
      <c r="G11" s="2"/>
      <c r="H11" s="2"/>
      <c r="I11" s="2" t="s">
        <v>188</v>
      </c>
      <c r="J11" s="2" t="s">
        <v>93</v>
      </c>
    </row>
    <row r="12" spans="1:10">
      <c r="A12" s="12" t="s">
        <v>150</v>
      </c>
      <c r="B12" s="2">
        <v>9</v>
      </c>
      <c r="C12" s="2" t="s">
        <v>189</v>
      </c>
      <c r="D12" s="2"/>
      <c r="E12" s="2"/>
      <c r="F12" s="2"/>
      <c r="G12" s="2"/>
      <c r="H12" s="2"/>
      <c r="I12" s="2" t="s">
        <v>188</v>
      </c>
      <c r="J12" s="2" t="s">
        <v>93</v>
      </c>
    </row>
    <row r="13" spans="1:10">
      <c r="A13" s="1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1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1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1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1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1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1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1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1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1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1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1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1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1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1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1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1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1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1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1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1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1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1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1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1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1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1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1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1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1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1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1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1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1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1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1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1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1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10"/>
    </row>
    <row r="52" spans="1:10">
      <c r="A52" s="10"/>
    </row>
    <row r="53" spans="1:10">
      <c r="A53" s="10"/>
    </row>
    <row r="54" spans="1:10">
      <c r="A54" s="10"/>
    </row>
    <row r="55" spans="1:10">
      <c r="A55" s="10"/>
    </row>
    <row r="56" spans="1:10">
      <c r="A56" s="10"/>
    </row>
    <row r="57" spans="1:10">
      <c r="A57" s="10"/>
    </row>
    <row r="58" spans="1:10">
      <c r="A58" s="10"/>
    </row>
    <row r="59" spans="1:10">
      <c r="A59" s="10"/>
    </row>
    <row r="60" spans="1:10">
      <c r="A60" s="10"/>
    </row>
    <row r="61" spans="1:10">
      <c r="A61" s="10"/>
    </row>
    <row r="62" spans="1:10">
      <c r="A62" s="10"/>
    </row>
    <row r="63" spans="1:10">
      <c r="A63" s="10"/>
    </row>
    <row r="64" spans="1:10">
      <c r="A64" s="10"/>
    </row>
    <row r="65" spans="1:1">
      <c r="A65" s="10"/>
    </row>
    <row r="66" spans="1:1">
      <c r="A66" s="10"/>
    </row>
    <row r="67" spans="1:1">
      <c r="A67" s="10"/>
    </row>
    <row r="68" spans="1:1">
      <c r="A68" s="10"/>
    </row>
    <row r="69" spans="1:1">
      <c r="A69" s="10"/>
    </row>
    <row r="70" spans="1:1">
      <c r="A70" s="10"/>
    </row>
    <row r="71" spans="1:1">
      <c r="A71" s="10"/>
    </row>
    <row r="72" spans="1:1">
      <c r="A72" s="10"/>
    </row>
    <row r="73" spans="1:1">
      <c r="A73" s="10"/>
    </row>
    <row r="74" spans="1:1">
      <c r="A74" s="10"/>
    </row>
    <row r="75" spans="1:1">
      <c r="A75" s="10"/>
    </row>
    <row r="76" spans="1:1">
      <c r="A76" s="10"/>
    </row>
    <row r="77" spans="1:1">
      <c r="A77" s="10"/>
    </row>
    <row r="78" spans="1:1">
      <c r="A78" s="10"/>
    </row>
    <row r="79" spans="1:1">
      <c r="A79" s="10"/>
    </row>
    <row r="80" spans="1:1">
      <c r="A80" s="10"/>
    </row>
    <row r="81" spans="1:1">
      <c r="A81" s="10"/>
    </row>
    <row r="82" spans="1:1">
      <c r="A82" s="10"/>
    </row>
    <row r="83" spans="1:1">
      <c r="A83" s="10"/>
    </row>
    <row r="84" spans="1:1">
      <c r="A84" s="10"/>
    </row>
    <row r="85" spans="1:1">
      <c r="A85" s="10"/>
    </row>
    <row r="86" spans="1:1">
      <c r="A86" s="10"/>
    </row>
    <row r="87" spans="1:1">
      <c r="A87" s="10"/>
    </row>
    <row r="88" spans="1:1">
      <c r="A88" s="10"/>
    </row>
    <row r="89" spans="1:1">
      <c r="A89" s="10"/>
    </row>
    <row r="90" spans="1:1">
      <c r="A90" s="10"/>
    </row>
    <row r="91" spans="1:1">
      <c r="A91" s="10"/>
    </row>
    <row r="92" spans="1:1">
      <c r="A92" s="10"/>
    </row>
    <row r="93" spans="1:1">
      <c r="A93" s="10"/>
    </row>
    <row r="94" spans="1:1">
      <c r="A94" s="10"/>
    </row>
    <row r="95" spans="1:1">
      <c r="A95" s="10"/>
    </row>
    <row r="96" spans="1:1">
      <c r="A96" s="10"/>
    </row>
    <row r="97" spans="1:1">
      <c r="A97" s="10"/>
    </row>
    <row r="98" spans="1:1">
      <c r="A98" s="10"/>
    </row>
    <row r="99" spans="1:1">
      <c r="A99" s="10"/>
    </row>
    <row r="100" spans="1:1">
      <c r="A100" s="10"/>
    </row>
    <row r="101" spans="1:1">
      <c r="A101" s="10"/>
    </row>
    <row r="102" spans="1:1">
      <c r="A102" s="10"/>
    </row>
    <row r="103" spans="1:1">
      <c r="A103" s="10"/>
    </row>
    <row r="104" spans="1:1">
      <c r="A104" s="10"/>
    </row>
    <row r="105" spans="1:1">
      <c r="A105" s="10"/>
    </row>
    <row r="106" spans="1:1">
      <c r="A106" s="10"/>
    </row>
    <row r="107" spans="1:1">
      <c r="A107" s="10"/>
    </row>
    <row r="108" spans="1:1">
      <c r="A108" s="10"/>
    </row>
    <row r="109" spans="1:1">
      <c r="A109" s="10"/>
    </row>
    <row r="110" spans="1:1">
      <c r="A110" s="10"/>
    </row>
    <row r="111" spans="1:1">
      <c r="A111" s="10"/>
    </row>
    <row r="112" spans="1:1">
      <c r="A112" s="10"/>
    </row>
    <row r="113" spans="1:1">
      <c r="A113" s="10"/>
    </row>
    <row r="114" spans="1:1">
      <c r="A114" s="10"/>
    </row>
    <row r="115" spans="1:1">
      <c r="A115" s="10"/>
    </row>
    <row r="116" spans="1:1">
      <c r="A116" s="10"/>
    </row>
    <row r="117" spans="1:1">
      <c r="A117" s="10"/>
    </row>
    <row r="118" spans="1:1">
      <c r="A118" s="10"/>
    </row>
    <row r="119" spans="1:1">
      <c r="A119" s="10"/>
    </row>
    <row r="120" spans="1:1">
      <c r="A120" s="10"/>
    </row>
    <row r="121" spans="1:1">
      <c r="A121" s="10"/>
    </row>
    <row r="122" spans="1:1">
      <c r="A122" s="10"/>
    </row>
    <row r="123" spans="1:1">
      <c r="A123" s="10"/>
    </row>
    <row r="124" spans="1:1">
      <c r="A124" s="10"/>
    </row>
    <row r="125" spans="1:1">
      <c r="A125" s="10"/>
    </row>
    <row r="126" spans="1:1">
      <c r="A126" s="10"/>
    </row>
    <row r="127" spans="1:1">
      <c r="A127" s="10"/>
    </row>
    <row r="128" spans="1:1">
      <c r="A128" s="10"/>
    </row>
    <row r="129" spans="1:1">
      <c r="A129" s="10"/>
    </row>
    <row r="130" spans="1:1">
      <c r="A130" s="10"/>
    </row>
    <row r="131" spans="1:1">
      <c r="A131" s="10"/>
    </row>
    <row r="132" spans="1:1">
      <c r="A132" s="10"/>
    </row>
    <row r="133" spans="1:1">
      <c r="A133" s="10"/>
    </row>
    <row r="134" spans="1:1">
      <c r="A134" s="10"/>
    </row>
    <row r="135" spans="1:1">
      <c r="A135" s="10"/>
    </row>
    <row r="136" spans="1:1">
      <c r="A136" s="10"/>
    </row>
    <row r="137" spans="1:1">
      <c r="A137" s="10"/>
    </row>
    <row r="138" spans="1:1">
      <c r="A138" s="10"/>
    </row>
    <row r="139" spans="1:1">
      <c r="A139" s="10"/>
    </row>
    <row r="140" spans="1:1">
      <c r="A140" s="10"/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  <row r="159" spans="1:1">
      <c r="A159" s="10"/>
    </row>
    <row r="160" spans="1:1">
      <c r="A160" s="10"/>
    </row>
    <row r="161" spans="1:1">
      <c r="A161" s="10"/>
    </row>
    <row r="162" spans="1:1">
      <c r="A162" s="10"/>
    </row>
    <row r="163" spans="1:1">
      <c r="A163" s="10"/>
    </row>
    <row r="164" spans="1:1">
      <c r="A164" s="10"/>
    </row>
    <row r="165" spans="1:1">
      <c r="A165" s="10"/>
    </row>
    <row r="166" spans="1:1">
      <c r="A166" s="10"/>
    </row>
    <row r="167" spans="1:1">
      <c r="A167" s="10"/>
    </row>
    <row r="168" spans="1:1">
      <c r="A168" s="10"/>
    </row>
    <row r="169" spans="1:1">
      <c r="A169" s="10"/>
    </row>
    <row r="170" spans="1:1">
      <c r="A170" s="10"/>
    </row>
    <row r="171" spans="1:1">
      <c r="A171" s="10"/>
    </row>
    <row r="172" spans="1:1">
      <c r="A172" s="10"/>
    </row>
    <row r="173" spans="1:1">
      <c r="A173" s="10"/>
    </row>
    <row r="174" spans="1:1">
      <c r="A174" s="10"/>
    </row>
    <row r="175" spans="1:1">
      <c r="A175" s="10"/>
    </row>
    <row r="176" spans="1:1">
      <c r="A176" s="10"/>
    </row>
    <row r="177" spans="1:1">
      <c r="A177" s="10"/>
    </row>
    <row r="178" spans="1:1">
      <c r="A178" s="10"/>
    </row>
    <row r="179" spans="1:1">
      <c r="A179" s="10"/>
    </row>
    <row r="180" spans="1:1">
      <c r="A180" s="10"/>
    </row>
    <row r="181" spans="1:1">
      <c r="A181" s="10"/>
    </row>
    <row r="182" spans="1:1">
      <c r="A182" s="10"/>
    </row>
    <row r="183" spans="1:1">
      <c r="A183" s="10"/>
    </row>
    <row r="184" spans="1:1">
      <c r="A184" s="10"/>
    </row>
    <row r="185" spans="1:1">
      <c r="A185" s="10"/>
    </row>
    <row r="186" spans="1:1">
      <c r="A186" s="10"/>
    </row>
    <row r="187" spans="1:1">
      <c r="A187" s="10"/>
    </row>
    <row r="188" spans="1:1">
      <c r="A188" s="10"/>
    </row>
    <row r="189" spans="1:1">
      <c r="A189" s="10"/>
    </row>
    <row r="190" spans="1:1">
      <c r="A190" s="10"/>
    </row>
    <row r="191" spans="1:1">
      <c r="A191" s="10"/>
    </row>
    <row r="192" spans="1:1">
      <c r="A192" s="10"/>
    </row>
    <row r="193" spans="1:1">
      <c r="A193" s="10"/>
    </row>
    <row r="194" spans="1:1">
      <c r="A194" s="10"/>
    </row>
    <row r="195" spans="1:1">
      <c r="A195" s="10"/>
    </row>
    <row r="196" spans="1:1">
      <c r="A196" s="10"/>
    </row>
    <row r="197" spans="1:1">
      <c r="A197" s="10"/>
    </row>
    <row r="198" spans="1:1">
      <c r="A198" s="10"/>
    </row>
    <row r="199" spans="1:1">
      <c r="A199" s="10"/>
    </row>
    <row r="200" spans="1:1">
      <c r="A200" s="10"/>
    </row>
    <row r="201" spans="1:1">
      <c r="A201" s="10"/>
    </row>
    <row r="202" spans="1:1">
      <c r="A202" s="10"/>
    </row>
    <row r="203" spans="1:1">
      <c r="A203" s="10"/>
    </row>
    <row r="204" spans="1:1">
      <c r="A204" s="10"/>
    </row>
    <row r="205" spans="1:1">
      <c r="A205" s="10"/>
    </row>
    <row r="206" spans="1:1">
      <c r="A206" s="10"/>
    </row>
    <row r="207" spans="1:1">
      <c r="A207" s="10"/>
    </row>
    <row r="208" spans="1:1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10"/>
    </row>
    <row r="255" spans="1:1">
      <c r="A255" s="10"/>
    </row>
    <row r="256" spans="1:1">
      <c r="A256" s="10"/>
    </row>
    <row r="257" spans="1:1">
      <c r="A257" s="10"/>
    </row>
    <row r="258" spans="1:1">
      <c r="A258" s="10"/>
    </row>
    <row r="259" spans="1:1">
      <c r="A259" s="10"/>
    </row>
    <row r="260" spans="1:1">
      <c r="A260" s="10"/>
    </row>
    <row r="261" spans="1:1">
      <c r="A261" s="10"/>
    </row>
    <row r="262" spans="1:1">
      <c r="A262" s="10"/>
    </row>
    <row r="263" spans="1:1">
      <c r="A263" s="10"/>
    </row>
    <row r="264" spans="1:1">
      <c r="A264" s="10"/>
    </row>
    <row r="265" spans="1:1">
      <c r="A265" s="10"/>
    </row>
    <row r="266" spans="1:1">
      <c r="A266" s="10"/>
    </row>
    <row r="267" spans="1:1">
      <c r="A267" s="10"/>
    </row>
    <row r="268" spans="1:1">
      <c r="A268" s="10"/>
    </row>
    <row r="269" spans="1:1">
      <c r="A269" s="10"/>
    </row>
    <row r="270" spans="1:1">
      <c r="A270" s="10"/>
    </row>
    <row r="271" spans="1:1">
      <c r="A271" s="10"/>
    </row>
    <row r="272" spans="1:1">
      <c r="A272" s="10"/>
    </row>
    <row r="273" spans="1:1">
      <c r="A273" s="10"/>
    </row>
    <row r="274" spans="1:1">
      <c r="A274" s="10"/>
    </row>
    <row r="275" spans="1:1">
      <c r="A275" s="10"/>
    </row>
    <row r="276" spans="1:1">
      <c r="A276" s="10"/>
    </row>
    <row r="277" spans="1:1">
      <c r="A277" s="10"/>
    </row>
    <row r="278" spans="1:1">
      <c r="A278" s="10"/>
    </row>
    <row r="279" spans="1:1">
      <c r="A279" s="10"/>
    </row>
    <row r="280" spans="1:1">
      <c r="A280" s="10"/>
    </row>
    <row r="281" spans="1:1">
      <c r="A281" s="10"/>
    </row>
    <row r="282" spans="1:1">
      <c r="A282" s="10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  <row r="390" spans="1:1">
      <c r="A390" s="10"/>
    </row>
    <row r="391" spans="1:1">
      <c r="A391" s="10"/>
    </row>
    <row r="392" spans="1:1">
      <c r="A392" s="10"/>
    </row>
    <row r="393" spans="1:1">
      <c r="A393" s="10"/>
    </row>
    <row r="394" spans="1:1">
      <c r="A394" s="10"/>
    </row>
    <row r="395" spans="1:1">
      <c r="A395" s="10"/>
    </row>
    <row r="396" spans="1:1">
      <c r="A396" s="10"/>
    </row>
    <row r="397" spans="1:1">
      <c r="A397" s="10"/>
    </row>
    <row r="398" spans="1:1">
      <c r="A398" s="10"/>
    </row>
    <row r="399" spans="1:1">
      <c r="A399" s="10"/>
    </row>
    <row r="400" spans="1:1">
      <c r="A400" s="10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10"/>
    </row>
    <row r="410" spans="1:1">
      <c r="A410" s="10"/>
    </row>
    <row r="411" spans="1:1">
      <c r="A411" s="10"/>
    </row>
    <row r="412" spans="1:1">
      <c r="A412" s="10"/>
    </row>
    <row r="413" spans="1:1">
      <c r="A413" s="10"/>
    </row>
    <row r="414" spans="1:1">
      <c r="A414" s="10"/>
    </row>
    <row r="415" spans="1:1">
      <c r="A415" s="10"/>
    </row>
    <row r="416" spans="1:1">
      <c r="A416" s="10"/>
    </row>
    <row r="417" spans="1:1">
      <c r="A417" s="10"/>
    </row>
    <row r="418" spans="1:1">
      <c r="A418" s="10"/>
    </row>
    <row r="419" spans="1:1">
      <c r="A419" s="10"/>
    </row>
    <row r="420" spans="1:1">
      <c r="A420" s="10"/>
    </row>
    <row r="421" spans="1:1">
      <c r="A421" s="10"/>
    </row>
    <row r="422" spans="1:1">
      <c r="A422" s="10"/>
    </row>
    <row r="423" spans="1:1">
      <c r="A423" s="10"/>
    </row>
    <row r="424" spans="1:1">
      <c r="A424" s="10"/>
    </row>
    <row r="425" spans="1:1">
      <c r="A425" s="10"/>
    </row>
    <row r="426" spans="1:1">
      <c r="A426" s="10"/>
    </row>
    <row r="427" spans="1:1">
      <c r="A427" s="10"/>
    </row>
    <row r="428" spans="1:1">
      <c r="A428" s="10"/>
    </row>
    <row r="429" spans="1:1">
      <c r="A429" s="10"/>
    </row>
    <row r="430" spans="1:1">
      <c r="A430" s="10"/>
    </row>
    <row r="431" spans="1:1">
      <c r="A431" s="10"/>
    </row>
    <row r="432" spans="1:1">
      <c r="A432" s="10"/>
    </row>
    <row r="433" spans="1:1">
      <c r="A433" s="10"/>
    </row>
    <row r="434" spans="1:1">
      <c r="A434" s="10"/>
    </row>
    <row r="435" spans="1:1">
      <c r="A435" s="10"/>
    </row>
    <row r="436" spans="1:1">
      <c r="A436" s="10"/>
    </row>
    <row r="437" spans="1:1">
      <c r="A437" s="10"/>
    </row>
    <row r="438" spans="1:1">
      <c r="A438" s="10"/>
    </row>
    <row r="439" spans="1:1">
      <c r="A439" s="10"/>
    </row>
    <row r="440" spans="1:1">
      <c r="A440" s="10"/>
    </row>
    <row r="441" spans="1:1">
      <c r="A441" s="10"/>
    </row>
    <row r="442" spans="1:1">
      <c r="A442" s="10"/>
    </row>
    <row r="443" spans="1:1">
      <c r="A443" s="10"/>
    </row>
    <row r="444" spans="1:1">
      <c r="A444" s="10"/>
    </row>
    <row r="445" spans="1:1">
      <c r="A445" s="10"/>
    </row>
    <row r="446" spans="1:1">
      <c r="A446" s="10"/>
    </row>
    <row r="447" spans="1:1">
      <c r="A447" s="10"/>
    </row>
    <row r="448" spans="1:1">
      <c r="A448" s="10"/>
    </row>
    <row r="449" spans="1:1">
      <c r="A449" s="10"/>
    </row>
    <row r="450" spans="1:1">
      <c r="A450" s="10"/>
    </row>
    <row r="451" spans="1:1">
      <c r="A451" s="10"/>
    </row>
    <row r="452" spans="1:1">
      <c r="A452" s="10"/>
    </row>
    <row r="453" spans="1:1">
      <c r="A453" s="10"/>
    </row>
    <row r="454" spans="1:1">
      <c r="A454" s="10"/>
    </row>
    <row r="455" spans="1:1">
      <c r="A455" s="10"/>
    </row>
    <row r="456" spans="1:1">
      <c r="A456" s="10"/>
    </row>
    <row r="457" spans="1:1">
      <c r="A457" s="10"/>
    </row>
    <row r="458" spans="1:1">
      <c r="A458" s="10"/>
    </row>
    <row r="459" spans="1:1">
      <c r="A459" s="10"/>
    </row>
    <row r="460" spans="1:1">
      <c r="A460" s="10"/>
    </row>
    <row r="461" spans="1:1">
      <c r="A461" s="10"/>
    </row>
    <row r="462" spans="1:1">
      <c r="A462" s="10"/>
    </row>
    <row r="463" spans="1:1">
      <c r="A463" s="10"/>
    </row>
    <row r="464" spans="1:1">
      <c r="A464" s="10"/>
    </row>
    <row r="465" spans="1:1">
      <c r="A465" s="10"/>
    </row>
    <row r="466" spans="1:1">
      <c r="A466" s="10"/>
    </row>
    <row r="467" spans="1:1">
      <c r="A467" s="10"/>
    </row>
    <row r="468" spans="1:1">
      <c r="A468" s="10"/>
    </row>
    <row r="469" spans="1:1">
      <c r="A469" s="10"/>
    </row>
    <row r="470" spans="1:1">
      <c r="A470" s="10"/>
    </row>
    <row r="471" spans="1:1">
      <c r="A471" s="10"/>
    </row>
    <row r="472" spans="1:1">
      <c r="A472" s="10"/>
    </row>
    <row r="473" spans="1:1">
      <c r="A473" s="10"/>
    </row>
    <row r="474" spans="1:1">
      <c r="A474" s="10"/>
    </row>
    <row r="475" spans="1:1">
      <c r="A475" s="10"/>
    </row>
    <row r="476" spans="1:1">
      <c r="A476" s="10"/>
    </row>
    <row r="477" spans="1:1">
      <c r="A477" s="10"/>
    </row>
    <row r="478" spans="1:1">
      <c r="A478" s="10"/>
    </row>
    <row r="479" spans="1:1">
      <c r="A479" s="10"/>
    </row>
    <row r="480" spans="1:1">
      <c r="A480" s="10"/>
    </row>
    <row r="481" spans="1:1">
      <c r="A481" s="10"/>
    </row>
    <row r="482" spans="1:1">
      <c r="A482" s="10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00"/>
  <sheetViews>
    <sheetView workbookViewId="0">
      <selection sqref="A1:J1"/>
    </sheetView>
  </sheetViews>
  <sheetFormatPr baseColWidth="10" defaultColWidth="8.6640625" defaultRowHeight="14"/>
  <cols>
    <col min="1" max="10" width="17.5" customWidth="1"/>
  </cols>
  <sheetData>
    <row r="1" spans="1:10" ht="15.15" customHeight="1">
      <c r="A1" s="43" t="s">
        <v>190</v>
      </c>
      <c r="B1" s="41"/>
      <c r="C1" s="41"/>
      <c r="D1" s="41"/>
      <c r="E1" s="41"/>
      <c r="F1" s="41"/>
      <c r="G1" s="41"/>
      <c r="H1" s="41"/>
      <c r="I1" s="41"/>
      <c r="J1" s="41"/>
    </row>
    <row r="2" spans="1:10">
      <c r="A2" s="10"/>
    </row>
    <row r="3" spans="1:10" ht="13.4" customHeight="1">
      <c r="A3" s="11" t="s">
        <v>191</v>
      </c>
      <c r="B3" s="1" t="s">
        <v>178</v>
      </c>
      <c r="C3" s="1" t="s">
        <v>152</v>
      </c>
      <c r="D3" s="1" t="s">
        <v>192</v>
      </c>
      <c r="E3" s="1" t="s">
        <v>193</v>
      </c>
      <c r="F3" s="1" t="s">
        <v>194</v>
      </c>
      <c r="G3" s="1" t="s">
        <v>195</v>
      </c>
      <c r="H3" s="1" t="s">
        <v>196</v>
      </c>
      <c r="I3" s="1" t="s">
        <v>197</v>
      </c>
      <c r="J3" s="1" t="s">
        <v>198</v>
      </c>
    </row>
    <row r="4" spans="1:10" ht="12.65" customHeight="1">
      <c r="A4" s="25" t="s">
        <v>319</v>
      </c>
      <c r="B4" s="16" t="s">
        <v>87</v>
      </c>
      <c r="C4" s="16" t="s">
        <v>166</v>
      </c>
      <c r="D4" s="28" t="s">
        <v>89</v>
      </c>
      <c r="E4" s="17">
        <v>46143</v>
      </c>
      <c r="F4" s="16"/>
      <c r="G4" s="16"/>
      <c r="H4" s="16"/>
      <c r="I4" s="28" t="s">
        <v>320</v>
      </c>
      <c r="J4" s="18" t="s">
        <v>321</v>
      </c>
    </row>
    <row r="5" spans="1:10" ht="12.65" customHeight="1">
      <c r="A5" s="26" t="s">
        <v>322</v>
      </c>
      <c r="B5" s="13" t="s">
        <v>87</v>
      </c>
      <c r="C5" s="13" t="s">
        <v>169</v>
      </c>
      <c r="D5" s="29" t="s">
        <v>89</v>
      </c>
      <c r="E5" s="14">
        <v>46143</v>
      </c>
      <c r="F5" s="13"/>
      <c r="G5" s="13"/>
      <c r="H5" s="13"/>
      <c r="I5" s="29" t="s">
        <v>320</v>
      </c>
      <c r="J5" s="20" t="s">
        <v>321</v>
      </c>
    </row>
    <row r="6" spans="1:10" ht="12.65" customHeight="1">
      <c r="A6" s="26" t="s">
        <v>323</v>
      </c>
      <c r="B6" s="13" t="s">
        <v>87</v>
      </c>
      <c r="C6" s="13" t="s">
        <v>170</v>
      </c>
      <c r="D6" s="29" t="s">
        <v>89</v>
      </c>
      <c r="E6" s="14">
        <v>46143</v>
      </c>
      <c r="F6" s="13"/>
      <c r="G6" s="13"/>
      <c r="H6" s="13"/>
      <c r="I6" s="29" t="s">
        <v>320</v>
      </c>
      <c r="J6" s="20" t="s">
        <v>321</v>
      </c>
    </row>
    <row r="7" spans="1:10" ht="12.65" customHeight="1">
      <c r="A7" s="26" t="s">
        <v>324</v>
      </c>
      <c r="B7" s="13" t="s">
        <v>87</v>
      </c>
      <c r="C7" s="13" t="s">
        <v>172</v>
      </c>
      <c r="D7" s="29" t="s">
        <v>89</v>
      </c>
      <c r="E7" s="14">
        <v>46143</v>
      </c>
      <c r="F7" s="13"/>
      <c r="G7" s="13"/>
      <c r="H7" s="13"/>
      <c r="I7" s="29" t="s">
        <v>320</v>
      </c>
      <c r="J7" s="20" t="s">
        <v>321</v>
      </c>
    </row>
    <row r="8" spans="1:10" ht="12.65" customHeight="1">
      <c r="A8" s="26" t="s">
        <v>325</v>
      </c>
      <c r="B8" s="13" t="s">
        <v>87</v>
      </c>
      <c r="C8" s="13" t="s">
        <v>173</v>
      </c>
      <c r="D8" s="29" t="s">
        <v>89</v>
      </c>
      <c r="E8" s="14">
        <v>46143</v>
      </c>
      <c r="F8" s="13"/>
      <c r="G8" s="13"/>
      <c r="H8" s="13"/>
      <c r="I8" s="29" t="s">
        <v>320</v>
      </c>
      <c r="J8" s="20" t="s">
        <v>321</v>
      </c>
    </row>
    <row r="9" spans="1:10" ht="12.65" customHeight="1">
      <c r="A9" s="26" t="s">
        <v>326</v>
      </c>
      <c r="B9" s="13" t="s">
        <v>87</v>
      </c>
      <c r="C9" s="13" t="s">
        <v>174</v>
      </c>
      <c r="D9" s="29" t="s">
        <v>89</v>
      </c>
      <c r="E9" s="14">
        <v>46143</v>
      </c>
      <c r="F9" s="13"/>
      <c r="G9" s="13"/>
      <c r="H9" s="13"/>
      <c r="I9" s="29" t="s">
        <v>320</v>
      </c>
      <c r="J9" s="20" t="s">
        <v>321</v>
      </c>
    </row>
    <row r="10" spans="1:10" ht="12.65" customHeight="1">
      <c r="A10" s="26" t="s">
        <v>327</v>
      </c>
      <c r="B10" s="13" t="s">
        <v>87</v>
      </c>
      <c r="C10" s="13" t="s">
        <v>175</v>
      </c>
      <c r="D10" s="29" t="s">
        <v>89</v>
      </c>
      <c r="E10" s="14">
        <v>46143</v>
      </c>
      <c r="F10" s="13"/>
      <c r="G10" s="13"/>
      <c r="H10" s="13"/>
      <c r="I10" s="29" t="s">
        <v>320</v>
      </c>
      <c r="J10" s="20" t="s">
        <v>321</v>
      </c>
    </row>
    <row r="11" spans="1:10" ht="12.65" customHeight="1">
      <c r="A11" s="26" t="s">
        <v>328</v>
      </c>
      <c r="B11" s="13" t="s">
        <v>87</v>
      </c>
      <c r="C11" s="13" t="s">
        <v>176</v>
      </c>
      <c r="D11" s="29" t="s">
        <v>89</v>
      </c>
      <c r="E11" s="14">
        <v>46143</v>
      </c>
      <c r="F11" s="13"/>
      <c r="G11" s="13"/>
      <c r="H11" s="13"/>
      <c r="I11" s="29" t="s">
        <v>320</v>
      </c>
      <c r="J11" s="20" t="s">
        <v>321</v>
      </c>
    </row>
    <row r="12" spans="1:10" ht="12.65" customHeight="1">
      <c r="A12" s="26" t="s">
        <v>329</v>
      </c>
      <c r="B12" s="13" t="s">
        <v>100</v>
      </c>
      <c r="C12" s="13" t="s">
        <v>166</v>
      </c>
      <c r="D12" s="29" t="s">
        <v>89</v>
      </c>
      <c r="E12" s="14">
        <v>46143</v>
      </c>
      <c r="F12" s="13"/>
      <c r="G12" s="13"/>
      <c r="H12" s="13"/>
      <c r="I12" s="29" t="s">
        <v>320</v>
      </c>
      <c r="J12" s="20" t="s">
        <v>321</v>
      </c>
    </row>
    <row r="13" spans="1:10" ht="12.65" customHeight="1">
      <c r="A13" s="26" t="s">
        <v>330</v>
      </c>
      <c r="B13" s="13" t="s">
        <v>100</v>
      </c>
      <c r="C13" s="13" t="s">
        <v>169</v>
      </c>
      <c r="D13" s="29" t="s">
        <v>89</v>
      </c>
      <c r="E13" s="14">
        <v>46143</v>
      </c>
      <c r="F13" s="13"/>
      <c r="G13" s="13"/>
      <c r="H13" s="13"/>
      <c r="I13" s="29" t="s">
        <v>320</v>
      </c>
      <c r="J13" s="20" t="s">
        <v>321</v>
      </c>
    </row>
    <row r="14" spans="1:10" ht="12.65" customHeight="1">
      <c r="A14" s="26" t="s">
        <v>331</v>
      </c>
      <c r="B14" s="13" t="s">
        <v>100</v>
      </c>
      <c r="C14" s="13" t="s">
        <v>170</v>
      </c>
      <c r="D14" s="29" t="s">
        <v>89</v>
      </c>
      <c r="E14" s="14">
        <v>46143</v>
      </c>
      <c r="F14" s="13"/>
      <c r="G14" s="13"/>
      <c r="H14" s="13"/>
      <c r="I14" s="29" t="s">
        <v>320</v>
      </c>
      <c r="J14" s="20" t="s">
        <v>321</v>
      </c>
    </row>
    <row r="15" spans="1:10" ht="12.65" customHeight="1">
      <c r="A15" s="26" t="s">
        <v>332</v>
      </c>
      <c r="B15" s="13" t="s">
        <v>100</v>
      </c>
      <c r="C15" s="13" t="s">
        <v>172</v>
      </c>
      <c r="D15" s="29" t="s">
        <v>89</v>
      </c>
      <c r="E15" s="14">
        <v>46143</v>
      </c>
      <c r="F15" s="13"/>
      <c r="G15" s="13"/>
      <c r="H15" s="13"/>
      <c r="I15" s="29" t="s">
        <v>320</v>
      </c>
      <c r="J15" s="20" t="s">
        <v>321</v>
      </c>
    </row>
    <row r="16" spans="1:10" ht="12.65" customHeight="1">
      <c r="A16" s="26" t="s">
        <v>333</v>
      </c>
      <c r="B16" s="13" t="s">
        <v>100</v>
      </c>
      <c r="C16" s="13" t="s">
        <v>173</v>
      </c>
      <c r="D16" s="29" t="s">
        <v>89</v>
      </c>
      <c r="E16" s="14">
        <v>46143</v>
      </c>
      <c r="F16" s="13"/>
      <c r="G16" s="13"/>
      <c r="H16" s="13"/>
      <c r="I16" s="29" t="s">
        <v>320</v>
      </c>
      <c r="J16" s="20" t="s">
        <v>321</v>
      </c>
    </row>
    <row r="17" spans="1:10" ht="12.65" customHeight="1">
      <c r="A17" s="26" t="s">
        <v>334</v>
      </c>
      <c r="B17" s="13" t="s">
        <v>100</v>
      </c>
      <c r="C17" s="13" t="s">
        <v>174</v>
      </c>
      <c r="D17" s="29" t="s">
        <v>89</v>
      </c>
      <c r="E17" s="14">
        <v>46143</v>
      </c>
      <c r="F17" s="13"/>
      <c r="G17" s="13"/>
      <c r="H17" s="13"/>
      <c r="I17" s="29" t="s">
        <v>320</v>
      </c>
      <c r="J17" s="20" t="s">
        <v>321</v>
      </c>
    </row>
    <row r="18" spans="1:10" ht="12.65" customHeight="1">
      <c r="A18" s="26" t="s">
        <v>335</v>
      </c>
      <c r="B18" s="13" t="s">
        <v>100</v>
      </c>
      <c r="C18" s="13" t="s">
        <v>175</v>
      </c>
      <c r="D18" s="29" t="s">
        <v>89</v>
      </c>
      <c r="E18" s="14">
        <v>46143</v>
      </c>
      <c r="F18" s="13"/>
      <c r="G18" s="13"/>
      <c r="H18" s="13"/>
      <c r="I18" s="29" t="s">
        <v>320</v>
      </c>
      <c r="J18" s="20" t="s">
        <v>321</v>
      </c>
    </row>
    <row r="19" spans="1:10" ht="12.65" customHeight="1">
      <c r="A19" s="26" t="s">
        <v>336</v>
      </c>
      <c r="B19" s="13" t="s">
        <v>100</v>
      </c>
      <c r="C19" s="13" t="s">
        <v>176</v>
      </c>
      <c r="D19" s="29" t="s">
        <v>89</v>
      </c>
      <c r="E19" s="14">
        <v>46143</v>
      </c>
      <c r="F19" s="13"/>
      <c r="G19" s="13"/>
      <c r="H19" s="13"/>
      <c r="I19" s="29" t="s">
        <v>320</v>
      </c>
      <c r="J19" s="20" t="s">
        <v>321</v>
      </c>
    </row>
    <row r="20" spans="1:10" ht="12.65" customHeight="1">
      <c r="A20" s="26" t="s">
        <v>337</v>
      </c>
      <c r="B20" s="13" t="s">
        <v>113</v>
      </c>
      <c r="C20" s="13" t="s">
        <v>166</v>
      </c>
      <c r="D20" s="29" t="s">
        <v>89</v>
      </c>
      <c r="E20" s="14">
        <v>46143</v>
      </c>
      <c r="F20" s="13"/>
      <c r="G20" s="13"/>
      <c r="H20" s="13"/>
      <c r="I20" s="29" t="s">
        <v>320</v>
      </c>
      <c r="J20" s="20" t="s">
        <v>321</v>
      </c>
    </row>
    <row r="21" spans="1:10" ht="12.65" customHeight="1">
      <c r="A21" s="26" t="s">
        <v>338</v>
      </c>
      <c r="B21" s="13" t="s">
        <v>113</v>
      </c>
      <c r="C21" s="13" t="s">
        <v>169</v>
      </c>
      <c r="D21" s="29" t="s">
        <v>89</v>
      </c>
      <c r="E21" s="14">
        <v>46143</v>
      </c>
      <c r="F21" s="13"/>
      <c r="G21" s="13"/>
      <c r="H21" s="13"/>
      <c r="I21" s="29" t="s">
        <v>320</v>
      </c>
      <c r="J21" s="20" t="s">
        <v>321</v>
      </c>
    </row>
    <row r="22" spans="1:10" ht="12.65" customHeight="1">
      <c r="A22" s="26" t="s">
        <v>339</v>
      </c>
      <c r="B22" s="13" t="s">
        <v>113</v>
      </c>
      <c r="C22" s="13" t="s">
        <v>170</v>
      </c>
      <c r="D22" s="29" t="s">
        <v>89</v>
      </c>
      <c r="E22" s="14">
        <v>46143</v>
      </c>
      <c r="F22" s="13"/>
      <c r="G22" s="13"/>
      <c r="H22" s="13"/>
      <c r="I22" s="29" t="s">
        <v>320</v>
      </c>
      <c r="J22" s="20" t="s">
        <v>321</v>
      </c>
    </row>
    <row r="23" spans="1:10" ht="12.65" customHeight="1">
      <c r="A23" s="26" t="s">
        <v>340</v>
      </c>
      <c r="B23" s="13" t="s">
        <v>113</v>
      </c>
      <c r="C23" s="13" t="s">
        <v>172</v>
      </c>
      <c r="D23" s="29" t="s">
        <v>89</v>
      </c>
      <c r="E23" s="14">
        <v>46143</v>
      </c>
      <c r="F23" s="13"/>
      <c r="G23" s="13"/>
      <c r="H23" s="13"/>
      <c r="I23" s="29" t="s">
        <v>320</v>
      </c>
      <c r="J23" s="20" t="s">
        <v>321</v>
      </c>
    </row>
    <row r="24" spans="1:10" ht="12.65" customHeight="1">
      <c r="A24" s="26" t="s">
        <v>341</v>
      </c>
      <c r="B24" s="13" t="s">
        <v>113</v>
      </c>
      <c r="C24" s="13" t="s">
        <v>173</v>
      </c>
      <c r="D24" s="29" t="s">
        <v>89</v>
      </c>
      <c r="E24" s="14">
        <v>46143</v>
      </c>
      <c r="F24" s="13"/>
      <c r="G24" s="13"/>
      <c r="H24" s="13"/>
      <c r="I24" s="29" t="s">
        <v>320</v>
      </c>
      <c r="J24" s="20" t="s">
        <v>321</v>
      </c>
    </row>
    <row r="25" spans="1:10" ht="12.65" customHeight="1">
      <c r="A25" s="26" t="s">
        <v>342</v>
      </c>
      <c r="B25" s="13" t="s">
        <v>113</v>
      </c>
      <c r="C25" s="13" t="s">
        <v>174</v>
      </c>
      <c r="D25" s="29" t="s">
        <v>89</v>
      </c>
      <c r="E25" s="14">
        <v>46143</v>
      </c>
      <c r="F25" s="13"/>
      <c r="G25" s="13"/>
      <c r="H25" s="13"/>
      <c r="I25" s="29" t="s">
        <v>320</v>
      </c>
      <c r="J25" s="20" t="s">
        <v>321</v>
      </c>
    </row>
    <row r="26" spans="1:10" ht="12.65" customHeight="1">
      <c r="A26" s="26" t="s">
        <v>343</v>
      </c>
      <c r="B26" s="13" t="s">
        <v>113</v>
      </c>
      <c r="C26" s="13" t="s">
        <v>175</v>
      </c>
      <c r="D26" s="29" t="s">
        <v>89</v>
      </c>
      <c r="E26" s="14">
        <v>46143</v>
      </c>
      <c r="F26" s="13"/>
      <c r="G26" s="13"/>
      <c r="H26" s="13"/>
      <c r="I26" s="29" t="s">
        <v>320</v>
      </c>
      <c r="J26" s="20" t="s">
        <v>321</v>
      </c>
    </row>
    <row r="27" spans="1:10" ht="12.65" customHeight="1">
      <c r="A27" s="26" t="s">
        <v>344</v>
      </c>
      <c r="B27" s="13" t="s">
        <v>113</v>
      </c>
      <c r="C27" s="13" t="s">
        <v>176</v>
      </c>
      <c r="D27" s="29" t="s">
        <v>89</v>
      </c>
      <c r="E27" s="14">
        <v>46143</v>
      </c>
      <c r="F27" s="13"/>
      <c r="G27" s="13"/>
      <c r="H27" s="13"/>
      <c r="I27" s="29" t="s">
        <v>320</v>
      </c>
      <c r="J27" s="20" t="s">
        <v>321</v>
      </c>
    </row>
    <row r="28" spans="1:10" ht="12.65" customHeight="1">
      <c r="A28" s="26" t="s">
        <v>345</v>
      </c>
      <c r="B28" s="13" t="s">
        <v>125</v>
      </c>
      <c r="C28" s="13" t="s">
        <v>166</v>
      </c>
      <c r="D28" s="29" t="s">
        <v>89</v>
      </c>
      <c r="E28" s="14">
        <v>46143</v>
      </c>
      <c r="F28" s="13"/>
      <c r="G28" s="13"/>
      <c r="H28" s="13"/>
      <c r="I28" s="29" t="s">
        <v>320</v>
      </c>
      <c r="J28" s="20" t="s">
        <v>321</v>
      </c>
    </row>
    <row r="29" spans="1:10" ht="12.65" customHeight="1">
      <c r="A29" s="26" t="s">
        <v>346</v>
      </c>
      <c r="B29" s="13" t="s">
        <v>125</v>
      </c>
      <c r="C29" s="13" t="s">
        <v>169</v>
      </c>
      <c r="D29" s="29" t="s">
        <v>89</v>
      </c>
      <c r="E29" s="14">
        <v>46143</v>
      </c>
      <c r="F29" s="13"/>
      <c r="G29" s="13"/>
      <c r="H29" s="13"/>
      <c r="I29" s="29" t="s">
        <v>320</v>
      </c>
      <c r="J29" s="20" t="s">
        <v>321</v>
      </c>
    </row>
    <row r="30" spans="1:10" ht="12.65" customHeight="1">
      <c r="A30" s="26" t="s">
        <v>347</v>
      </c>
      <c r="B30" s="13" t="s">
        <v>125</v>
      </c>
      <c r="C30" s="13" t="s">
        <v>170</v>
      </c>
      <c r="D30" s="29" t="s">
        <v>89</v>
      </c>
      <c r="E30" s="14">
        <v>46143</v>
      </c>
      <c r="F30" s="13"/>
      <c r="G30" s="13"/>
      <c r="H30" s="13"/>
      <c r="I30" s="29" t="s">
        <v>320</v>
      </c>
      <c r="J30" s="20" t="s">
        <v>321</v>
      </c>
    </row>
    <row r="31" spans="1:10" ht="12.65" customHeight="1">
      <c r="A31" s="26" t="s">
        <v>348</v>
      </c>
      <c r="B31" s="13" t="s">
        <v>125</v>
      </c>
      <c r="C31" s="13" t="s">
        <v>172</v>
      </c>
      <c r="D31" s="29" t="s">
        <v>89</v>
      </c>
      <c r="E31" s="14">
        <v>46143</v>
      </c>
      <c r="F31" s="13"/>
      <c r="G31" s="13"/>
      <c r="H31" s="13"/>
      <c r="I31" s="29" t="s">
        <v>320</v>
      </c>
      <c r="J31" s="20" t="s">
        <v>321</v>
      </c>
    </row>
    <row r="32" spans="1:10" ht="12.65" customHeight="1">
      <c r="A32" s="26" t="s">
        <v>349</v>
      </c>
      <c r="B32" s="13" t="s">
        <v>125</v>
      </c>
      <c r="C32" s="13" t="s">
        <v>173</v>
      </c>
      <c r="D32" s="29" t="s">
        <v>89</v>
      </c>
      <c r="E32" s="14">
        <v>46143</v>
      </c>
      <c r="F32" s="13"/>
      <c r="G32" s="13"/>
      <c r="H32" s="13"/>
      <c r="I32" s="29" t="s">
        <v>320</v>
      </c>
      <c r="J32" s="20" t="s">
        <v>321</v>
      </c>
    </row>
    <row r="33" spans="1:10" ht="12.65" customHeight="1">
      <c r="A33" s="26" t="s">
        <v>350</v>
      </c>
      <c r="B33" s="13" t="s">
        <v>125</v>
      </c>
      <c r="C33" s="13" t="s">
        <v>174</v>
      </c>
      <c r="D33" s="29" t="s">
        <v>89</v>
      </c>
      <c r="E33" s="14">
        <v>46143</v>
      </c>
      <c r="F33" s="13"/>
      <c r="G33" s="13"/>
      <c r="H33" s="13"/>
      <c r="I33" s="29" t="s">
        <v>320</v>
      </c>
      <c r="J33" s="20" t="s">
        <v>321</v>
      </c>
    </row>
    <row r="34" spans="1:10" ht="12.65" customHeight="1">
      <c r="A34" s="26" t="s">
        <v>351</v>
      </c>
      <c r="B34" s="13" t="s">
        <v>125</v>
      </c>
      <c r="C34" s="13" t="s">
        <v>175</v>
      </c>
      <c r="D34" s="29" t="s">
        <v>89</v>
      </c>
      <c r="E34" s="14">
        <v>46143</v>
      </c>
      <c r="F34" s="13"/>
      <c r="G34" s="13"/>
      <c r="H34" s="13"/>
      <c r="I34" s="29" t="s">
        <v>320</v>
      </c>
      <c r="J34" s="20" t="s">
        <v>321</v>
      </c>
    </row>
    <row r="35" spans="1:10" ht="12.65" customHeight="1">
      <c r="A35" s="26" t="s">
        <v>352</v>
      </c>
      <c r="B35" s="13" t="s">
        <v>125</v>
      </c>
      <c r="C35" s="13" t="s">
        <v>176</v>
      </c>
      <c r="D35" s="29" t="s">
        <v>89</v>
      </c>
      <c r="E35" s="14">
        <v>46143</v>
      </c>
      <c r="F35" s="13"/>
      <c r="G35" s="13"/>
      <c r="H35" s="13"/>
      <c r="I35" s="29" t="s">
        <v>320</v>
      </c>
      <c r="J35" s="20" t="s">
        <v>321</v>
      </c>
    </row>
    <row r="36" spans="1:10" ht="12.65" customHeight="1">
      <c r="A36" s="26" t="s">
        <v>353</v>
      </c>
      <c r="B36" s="13" t="s">
        <v>136</v>
      </c>
      <c r="C36" s="13" t="s">
        <v>166</v>
      </c>
      <c r="D36" s="29" t="s">
        <v>89</v>
      </c>
      <c r="E36" s="14">
        <v>46143</v>
      </c>
      <c r="F36" s="13"/>
      <c r="G36" s="13"/>
      <c r="H36" s="13"/>
      <c r="I36" s="29" t="s">
        <v>320</v>
      </c>
      <c r="J36" s="20" t="s">
        <v>321</v>
      </c>
    </row>
    <row r="37" spans="1:10" ht="12.65" customHeight="1">
      <c r="A37" s="26" t="s">
        <v>354</v>
      </c>
      <c r="B37" s="13" t="s">
        <v>136</v>
      </c>
      <c r="C37" s="13" t="s">
        <v>169</v>
      </c>
      <c r="D37" s="29" t="s">
        <v>89</v>
      </c>
      <c r="E37" s="14">
        <v>46143</v>
      </c>
      <c r="F37" s="13"/>
      <c r="G37" s="13"/>
      <c r="H37" s="13"/>
      <c r="I37" s="29" t="s">
        <v>320</v>
      </c>
      <c r="J37" s="20" t="s">
        <v>321</v>
      </c>
    </row>
    <row r="38" spans="1:10" ht="12.65" customHeight="1">
      <c r="A38" s="26" t="s">
        <v>355</v>
      </c>
      <c r="B38" s="13" t="s">
        <v>136</v>
      </c>
      <c r="C38" s="13" t="s">
        <v>170</v>
      </c>
      <c r="D38" s="29" t="s">
        <v>89</v>
      </c>
      <c r="E38" s="14">
        <v>46143</v>
      </c>
      <c r="F38" s="13"/>
      <c r="G38" s="13"/>
      <c r="H38" s="13"/>
      <c r="I38" s="29" t="s">
        <v>320</v>
      </c>
      <c r="J38" s="20" t="s">
        <v>321</v>
      </c>
    </row>
    <row r="39" spans="1:10" ht="12.65" customHeight="1">
      <c r="A39" s="26" t="s">
        <v>356</v>
      </c>
      <c r="B39" s="13" t="s">
        <v>136</v>
      </c>
      <c r="C39" s="13" t="s">
        <v>172</v>
      </c>
      <c r="D39" s="29" t="s">
        <v>89</v>
      </c>
      <c r="E39" s="14">
        <v>46143</v>
      </c>
      <c r="F39" s="13"/>
      <c r="G39" s="13"/>
      <c r="H39" s="13"/>
      <c r="I39" s="29" t="s">
        <v>320</v>
      </c>
      <c r="J39" s="20" t="s">
        <v>321</v>
      </c>
    </row>
    <row r="40" spans="1:10" ht="12.65" customHeight="1">
      <c r="A40" s="26" t="s">
        <v>357</v>
      </c>
      <c r="B40" s="13" t="s">
        <v>136</v>
      </c>
      <c r="C40" s="13" t="s">
        <v>173</v>
      </c>
      <c r="D40" s="29" t="s">
        <v>89</v>
      </c>
      <c r="E40" s="14">
        <v>46143</v>
      </c>
      <c r="F40" s="13"/>
      <c r="G40" s="13"/>
      <c r="H40" s="13"/>
      <c r="I40" s="29" t="s">
        <v>320</v>
      </c>
      <c r="J40" s="20" t="s">
        <v>321</v>
      </c>
    </row>
    <row r="41" spans="1:10" ht="12.65" customHeight="1">
      <c r="A41" s="26" t="s">
        <v>358</v>
      </c>
      <c r="B41" s="13" t="s">
        <v>136</v>
      </c>
      <c r="C41" s="13" t="s">
        <v>174</v>
      </c>
      <c r="D41" s="29" t="s">
        <v>89</v>
      </c>
      <c r="E41" s="14">
        <v>46143</v>
      </c>
      <c r="F41" s="13"/>
      <c r="G41" s="13"/>
      <c r="H41" s="13"/>
      <c r="I41" s="29" t="s">
        <v>320</v>
      </c>
      <c r="J41" s="20" t="s">
        <v>321</v>
      </c>
    </row>
    <row r="42" spans="1:10" ht="12.65" customHeight="1">
      <c r="A42" s="26" t="s">
        <v>359</v>
      </c>
      <c r="B42" s="13" t="s">
        <v>136</v>
      </c>
      <c r="C42" s="13" t="s">
        <v>175</v>
      </c>
      <c r="D42" s="29" t="s">
        <v>89</v>
      </c>
      <c r="E42" s="14">
        <v>46143</v>
      </c>
      <c r="F42" s="13"/>
      <c r="G42" s="13"/>
      <c r="H42" s="13"/>
      <c r="I42" s="29" t="s">
        <v>320</v>
      </c>
      <c r="J42" s="20" t="s">
        <v>321</v>
      </c>
    </row>
    <row r="43" spans="1:10" ht="12.65" customHeight="1">
      <c r="A43" s="26" t="s">
        <v>360</v>
      </c>
      <c r="B43" s="13" t="s">
        <v>136</v>
      </c>
      <c r="C43" s="13" t="s">
        <v>176</v>
      </c>
      <c r="D43" s="29" t="s">
        <v>89</v>
      </c>
      <c r="E43" s="14">
        <v>46143</v>
      </c>
      <c r="F43" s="13"/>
      <c r="G43" s="13"/>
      <c r="H43" s="13"/>
      <c r="I43" s="29" t="s">
        <v>320</v>
      </c>
      <c r="J43" s="20" t="s">
        <v>321</v>
      </c>
    </row>
    <row r="44" spans="1:10" ht="12.65" customHeight="1">
      <c r="A44" s="26" t="s">
        <v>361</v>
      </c>
      <c r="B44" s="13" t="s">
        <v>143</v>
      </c>
      <c r="C44" s="13" t="s">
        <v>166</v>
      </c>
      <c r="D44" s="29" t="s">
        <v>89</v>
      </c>
      <c r="E44" s="14">
        <v>46143</v>
      </c>
      <c r="F44" s="13"/>
      <c r="G44" s="13"/>
      <c r="H44" s="13"/>
      <c r="I44" s="29" t="s">
        <v>320</v>
      </c>
      <c r="J44" s="20" t="s">
        <v>321</v>
      </c>
    </row>
    <row r="45" spans="1:10" ht="12.65" customHeight="1">
      <c r="A45" s="26" t="s">
        <v>362</v>
      </c>
      <c r="B45" s="13" t="s">
        <v>143</v>
      </c>
      <c r="C45" s="13" t="s">
        <v>169</v>
      </c>
      <c r="D45" s="29" t="s">
        <v>89</v>
      </c>
      <c r="E45" s="14">
        <v>46143</v>
      </c>
      <c r="F45" s="13"/>
      <c r="G45" s="13"/>
      <c r="H45" s="13"/>
      <c r="I45" s="29" t="s">
        <v>320</v>
      </c>
      <c r="J45" s="20" t="s">
        <v>321</v>
      </c>
    </row>
    <row r="46" spans="1:10" ht="12.65" customHeight="1">
      <c r="A46" s="26" t="s">
        <v>363</v>
      </c>
      <c r="B46" s="13" t="s">
        <v>143</v>
      </c>
      <c r="C46" s="13" t="s">
        <v>170</v>
      </c>
      <c r="D46" s="29" t="s">
        <v>89</v>
      </c>
      <c r="E46" s="14">
        <v>46143</v>
      </c>
      <c r="F46" s="13"/>
      <c r="G46" s="13"/>
      <c r="H46" s="13"/>
      <c r="I46" s="29" t="s">
        <v>320</v>
      </c>
      <c r="J46" s="20" t="s">
        <v>321</v>
      </c>
    </row>
    <row r="47" spans="1:10" ht="12.65" customHeight="1">
      <c r="A47" s="26" t="s">
        <v>364</v>
      </c>
      <c r="B47" s="13" t="s">
        <v>143</v>
      </c>
      <c r="C47" s="13" t="s">
        <v>172</v>
      </c>
      <c r="D47" s="29" t="s">
        <v>89</v>
      </c>
      <c r="E47" s="14">
        <v>46143</v>
      </c>
      <c r="F47" s="13"/>
      <c r="G47" s="13"/>
      <c r="H47" s="13"/>
      <c r="I47" s="29" t="s">
        <v>320</v>
      </c>
      <c r="J47" s="20" t="s">
        <v>321</v>
      </c>
    </row>
    <row r="48" spans="1:10" ht="12.65" customHeight="1">
      <c r="A48" s="26" t="s">
        <v>365</v>
      </c>
      <c r="B48" s="13" t="s">
        <v>143</v>
      </c>
      <c r="C48" s="13" t="s">
        <v>173</v>
      </c>
      <c r="D48" s="29" t="s">
        <v>89</v>
      </c>
      <c r="E48" s="14">
        <v>46143</v>
      </c>
      <c r="F48" s="13"/>
      <c r="G48" s="13"/>
      <c r="H48" s="13"/>
      <c r="I48" s="29" t="s">
        <v>320</v>
      </c>
      <c r="J48" s="20" t="s">
        <v>321</v>
      </c>
    </row>
    <row r="49" spans="1:10" ht="12.65" customHeight="1">
      <c r="A49" s="26" t="s">
        <v>366</v>
      </c>
      <c r="B49" s="13" t="s">
        <v>143</v>
      </c>
      <c r="C49" s="13" t="s">
        <v>174</v>
      </c>
      <c r="D49" s="29" t="s">
        <v>89</v>
      </c>
      <c r="E49" s="14">
        <v>46143</v>
      </c>
      <c r="F49" s="13"/>
      <c r="G49" s="13"/>
      <c r="H49" s="13"/>
      <c r="I49" s="29" t="s">
        <v>320</v>
      </c>
      <c r="J49" s="20" t="s">
        <v>321</v>
      </c>
    </row>
    <row r="50" spans="1:10" ht="12.65" customHeight="1">
      <c r="A50" s="26" t="s">
        <v>367</v>
      </c>
      <c r="B50" s="13" t="s">
        <v>143</v>
      </c>
      <c r="C50" s="13" t="s">
        <v>175</v>
      </c>
      <c r="D50" s="29" t="s">
        <v>89</v>
      </c>
      <c r="E50" s="14">
        <v>46143</v>
      </c>
      <c r="F50" s="13"/>
      <c r="G50" s="13"/>
      <c r="H50" s="13"/>
      <c r="I50" s="29" t="s">
        <v>320</v>
      </c>
      <c r="J50" s="20" t="s">
        <v>321</v>
      </c>
    </row>
    <row r="51" spans="1:10" ht="12.65" customHeight="1">
      <c r="A51" s="26" t="s">
        <v>368</v>
      </c>
      <c r="B51" s="13" t="s">
        <v>143</v>
      </c>
      <c r="C51" s="13" t="s">
        <v>176</v>
      </c>
      <c r="D51" s="29" t="s">
        <v>89</v>
      </c>
      <c r="E51" s="14">
        <v>46143</v>
      </c>
      <c r="F51" s="13"/>
      <c r="G51" s="13"/>
      <c r="H51" s="13"/>
      <c r="I51" s="29" t="s">
        <v>320</v>
      </c>
      <c r="J51" s="20" t="s">
        <v>321</v>
      </c>
    </row>
    <row r="52" spans="1:10" ht="12.65" customHeight="1">
      <c r="A52" s="26" t="s">
        <v>369</v>
      </c>
      <c r="B52" s="13" t="s">
        <v>147</v>
      </c>
      <c r="C52" s="13" t="s">
        <v>166</v>
      </c>
      <c r="D52" s="29" t="s">
        <v>89</v>
      </c>
      <c r="E52" s="14">
        <v>46143</v>
      </c>
      <c r="F52" s="13"/>
      <c r="G52" s="13"/>
      <c r="H52" s="13"/>
      <c r="I52" s="29" t="s">
        <v>320</v>
      </c>
      <c r="J52" s="20" t="s">
        <v>321</v>
      </c>
    </row>
    <row r="53" spans="1:10" ht="12.65" customHeight="1">
      <c r="A53" s="26" t="s">
        <v>370</v>
      </c>
      <c r="B53" s="13" t="s">
        <v>147</v>
      </c>
      <c r="C53" s="13" t="s">
        <v>169</v>
      </c>
      <c r="D53" s="29" t="s">
        <v>89</v>
      </c>
      <c r="E53" s="14">
        <v>46143</v>
      </c>
      <c r="F53" s="13"/>
      <c r="G53" s="13"/>
      <c r="H53" s="13"/>
      <c r="I53" s="29" t="s">
        <v>320</v>
      </c>
      <c r="J53" s="20" t="s">
        <v>321</v>
      </c>
    </row>
    <row r="54" spans="1:10" ht="12.65" customHeight="1">
      <c r="A54" s="26" t="s">
        <v>371</v>
      </c>
      <c r="B54" s="13" t="s">
        <v>147</v>
      </c>
      <c r="C54" s="13" t="s">
        <v>170</v>
      </c>
      <c r="D54" s="29" t="s">
        <v>89</v>
      </c>
      <c r="E54" s="14">
        <v>46143</v>
      </c>
      <c r="F54" s="13"/>
      <c r="G54" s="13"/>
      <c r="H54" s="13"/>
      <c r="I54" s="29" t="s">
        <v>320</v>
      </c>
      <c r="J54" s="20" t="s">
        <v>321</v>
      </c>
    </row>
    <row r="55" spans="1:10" ht="12.65" customHeight="1">
      <c r="A55" s="26" t="s">
        <v>372</v>
      </c>
      <c r="B55" s="13" t="s">
        <v>147</v>
      </c>
      <c r="C55" s="13" t="s">
        <v>172</v>
      </c>
      <c r="D55" s="29" t="s">
        <v>89</v>
      </c>
      <c r="E55" s="14">
        <v>46143</v>
      </c>
      <c r="F55" s="13"/>
      <c r="G55" s="13"/>
      <c r="H55" s="13"/>
      <c r="I55" s="29" t="s">
        <v>320</v>
      </c>
      <c r="J55" s="20" t="s">
        <v>321</v>
      </c>
    </row>
    <row r="56" spans="1:10" ht="12.65" customHeight="1">
      <c r="A56" s="26" t="s">
        <v>373</v>
      </c>
      <c r="B56" s="13" t="s">
        <v>147</v>
      </c>
      <c r="C56" s="13" t="s">
        <v>173</v>
      </c>
      <c r="D56" s="29" t="s">
        <v>89</v>
      </c>
      <c r="E56" s="14">
        <v>46143</v>
      </c>
      <c r="F56" s="13"/>
      <c r="G56" s="13"/>
      <c r="H56" s="13"/>
      <c r="I56" s="29" t="s">
        <v>320</v>
      </c>
      <c r="J56" s="20" t="s">
        <v>321</v>
      </c>
    </row>
    <row r="57" spans="1:10" ht="12.65" customHeight="1">
      <c r="A57" s="26" t="s">
        <v>374</v>
      </c>
      <c r="B57" s="13" t="s">
        <v>147</v>
      </c>
      <c r="C57" s="13" t="s">
        <v>174</v>
      </c>
      <c r="D57" s="29" t="s">
        <v>89</v>
      </c>
      <c r="E57" s="14">
        <v>46143</v>
      </c>
      <c r="F57" s="13"/>
      <c r="G57" s="13"/>
      <c r="H57" s="13"/>
      <c r="I57" s="29" t="s">
        <v>320</v>
      </c>
      <c r="J57" s="20" t="s">
        <v>321</v>
      </c>
    </row>
    <row r="58" spans="1:10" ht="12.65" customHeight="1">
      <c r="A58" s="26" t="s">
        <v>375</v>
      </c>
      <c r="B58" s="13" t="s">
        <v>147</v>
      </c>
      <c r="C58" s="13" t="s">
        <v>175</v>
      </c>
      <c r="D58" s="29" t="s">
        <v>89</v>
      </c>
      <c r="E58" s="14">
        <v>46143</v>
      </c>
      <c r="F58" s="13"/>
      <c r="G58" s="13"/>
      <c r="H58" s="13"/>
      <c r="I58" s="29" t="s">
        <v>320</v>
      </c>
      <c r="J58" s="20" t="s">
        <v>321</v>
      </c>
    </row>
    <row r="59" spans="1:10" ht="12.65" customHeight="1">
      <c r="A59" s="26" t="s">
        <v>376</v>
      </c>
      <c r="B59" s="13" t="s">
        <v>147</v>
      </c>
      <c r="C59" s="13" t="s">
        <v>176</v>
      </c>
      <c r="D59" s="29" t="s">
        <v>89</v>
      </c>
      <c r="E59" s="14">
        <v>46143</v>
      </c>
      <c r="F59" s="13"/>
      <c r="G59" s="13"/>
      <c r="H59" s="13"/>
      <c r="I59" s="29" t="s">
        <v>320</v>
      </c>
      <c r="J59" s="20" t="s">
        <v>321</v>
      </c>
    </row>
    <row r="60" spans="1:10" ht="12.65" customHeight="1">
      <c r="A60" s="26" t="s">
        <v>377</v>
      </c>
      <c r="B60" s="13" t="s">
        <v>149</v>
      </c>
      <c r="C60" s="13" t="s">
        <v>166</v>
      </c>
      <c r="D60" s="29" t="s">
        <v>89</v>
      </c>
      <c r="E60" s="14">
        <v>46143</v>
      </c>
      <c r="F60" s="13"/>
      <c r="G60" s="13"/>
      <c r="H60" s="13"/>
      <c r="I60" s="29" t="s">
        <v>320</v>
      </c>
      <c r="J60" s="20" t="s">
        <v>321</v>
      </c>
    </row>
    <row r="61" spans="1:10" ht="12.65" customHeight="1">
      <c r="A61" s="26" t="s">
        <v>378</v>
      </c>
      <c r="B61" s="13" t="s">
        <v>149</v>
      </c>
      <c r="C61" s="13" t="s">
        <v>169</v>
      </c>
      <c r="D61" s="29" t="s">
        <v>89</v>
      </c>
      <c r="E61" s="14">
        <v>46143</v>
      </c>
      <c r="F61" s="13"/>
      <c r="G61" s="13"/>
      <c r="H61" s="13"/>
      <c r="I61" s="29" t="s">
        <v>320</v>
      </c>
      <c r="J61" s="20" t="s">
        <v>321</v>
      </c>
    </row>
    <row r="62" spans="1:10" ht="12.65" customHeight="1">
      <c r="A62" s="26" t="s">
        <v>379</v>
      </c>
      <c r="B62" s="13" t="s">
        <v>149</v>
      </c>
      <c r="C62" s="13" t="s">
        <v>170</v>
      </c>
      <c r="D62" s="29" t="s">
        <v>89</v>
      </c>
      <c r="E62" s="14">
        <v>46143</v>
      </c>
      <c r="F62" s="13"/>
      <c r="G62" s="13"/>
      <c r="H62" s="13"/>
      <c r="I62" s="29" t="s">
        <v>320</v>
      </c>
      <c r="J62" s="20" t="s">
        <v>321</v>
      </c>
    </row>
    <row r="63" spans="1:10" ht="12.65" customHeight="1">
      <c r="A63" s="26" t="s">
        <v>380</v>
      </c>
      <c r="B63" s="13" t="s">
        <v>149</v>
      </c>
      <c r="C63" s="13" t="s">
        <v>172</v>
      </c>
      <c r="D63" s="29" t="s">
        <v>89</v>
      </c>
      <c r="E63" s="14">
        <v>46143</v>
      </c>
      <c r="F63" s="13"/>
      <c r="G63" s="13"/>
      <c r="H63" s="13"/>
      <c r="I63" s="29" t="s">
        <v>320</v>
      </c>
      <c r="J63" s="20" t="s">
        <v>321</v>
      </c>
    </row>
    <row r="64" spans="1:10" ht="12.65" customHeight="1">
      <c r="A64" s="26" t="s">
        <v>381</v>
      </c>
      <c r="B64" s="13" t="s">
        <v>149</v>
      </c>
      <c r="C64" s="13" t="s">
        <v>173</v>
      </c>
      <c r="D64" s="29" t="s">
        <v>89</v>
      </c>
      <c r="E64" s="14">
        <v>46143</v>
      </c>
      <c r="F64" s="13"/>
      <c r="G64" s="13"/>
      <c r="H64" s="13"/>
      <c r="I64" s="29" t="s">
        <v>320</v>
      </c>
      <c r="J64" s="20" t="s">
        <v>321</v>
      </c>
    </row>
    <row r="65" spans="1:10" ht="12.65" customHeight="1">
      <c r="A65" s="26" t="s">
        <v>382</v>
      </c>
      <c r="B65" s="13" t="s">
        <v>149</v>
      </c>
      <c r="C65" s="13" t="s">
        <v>174</v>
      </c>
      <c r="D65" s="29" t="s">
        <v>89</v>
      </c>
      <c r="E65" s="14">
        <v>46143</v>
      </c>
      <c r="F65" s="13"/>
      <c r="G65" s="13"/>
      <c r="H65" s="13"/>
      <c r="I65" s="29" t="s">
        <v>320</v>
      </c>
      <c r="J65" s="20" t="s">
        <v>321</v>
      </c>
    </row>
    <row r="66" spans="1:10" ht="12.65" customHeight="1">
      <c r="A66" s="26" t="s">
        <v>383</v>
      </c>
      <c r="B66" s="13" t="s">
        <v>149</v>
      </c>
      <c r="C66" s="13" t="s">
        <v>175</v>
      </c>
      <c r="D66" s="29" t="s">
        <v>89</v>
      </c>
      <c r="E66" s="14">
        <v>46143</v>
      </c>
      <c r="F66" s="13"/>
      <c r="G66" s="13"/>
      <c r="H66" s="13"/>
      <c r="I66" s="29" t="s">
        <v>320</v>
      </c>
      <c r="J66" s="20" t="s">
        <v>321</v>
      </c>
    </row>
    <row r="67" spans="1:10" ht="12.65" customHeight="1">
      <c r="A67" s="26" t="s">
        <v>384</v>
      </c>
      <c r="B67" s="13" t="s">
        <v>149</v>
      </c>
      <c r="C67" s="13" t="s">
        <v>176</v>
      </c>
      <c r="D67" s="29" t="s">
        <v>89</v>
      </c>
      <c r="E67" s="14">
        <v>46143</v>
      </c>
      <c r="F67" s="13"/>
      <c r="G67" s="13"/>
      <c r="H67" s="13"/>
      <c r="I67" s="29" t="s">
        <v>320</v>
      </c>
      <c r="J67" s="20" t="s">
        <v>321</v>
      </c>
    </row>
    <row r="68" spans="1:10" ht="12.65" customHeight="1">
      <c r="A68" s="26" t="s">
        <v>385</v>
      </c>
      <c r="B68" s="13" t="s">
        <v>150</v>
      </c>
      <c r="C68" s="13" t="s">
        <v>166</v>
      </c>
      <c r="D68" s="29" t="s">
        <v>89</v>
      </c>
      <c r="E68" s="14">
        <v>46143</v>
      </c>
      <c r="F68" s="13"/>
      <c r="G68" s="13"/>
      <c r="H68" s="13"/>
      <c r="I68" s="29" t="s">
        <v>320</v>
      </c>
      <c r="J68" s="20" t="s">
        <v>321</v>
      </c>
    </row>
    <row r="69" spans="1:10" ht="12.65" customHeight="1">
      <c r="A69" s="26" t="s">
        <v>386</v>
      </c>
      <c r="B69" s="13" t="s">
        <v>150</v>
      </c>
      <c r="C69" s="13" t="s">
        <v>169</v>
      </c>
      <c r="D69" s="29" t="s">
        <v>89</v>
      </c>
      <c r="E69" s="14">
        <v>46143</v>
      </c>
      <c r="F69" s="13"/>
      <c r="G69" s="13"/>
      <c r="H69" s="13"/>
      <c r="I69" s="29" t="s">
        <v>320</v>
      </c>
      <c r="J69" s="20" t="s">
        <v>321</v>
      </c>
    </row>
    <row r="70" spans="1:10" ht="12.65" customHeight="1">
      <c r="A70" s="26" t="s">
        <v>387</v>
      </c>
      <c r="B70" s="13" t="s">
        <v>150</v>
      </c>
      <c r="C70" s="13" t="s">
        <v>170</v>
      </c>
      <c r="D70" s="29" t="s">
        <v>89</v>
      </c>
      <c r="E70" s="14">
        <v>46143</v>
      </c>
      <c r="F70" s="13"/>
      <c r="G70" s="13"/>
      <c r="H70" s="13"/>
      <c r="I70" s="29" t="s">
        <v>320</v>
      </c>
      <c r="J70" s="20" t="s">
        <v>321</v>
      </c>
    </row>
    <row r="71" spans="1:10" ht="12.65" customHeight="1">
      <c r="A71" s="26" t="s">
        <v>388</v>
      </c>
      <c r="B71" s="13" t="s">
        <v>150</v>
      </c>
      <c r="C71" s="13" t="s">
        <v>172</v>
      </c>
      <c r="D71" s="29" t="s">
        <v>89</v>
      </c>
      <c r="E71" s="14">
        <v>46143</v>
      </c>
      <c r="F71" s="13"/>
      <c r="G71" s="13"/>
      <c r="H71" s="13"/>
      <c r="I71" s="29" t="s">
        <v>320</v>
      </c>
      <c r="J71" s="20" t="s">
        <v>321</v>
      </c>
    </row>
    <row r="72" spans="1:10" ht="12.65" customHeight="1">
      <c r="A72" s="26" t="s">
        <v>389</v>
      </c>
      <c r="B72" s="13" t="s">
        <v>150</v>
      </c>
      <c r="C72" s="13" t="s">
        <v>173</v>
      </c>
      <c r="D72" s="29" t="s">
        <v>89</v>
      </c>
      <c r="E72" s="14">
        <v>46143</v>
      </c>
      <c r="F72" s="13"/>
      <c r="G72" s="13"/>
      <c r="H72" s="13"/>
      <c r="I72" s="29" t="s">
        <v>320</v>
      </c>
      <c r="J72" s="20" t="s">
        <v>321</v>
      </c>
    </row>
    <row r="73" spans="1:10" ht="12.65" customHeight="1">
      <c r="A73" s="26" t="s">
        <v>390</v>
      </c>
      <c r="B73" s="13" t="s">
        <v>150</v>
      </c>
      <c r="C73" s="13" t="s">
        <v>174</v>
      </c>
      <c r="D73" s="29" t="s">
        <v>89</v>
      </c>
      <c r="E73" s="14">
        <v>46143</v>
      </c>
      <c r="F73" s="13"/>
      <c r="G73" s="13"/>
      <c r="H73" s="13"/>
      <c r="I73" s="29" t="s">
        <v>320</v>
      </c>
      <c r="J73" s="20" t="s">
        <v>321</v>
      </c>
    </row>
    <row r="74" spans="1:10" ht="12.65" customHeight="1">
      <c r="A74" s="26" t="s">
        <v>391</v>
      </c>
      <c r="B74" s="13" t="s">
        <v>150</v>
      </c>
      <c r="C74" s="13" t="s">
        <v>175</v>
      </c>
      <c r="D74" s="29" t="s">
        <v>89</v>
      </c>
      <c r="E74" s="14">
        <v>46143</v>
      </c>
      <c r="F74" s="13"/>
      <c r="G74" s="13"/>
      <c r="H74" s="13"/>
      <c r="I74" s="29" t="s">
        <v>320</v>
      </c>
      <c r="J74" s="20" t="s">
        <v>321</v>
      </c>
    </row>
    <row r="75" spans="1:10" ht="12.65" customHeight="1">
      <c r="A75" s="27" t="s">
        <v>392</v>
      </c>
      <c r="B75" s="22" t="s">
        <v>150</v>
      </c>
      <c r="C75" s="22" t="s">
        <v>176</v>
      </c>
      <c r="D75" s="30" t="s">
        <v>89</v>
      </c>
      <c r="E75" s="23">
        <v>46143</v>
      </c>
      <c r="F75" s="22"/>
      <c r="G75" s="22"/>
      <c r="H75" s="22"/>
      <c r="I75" s="30" t="s">
        <v>320</v>
      </c>
      <c r="J75" s="24" t="s">
        <v>321</v>
      </c>
    </row>
    <row r="76" spans="1:10">
      <c r="A76" s="12"/>
      <c r="B76" s="2"/>
      <c r="C76" s="2"/>
      <c r="D76" s="2"/>
      <c r="E76" s="5"/>
      <c r="F76" s="2"/>
      <c r="G76" s="2"/>
      <c r="H76" s="2"/>
      <c r="I76" s="2"/>
      <c r="J76" s="2"/>
    </row>
    <row r="77" spans="1:10">
      <c r="A77" s="12"/>
      <c r="B77" s="2"/>
      <c r="C77" s="2"/>
      <c r="D77" s="2"/>
      <c r="E77" s="5"/>
      <c r="F77" s="2"/>
      <c r="G77" s="2"/>
      <c r="H77" s="2"/>
      <c r="I77" s="2"/>
      <c r="J77" s="2"/>
    </row>
    <row r="78" spans="1:10">
      <c r="A78" s="12"/>
      <c r="B78" s="2"/>
      <c r="C78" s="2"/>
      <c r="D78" s="2"/>
      <c r="E78" s="5"/>
      <c r="F78" s="2"/>
      <c r="G78" s="2"/>
      <c r="H78" s="2"/>
      <c r="I78" s="2"/>
      <c r="J78" s="2"/>
    </row>
    <row r="79" spans="1:10">
      <c r="A79" s="12"/>
      <c r="B79" s="2"/>
      <c r="C79" s="2"/>
      <c r="D79" s="2"/>
      <c r="E79" s="5"/>
      <c r="F79" s="2"/>
      <c r="G79" s="2"/>
      <c r="H79" s="2"/>
      <c r="I79" s="2"/>
      <c r="J79" s="2"/>
    </row>
    <row r="80" spans="1:10">
      <c r="A80" s="12"/>
      <c r="B80" s="2"/>
      <c r="C80" s="2"/>
      <c r="D80" s="2"/>
      <c r="E80" s="5"/>
      <c r="F80" s="2"/>
      <c r="G80" s="2"/>
      <c r="H80" s="2"/>
      <c r="I80" s="2"/>
      <c r="J80" s="2"/>
    </row>
    <row r="81" spans="1:10">
      <c r="A81" s="12"/>
      <c r="B81" s="2"/>
      <c r="C81" s="2"/>
      <c r="D81" s="2"/>
      <c r="E81" s="5"/>
      <c r="F81" s="2"/>
      <c r="G81" s="2"/>
      <c r="H81" s="2"/>
      <c r="I81" s="2"/>
      <c r="J81" s="2"/>
    </row>
    <row r="82" spans="1:10">
      <c r="A82" s="12"/>
      <c r="B82" s="2"/>
      <c r="C82" s="2"/>
      <c r="D82" s="2"/>
      <c r="E82" s="5"/>
      <c r="F82" s="2"/>
      <c r="G82" s="2"/>
      <c r="H82" s="2"/>
      <c r="I82" s="2"/>
      <c r="J82" s="2"/>
    </row>
    <row r="83" spans="1:10">
      <c r="A83" s="12"/>
      <c r="B83" s="2"/>
      <c r="C83" s="2"/>
      <c r="D83" s="2"/>
      <c r="E83" s="5"/>
      <c r="F83" s="2"/>
      <c r="G83" s="2"/>
      <c r="H83" s="2"/>
      <c r="I83" s="2"/>
      <c r="J83" s="2"/>
    </row>
    <row r="84" spans="1:10">
      <c r="A84" s="12"/>
      <c r="B84" s="2"/>
      <c r="C84" s="2"/>
      <c r="D84" s="2"/>
      <c r="E84" s="5"/>
      <c r="F84" s="2"/>
      <c r="G84" s="2"/>
      <c r="H84" s="2"/>
      <c r="I84" s="2"/>
      <c r="J84" s="2"/>
    </row>
    <row r="85" spans="1:10">
      <c r="A85" s="12"/>
      <c r="B85" s="2"/>
      <c r="C85" s="2"/>
      <c r="D85" s="2"/>
      <c r="E85" s="5"/>
      <c r="F85" s="2"/>
      <c r="G85" s="2"/>
      <c r="H85" s="2"/>
      <c r="I85" s="2"/>
      <c r="J85" s="2"/>
    </row>
    <row r="86" spans="1:10">
      <c r="A86" s="12"/>
      <c r="B86" s="2"/>
      <c r="C86" s="2"/>
      <c r="D86" s="2"/>
      <c r="E86" s="5"/>
      <c r="F86" s="2"/>
      <c r="G86" s="2"/>
      <c r="H86" s="2"/>
      <c r="I86" s="2"/>
      <c r="J86" s="2"/>
    </row>
    <row r="87" spans="1:10">
      <c r="A87" s="12"/>
      <c r="B87" s="2"/>
      <c r="C87" s="2"/>
      <c r="D87" s="2"/>
      <c r="E87" s="5"/>
      <c r="F87" s="2"/>
      <c r="G87" s="2"/>
      <c r="H87" s="2"/>
      <c r="I87" s="2"/>
      <c r="J87" s="2"/>
    </row>
    <row r="88" spans="1:10">
      <c r="A88" s="12"/>
      <c r="B88" s="2"/>
      <c r="C88" s="2"/>
      <c r="D88" s="2"/>
      <c r="E88" s="5"/>
      <c r="F88" s="2"/>
      <c r="G88" s="2"/>
      <c r="H88" s="2"/>
      <c r="I88" s="2"/>
      <c r="J88" s="2"/>
    </row>
    <row r="89" spans="1:10">
      <c r="A89" s="12"/>
      <c r="B89" s="2"/>
      <c r="C89" s="2"/>
      <c r="D89" s="2"/>
      <c r="E89" s="5"/>
      <c r="F89" s="2"/>
      <c r="G89" s="2"/>
      <c r="H89" s="2"/>
      <c r="I89" s="2"/>
      <c r="J89" s="2"/>
    </row>
    <row r="90" spans="1:10">
      <c r="A90" s="12"/>
      <c r="B90" s="2"/>
      <c r="C90" s="2"/>
      <c r="D90" s="2"/>
      <c r="E90" s="5"/>
      <c r="F90" s="2"/>
      <c r="G90" s="2"/>
      <c r="H90" s="2"/>
      <c r="I90" s="2"/>
      <c r="J90" s="2"/>
    </row>
    <row r="91" spans="1:10">
      <c r="A91" s="12"/>
      <c r="B91" s="2"/>
      <c r="C91" s="2"/>
      <c r="D91" s="2"/>
      <c r="E91" s="5"/>
      <c r="F91" s="2"/>
      <c r="G91" s="2"/>
      <c r="H91" s="2"/>
      <c r="I91" s="2"/>
      <c r="J91" s="2"/>
    </row>
    <row r="92" spans="1:10">
      <c r="A92" s="12"/>
      <c r="B92" s="2"/>
      <c r="C92" s="2"/>
      <c r="D92" s="2"/>
      <c r="E92" s="5"/>
      <c r="F92" s="2"/>
      <c r="G92" s="2"/>
      <c r="H92" s="2"/>
      <c r="I92" s="2"/>
      <c r="J92" s="2"/>
    </row>
    <row r="93" spans="1:10">
      <c r="A93" s="12"/>
      <c r="B93" s="2"/>
      <c r="C93" s="2"/>
      <c r="D93" s="2"/>
      <c r="E93" s="5"/>
      <c r="F93" s="2"/>
      <c r="G93" s="2"/>
      <c r="H93" s="2"/>
      <c r="I93" s="2"/>
      <c r="J93" s="2"/>
    </row>
    <row r="94" spans="1:10">
      <c r="A94" s="12"/>
      <c r="B94" s="2"/>
      <c r="C94" s="2"/>
      <c r="D94" s="2"/>
      <c r="E94" s="5"/>
      <c r="F94" s="2"/>
      <c r="G94" s="2"/>
      <c r="H94" s="2"/>
      <c r="I94" s="2"/>
      <c r="J94" s="2"/>
    </row>
    <row r="95" spans="1:10">
      <c r="A95" s="12"/>
      <c r="B95" s="2"/>
      <c r="C95" s="2"/>
      <c r="D95" s="2"/>
      <c r="E95" s="5"/>
      <c r="F95" s="2"/>
      <c r="G95" s="2"/>
      <c r="H95" s="2"/>
      <c r="I95" s="2"/>
      <c r="J95" s="2"/>
    </row>
    <row r="96" spans="1:10">
      <c r="A96" s="12"/>
      <c r="B96" s="2"/>
      <c r="C96" s="2"/>
      <c r="D96" s="2"/>
      <c r="E96" s="5"/>
      <c r="F96" s="2"/>
      <c r="G96" s="2"/>
      <c r="H96" s="2"/>
      <c r="I96" s="2"/>
      <c r="J96" s="2"/>
    </row>
    <row r="97" spans="1:10">
      <c r="A97" s="12"/>
      <c r="B97" s="2"/>
      <c r="C97" s="2"/>
      <c r="D97" s="2"/>
      <c r="E97" s="5"/>
      <c r="F97" s="2"/>
      <c r="G97" s="2"/>
      <c r="H97" s="2"/>
      <c r="I97" s="2"/>
      <c r="J97" s="2"/>
    </row>
    <row r="98" spans="1:10">
      <c r="A98" s="12"/>
      <c r="B98" s="2"/>
      <c r="C98" s="2"/>
      <c r="D98" s="2"/>
      <c r="E98" s="5"/>
      <c r="F98" s="2"/>
      <c r="G98" s="2"/>
      <c r="H98" s="2"/>
      <c r="I98" s="2"/>
      <c r="J98" s="2"/>
    </row>
    <row r="99" spans="1:10">
      <c r="A99" s="12"/>
      <c r="B99" s="2"/>
      <c r="C99" s="2"/>
      <c r="D99" s="2"/>
      <c r="E99" s="5"/>
      <c r="F99" s="2"/>
      <c r="G99" s="2"/>
      <c r="H99" s="2"/>
      <c r="I99" s="2"/>
      <c r="J99" s="2"/>
    </row>
    <row r="100" spans="1:10">
      <c r="A100" s="12"/>
      <c r="B100" s="2"/>
      <c r="C100" s="2"/>
      <c r="D100" s="2"/>
      <c r="E100" s="5"/>
      <c r="F100" s="2"/>
      <c r="G100" s="2"/>
      <c r="H100" s="2"/>
      <c r="I100" s="2"/>
      <c r="J100" s="2"/>
    </row>
    <row r="101" spans="1:10">
      <c r="A101" s="12"/>
      <c r="B101" s="2"/>
      <c r="C101" s="2"/>
      <c r="D101" s="2"/>
      <c r="E101" s="5"/>
      <c r="F101" s="2"/>
      <c r="G101" s="2"/>
      <c r="H101" s="2"/>
      <c r="I101" s="2"/>
      <c r="J101" s="2"/>
    </row>
    <row r="102" spans="1:10">
      <c r="A102" s="12"/>
      <c r="B102" s="2"/>
      <c r="C102" s="2"/>
      <c r="D102" s="2"/>
      <c r="E102" s="5"/>
      <c r="F102" s="2"/>
      <c r="G102" s="2"/>
      <c r="H102" s="2"/>
      <c r="I102" s="2"/>
      <c r="J102" s="2"/>
    </row>
    <row r="103" spans="1:10">
      <c r="A103" s="12"/>
      <c r="B103" s="2"/>
      <c r="C103" s="2"/>
      <c r="D103" s="2"/>
      <c r="E103" s="5"/>
      <c r="F103" s="2"/>
      <c r="G103" s="2"/>
      <c r="H103" s="2"/>
      <c r="I103" s="2"/>
      <c r="J103" s="2"/>
    </row>
    <row r="104" spans="1:10">
      <c r="A104" s="12"/>
      <c r="B104" s="2"/>
      <c r="C104" s="2"/>
      <c r="D104" s="2"/>
      <c r="E104" s="5"/>
      <c r="F104" s="2"/>
      <c r="G104" s="2"/>
      <c r="H104" s="2"/>
      <c r="I104" s="2"/>
      <c r="J104" s="2"/>
    </row>
    <row r="105" spans="1:10">
      <c r="A105" s="12"/>
      <c r="B105" s="2"/>
      <c r="C105" s="2"/>
      <c r="D105" s="2"/>
      <c r="E105" s="5"/>
      <c r="F105" s="2"/>
      <c r="G105" s="2"/>
      <c r="H105" s="2"/>
      <c r="I105" s="2"/>
      <c r="J105" s="2"/>
    </row>
    <row r="106" spans="1:10">
      <c r="A106" s="12"/>
      <c r="B106" s="2"/>
      <c r="C106" s="2"/>
      <c r="D106" s="2"/>
      <c r="E106" s="5"/>
      <c r="F106" s="2"/>
      <c r="G106" s="2"/>
      <c r="H106" s="2"/>
      <c r="I106" s="2"/>
      <c r="J106" s="2"/>
    </row>
    <row r="107" spans="1:10">
      <c r="A107" s="12"/>
      <c r="B107" s="2"/>
      <c r="C107" s="2"/>
      <c r="D107" s="2"/>
      <c r="E107" s="5"/>
      <c r="F107" s="2"/>
      <c r="G107" s="2"/>
      <c r="H107" s="2"/>
      <c r="I107" s="2"/>
      <c r="J107" s="2"/>
    </row>
    <row r="108" spans="1:10">
      <c r="A108" s="12"/>
      <c r="B108" s="2"/>
      <c r="C108" s="2"/>
      <c r="D108" s="2"/>
      <c r="E108" s="5"/>
      <c r="F108" s="2"/>
      <c r="G108" s="2"/>
      <c r="H108" s="2"/>
      <c r="I108" s="2"/>
      <c r="J108" s="2"/>
    </row>
    <row r="109" spans="1:10">
      <c r="A109" s="12"/>
      <c r="B109" s="2"/>
      <c r="C109" s="2"/>
      <c r="D109" s="2"/>
      <c r="E109" s="5"/>
      <c r="F109" s="2"/>
      <c r="G109" s="2"/>
      <c r="H109" s="2"/>
      <c r="I109" s="2"/>
      <c r="J109" s="2"/>
    </row>
    <row r="110" spans="1:10">
      <c r="A110" s="12"/>
      <c r="B110" s="2"/>
      <c r="C110" s="2"/>
      <c r="D110" s="2"/>
      <c r="E110" s="5"/>
      <c r="F110" s="2"/>
      <c r="G110" s="2"/>
      <c r="H110" s="2"/>
      <c r="I110" s="2"/>
      <c r="J110" s="2"/>
    </row>
    <row r="111" spans="1:10">
      <c r="A111" s="12"/>
      <c r="B111" s="2"/>
      <c r="C111" s="2"/>
      <c r="D111" s="2"/>
      <c r="E111" s="5"/>
      <c r="F111" s="2"/>
      <c r="G111" s="2"/>
      <c r="H111" s="2"/>
      <c r="I111" s="2"/>
      <c r="J111" s="2"/>
    </row>
    <row r="112" spans="1:10">
      <c r="A112" s="12"/>
      <c r="B112" s="2"/>
      <c r="C112" s="2"/>
      <c r="D112" s="2"/>
      <c r="E112" s="5"/>
      <c r="F112" s="2"/>
      <c r="G112" s="2"/>
      <c r="H112" s="2"/>
      <c r="I112" s="2"/>
      <c r="J112" s="2"/>
    </row>
    <row r="113" spans="1:10">
      <c r="A113" s="12"/>
      <c r="B113" s="2"/>
      <c r="C113" s="2"/>
      <c r="D113" s="2"/>
      <c r="E113" s="5"/>
      <c r="F113" s="2"/>
      <c r="G113" s="2"/>
      <c r="H113" s="2"/>
      <c r="I113" s="2"/>
      <c r="J113" s="2"/>
    </row>
    <row r="114" spans="1:10">
      <c r="A114" s="12"/>
      <c r="B114" s="2"/>
      <c r="C114" s="2"/>
      <c r="D114" s="2"/>
      <c r="E114" s="5"/>
      <c r="F114" s="2"/>
      <c r="G114" s="2"/>
      <c r="H114" s="2"/>
      <c r="I114" s="2"/>
      <c r="J114" s="2"/>
    </row>
    <row r="115" spans="1:10">
      <c r="A115" s="12"/>
      <c r="B115" s="2"/>
      <c r="C115" s="2"/>
      <c r="D115" s="2"/>
      <c r="E115" s="5"/>
      <c r="F115" s="2"/>
      <c r="G115" s="2"/>
      <c r="H115" s="2"/>
      <c r="I115" s="2"/>
      <c r="J115" s="2"/>
    </row>
    <row r="116" spans="1:10">
      <c r="A116" s="12"/>
      <c r="B116" s="2"/>
      <c r="C116" s="2"/>
      <c r="D116" s="2"/>
      <c r="E116" s="5"/>
      <c r="F116" s="2"/>
      <c r="G116" s="2"/>
      <c r="H116" s="2"/>
      <c r="I116" s="2"/>
      <c r="J116" s="2"/>
    </row>
    <row r="117" spans="1:10">
      <c r="A117" s="12"/>
      <c r="B117" s="2"/>
      <c r="C117" s="2"/>
      <c r="D117" s="2"/>
      <c r="E117" s="5"/>
      <c r="F117" s="2"/>
      <c r="G117" s="2"/>
      <c r="H117" s="2"/>
      <c r="I117" s="2"/>
      <c r="J117" s="2"/>
    </row>
    <row r="118" spans="1:10">
      <c r="A118" s="12"/>
      <c r="B118" s="2"/>
      <c r="C118" s="2"/>
      <c r="D118" s="2"/>
      <c r="E118" s="5"/>
      <c r="F118" s="2"/>
      <c r="G118" s="2"/>
      <c r="H118" s="2"/>
      <c r="I118" s="2"/>
      <c r="J118" s="2"/>
    </row>
    <row r="119" spans="1:10">
      <c r="A119" s="12"/>
      <c r="B119" s="2"/>
      <c r="C119" s="2"/>
      <c r="D119" s="2"/>
      <c r="E119" s="5"/>
      <c r="F119" s="2"/>
      <c r="G119" s="2"/>
      <c r="H119" s="2"/>
      <c r="I119" s="2"/>
      <c r="J119" s="2"/>
    </row>
    <row r="120" spans="1:10">
      <c r="A120" s="12"/>
      <c r="B120" s="2"/>
      <c r="C120" s="2"/>
      <c r="D120" s="2"/>
      <c r="E120" s="5"/>
      <c r="F120" s="2"/>
      <c r="G120" s="2"/>
      <c r="H120" s="2"/>
      <c r="I120" s="2"/>
      <c r="J120" s="2"/>
    </row>
    <row r="121" spans="1:10">
      <c r="A121" s="12"/>
      <c r="B121" s="2"/>
      <c r="C121" s="2"/>
      <c r="D121" s="2"/>
      <c r="E121" s="5"/>
      <c r="F121" s="2"/>
      <c r="G121" s="2"/>
      <c r="H121" s="2"/>
      <c r="I121" s="2"/>
      <c r="J121" s="2"/>
    </row>
    <row r="122" spans="1:10">
      <c r="A122" s="12"/>
      <c r="B122" s="2"/>
      <c r="C122" s="2"/>
      <c r="D122" s="2"/>
      <c r="E122" s="5"/>
      <c r="F122" s="2"/>
      <c r="G122" s="2"/>
      <c r="H122" s="2"/>
      <c r="I122" s="2"/>
      <c r="J122" s="2"/>
    </row>
    <row r="123" spans="1:10">
      <c r="A123" s="12"/>
      <c r="B123" s="2"/>
      <c r="C123" s="2"/>
      <c r="D123" s="2"/>
      <c r="E123" s="5"/>
      <c r="F123" s="2"/>
      <c r="G123" s="2"/>
      <c r="H123" s="2"/>
      <c r="I123" s="2"/>
      <c r="J123" s="2"/>
    </row>
    <row r="124" spans="1:10">
      <c r="A124" s="12"/>
      <c r="B124" s="2"/>
      <c r="C124" s="2"/>
      <c r="D124" s="2"/>
      <c r="E124" s="5"/>
      <c r="F124" s="2"/>
      <c r="G124" s="2"/>
      <c r="H124" s="2"/>
      <c r="I124" s="2"/>
      <c r="J124" s="2"/>
    </row>
    <row r="125" spans="1:10">
      <c r="A125" s="12"/>
      <c r="B125" s="2"/>
      <c r="C125" s="2"/>
      <c r="D125" s="2"/>
      <c r="E125" s="5"/>
      <c r="F125" s="2"/>
      <c r="G125" s="2"/>
      <c r="H125" s="2"/>
      <c r="I125" s="2"/>
      <c r="J125" s="2"/>
    </row>
    <row r="126" spans="1:10">
      <c r="A126" s="12"/>
      <c r="B126" s="2"/>
      <c r="C126" s="2"/>
      <c r="D126" s="2"/>
      <c r="E126" s="5"/>
      <c r="F126" s="2"/>
      <c r="G126" s="2"/>
      <c r="H126" s="2"/>
      <c r="I126" s="2"/>
      <c r="J126" s="2"/>
    </row>
    <row r="127" spans="1:10">
      <c r="A127" s="12"/>
      <c r="B127" s="2"/>
      <c r="C127" s="2"/>
      <c r="D127" s="2"/>
      <c r="E127" s="5"/>
      <c r="F127" s="2"/>
      <c r="G127" s="2"/>
      <c r="H127" s="2"/>
      <c r="I127" s="2"/>
      <c r="J127" s="2"/>
    </row>
    <row r="128" spans="1:10">
      <c r="A128" s="12"/>
      <c r="B128" s="2"/>
      <c r="C128" s="2"/>
      <c r="D128" s="2"/>
      <c r="E128" s="5"/>
      <c r="F128" s="2"/>
      <c r="G128" s="2"/>
      <c r="H128" s="2"/>
      <c r="I128" s="2"/>
      <c r="J128" s="2"/>
    </row>
    <row r="129" spans="1:10">
      <c r="A129" s="12"/>
      <c r="B129" s="2"/>
      <c r="C129" s="2"/>
      <c r="D129" s="2"/>
      <c r="E129" s="5"/>
      <c r="F129" s="2"/>
      <c r="G129" s="2"/>
      <c r="H129" s="2"/>
      <c r="I129" s="2"/>
      <c r="J129" s="2"/>
    </row>
    <row r="130" spans="1:10">
      <c r="A130" s="12"/>
      <c r="B130" s="2"/>
      <c r="C130" s="2"/>
      <c r="D130" s="2"/>
      <c r="E130" s="5"/>
      <c r="F130" s="2"/>
      <c r="G130" s="2"/>
      <c r="H130" s="2"/>
      <c r="I130" s="2"/>
      <c r="J130" s="2"/>
    </row>
    <row r="131" spans="1:10">
      <c r="A131" s="12"/>
      <c r="B131" s="2"/>
      <c r="C131" s="2"/>
      <c r="D131" s="2"/>
      <c r="E131" s="5"/>
      <c r="F131" s="2"/>
      <c r="G131" s="2"/>
      <c r="H131" s="2"/>
      <c r="I131" s="2"/>
      <c r="J131" s="2"/>
    </row>
    <row r="132" spans="1:10">
      <c r="A132" s="12"/>
      <c r="B132" s="2"/>
      <c r="C132" s="2"/>
      <c r="D132" s="2"/>
      <c r="E132" s="5"/>
      <c r="F132" s="2"/>
      <c r="G132" s="2"/>
      <c r="H132" s="2"/>
      <c r="I132" s="2"/>
      <c r="J132" s="2"/>
    </row>
    <row r="133" spans="1:10">
      <c r="A133" s="12"/>
      <c r="B133" s="2"/>
      <c r="C133" s="2"/>
      <c r="D133" s="2"/>
      <c r="E133" s="5"/>
      <c r="F133" s="2"/>
      <c r="G133" s="2"/>
      <c r="H133" s="2"/>
      <c r="I133" s="2"/>
      <c r="J133" s="2"/>
    </row>
    <row r="134" spans="1:10">
      <c r="A134" s="12"/>
      <c r="B134" s="2"/>
      <c r="C134" s="2"/>
      <c r="D134" s="2"/>
      <c r="E134" s="5"/>
      <c r="F134" s="2"/>
      <c r="G134" s="2"/>
      <c r="H134" s="2"/>
      <c r="I134" s="2"/>
      <c r="J134" s="2"/>
    </row>
    <row r="135" spans="1:10">
      <c r="A135" s="12"/>
      <c r="B135" s="2"/>
      <c r="C135" s="2"/>
      <c r="D135" s="2"/>
      <c r="E135" s="5"/>
      <c r="F135" s="2"/>
      <c r="G135" s="2"/>
      <c r="H135" s="2"/>
      <c r="I135" s="2"/>
      <c r="J135" s="2"/>
    </row>
    <row r="136" spans="1:10">
      <c r="A136" s="12"/>
      <c r="B136" s="2"/>
      <c r="C136" s="2"/>
      <c r="D136" s="2"/>
      <c r="E136" s="5"/>
      <c r="F136" s="2"/>
      <c r="G136" s="2"/>
      <c r="H136" s="2"/>
      <c r="I136" s="2"/>
      <c r="J136" s="2"/>
    </row>
    <row r="137" spans="1:10">
      <c r="A137" s="12"/>
      <c r="B137" s="2"/>
      <c r="C137" s="2"/>
      <c r="D137" s="2"/>
      <c r="E137" s="5"/>
      <c r="F137" s="2"/>
      <c r="G137" s="2"/>
      <c r="H137" s="2"/>
      <c r="I137" s="2"/>
      <c r="J137" s="2"/>
    </row>
    <row r="138" spans="1:10">
      <c r="A138" s="12"/>
      <c r="B138" s="2"/>
      <c r="C138" s="2"/>
      <c r="D138" s="2"/>
      <c r="E138" s="5"/>
      <c r="F138" s="2"/>
      <c r="G138" s="2"/>
      <c r="H138" s="2"/>
      <c r="I138" s="2"/>
      <c r="J138" s="2"/>
    </row>
    <row r="139" spans="1:10">
      <c r="A139" s="12"/>
      <c r="B139" s="2"/>
      <c r="C139" s="2"/>
      <c r="D139" s="2"/>
      <c r="E139" s="5"/>
      <c r="F139" s="2"/>
      <c r="G139" s="2"/>
      <c r="H139" s="2"/>
      <c r="I139" s="2"/>
      <c r="J139" s="2"/>
    </row>
    <row r="140" spans="1:10">
      <c r="A140" s="12"/>
      <c r="B140" s="2"/>
      <c r="C140" s="2"/>
      <c r="D140" s="2"/>
      <c r="E140" s="5"/>
      <c r="F140" s="2"/>
      <c r="G140" s="2"/>
      <c r="H140" s="2"/>
      <c r="I140" s="2"/>
      <c r="J140" s="2"/>
    </row>
    <row r="141" spans="1:10">
      <c r="A141" s="12"/>
      <c r="B141" s="2"/>
      <c r="C141" s="2"/>
      <c r="D141" s="2"/>
      <c r="E141" s="5"/>
      <c r="F141" s="2"/>
      <c r="G141" s="2"/>
      <c r="H141" s="2"/>
      <c r="I141" s="2"/>
      <c r="J141" s="2"/>
    </row>
    <row r="142" spans="1:10">
      <c r="A142" s="12"/>
      <c r="B142" s="2"/>
      <c r="C142" s="2"/>
      <c r="D142" s="2"/>
      <c r="E142" s="5"/>
      <c r="F142" s="2"/>
      <c r="G142" s="2"/>
      <c r="H142" s="2"/>
      <c r="I142" s="2"/>
      <c r="J142" s="2"/>
    </row>
    <row r="143" spans="1:10">
      <c r="A143" s="12"/>
      <c r="B143" s="2"/>
      <c r="C143" s="2"/>
      <c r="D143" s="2"/>
      <c r="E143" s="5"/>
      <c r="F143" s="2"/>
      <c r="G143" s="2"/>
      <c r="H143" s="2"/>
      <c r="I143" s="2"/>
      <c r="J143" s="2"/>
    </row>
    <row r="144" spans="1:10">
      <c r="A144" s="12"/>
      <c r="B144" s="2"/>
      <c r="C144" s="2"/>
      <c r="D144" s="2"/>
      <c r="E144" s="5"/>
      <c r="F144" s="2"/>
      <c r="G144" s="2"/>
      <c r="H144" s="2"/>
      <c r="I144" s="2"/>
      <c r="J144" s="2"/>
    </row>
    <row r="145" spans="1:10">
      <c r="A145" s="12"/>
      <c r="B145" s="2"/>
      <c r="C145" s="2"/>
      <c r="D145" s="2"/>
      <c r="E145" s="5"/>
      <c r="F145" s="2"/>
      <c r="G145" s="2"/>
      <c r="H145" s="2"/>
      <c r="I145" s="2"/>
      <c r="J145" s="2"/>
    </row>
    <row r="146" spans="1:10">
      <c r="A146" s="12"/>
      <c r="B146" s="2"/>
      <c r="C146" s="2"/>
      <c r="D146" s="2"/>
      <c r="E146" s="5"/>
      <c r="F146" s="2"/>
      <c r="G146" s="2"/>
      <c r="H146" s="2"/>
      <c r="I146" s="2"/>
      <c r="J146" s="2"/>
    </row>
    <row r="147" spans="1:10">
      <c r="A147" s="12"/>
      <c r="B147" s="2"/>
      <c r="C147" s="2"/>
      <c r="D147" s="2"/>
      <c r="E147" s="5"/>
      <c r="F147" s="2"/>
      <c r="G147" s="2"/>
      <c r="H147" s="2"/>
      <c r="I147" s="2"/>
      <c r="J147" s="2"/>
    </row>
    <row r="148" spans="1:10">
      <c r="A148" s="12"/>
      <c r="B148" s="2"/>
      <c r="C148" s="2"/>
      <c r="D148" s="2"/>
      <c r="E148" s="5"/>
      <c r="F148" s="2"/>
      <c r="G148" s="2"/>
      <c r="H148" s="2"/>
      <c r="I148" s="2"/>
      <c r="J148" s="2"/>
    </row>
    <row r="149" spans="1:10">
      <c r="A149" s="12"/>
      <c r="B149" s="2"/>
      <c r="C149" s="2"/>
      <c r="D149" s="2"/>
      <c r="E149" s="5"/>
      <c r="F149" s="2"/>
      <c r="G149" s="2"/>
      <c r="H149" s="2"/>
      <c r="I149" s="2"/>
      <c r="J149" s="2"/>
    </row>
    <row r="150" spans="1:10">
      <c r="A150" s="12"/>
      <c r="B150" s="2"/>
      <c r="C150" s="2"/>
      <c r="D150" s="2"/>
      <c r="E150" s="5"/>
      <c r="F150" s="2"/>
      <c r="G150" s="2"/>
      <c r="H150" s="2"/>
      <c r="I150" s="2"/>
      <c r="J150" s="2"/>
    </row>
    <row r="151" spans="1:10">
      <c r="A151" s="12"/>
      <c r="B151" s="2"/>
      <c r="C151" s="2"/>
      <c r="D151" s="2"/>
      <c r="E151" s="5"/>
      <c r="F151" s="2"/>
      <c r="G151" s="2"/>
      <c r="H151" s="2"/>
      <c r="I151" s="2"/>
      <c r="J151" s="2"/>
    </row>
    <row r="152" spans="1:10">
      <c r="A152" s="12"/>
      <c r="B152" s="2"/>
      <c r="C152" s="2"/>
      <c r="D152" s="2"/>
      <c r="E152" s="5"/>
      <c r="F152" s="2"/>
      <c r="G152" s="2"/>
      <c r="H152" s="2"/>
      <c r="I152" s="2"/>
      <c r="J152" s="2"/>
    </row>
    <row r="153" spans="1:10">
      <c r="A153" s="12"/>
      <c r="B153" s="2"/>
      <c r="C153" s="2"/>
      <c r="D153" s="2"/>
      <c r="E153" s="5"/>
      <c r="F153" s="2"/>
      <c r="G153" s="2"/>
      <c r="H153" s="2"/>
      <c r="I153" s="2"/>
      <c r="J153" s="2"/>
    </row>
    <row r="154" spans="1:10">
      <c r="A154" s="12"/>
      <c r="B154" s="2"/>
      <c r="C154" s="2"/>
      <c r="D154" s="2"/>
      <c r="E154" s="5"/>
      <c r="F154" s="2"/>
      <c r="G154" s="2"/>
      <c r="H154" s="2"/>
      <c r="I154" s="2"/>
      <c r="J154" s="2"/>
    </row>
    <row r="155" spans="1:10">
      <c r="A155" s="12"/>
      <c r="B155" s="2"/>
      <c r="C155" s="2"/>
      <c r="D155" s="2"/>
      <c r="E155" s="5"/>
      <c r="F155" s="2"/>
      <c r="G155" s="2"/>
      <c r="H155" s="2"/>
      <c r="I155" s="2"/>
      <c r="J155" s="2"/>
    </row>
    <row r="156" spans="1:10">
      <c r="A156" s="12"/>
      <c r="B156" s="2"/>
      <c r="C156" s="2"/>
      <c r="D156" s="2"/>
      <c r="E156" s="5"/>
      <c r="F156" s="2"/>
      <c r="G156" s="2"/>
      <c r="H156" s="2"/>
      <c r="I156" s="2"/>
      <c r="J156" s="2"/>
    </row>
    <row r="157" spans="1:10">
      <c r="A157" s="12"/>
      <c r="B157" s="2"/>
      <c r="C157" s="2"/>
      <c r="D157" s="2"/>
      <c r="E157" s="5"/>
      <c r="F157" s="2"/>
      <c r="G157" s="2"/>
      <c r="H157" s="2"/>
      <c r="I157" s="2"/>
      <c r="J157" s="2"/>
    </row>
    <row r="158" spans="1:10">
      <c r="A158" s="12"/>
      <c r="B158" s="2"/>
      <c r="C158" s="2"/>
      <c r="D158" s="2"/>
      <c r="E158" s="5"/>
      <c r="F158" s="2"/>
      <c r="G158" s="2"/>
      <c r="H158" s="2"/>
      <c r="I158" s="2"/>
      <c r="J158" s="2"/>
    </row>
    <row r="159" spans="1:10">
      <c r="A159" s="12"/>
      <c r="B159" s="2"/>
      <c r="C159" s="2"/>
      <c r="D159" s="2"/>
      <c r="E159" s="5"/>
      <c r="F159" s="2"/>
      <c r="G159" s="2"/>
      <c r="H159" s="2"/>
      <c r="I159" s="2"/>
      <c r="J159" s="2"/>
    </row>
    <row r="160" spans="1:10">
      <c r="A160" s="12"/>
      <c r="B160" s="2"/>
      <c r="C160" s="2"/>
      <c r="D160" s="2"/>
      <c r="E160" s="5"/>
      <c r="F160" s="2"/>
      <c r="G160" s="2"/>
      <c r="H160" s="2"/>
      <c r="I160" s="2"/>
      <c r="J160" s="2"/>
    </row>
    <row r="161" spans="1:10">
      <c r="A161" s="12"/>
      <c r="B161" s="2"/>
      <c r="C161" s="2"/>
      <c r="D161" s="2"/>
      <c r="E161" s="5"/>
      <c r="F161" s="2"/>
      <c r="G161" s="2"/>
      <c r="H161" s="2"/>
      <c r="I161" s="2"/>
      <c r="J161" s="2"/>
    </row>
    <row r="162" spans="1:10">
      <c r="A162" s="12"/>
      <c r="B162" s="2"/>
      <c r="C162" s="2"/>
      <c r="D162" s="2"/>
      <c r="E162" s="5"/>
      <c r="F162" s="2"/>
      <c r="G162" s="2"/>
      <c r="H162" s="2"/>
      <c r="I162" s="2"/>
      <c r="J162" s="2"/>
    </row>
    <row r="163" spans="1:10">
      <c r="A163" s="12"/>
      <c r="B163" s="2"/>
      <c r="C163" s="2"/>
      <c r="D163" s="2"/>
      <c r="E163" s="5"/>
      <c r="F163" s="2"/>
      <c r="G163" s="2"/>
      <c r="H163" s="2"/>
      <c r="I163" s="2"/>
      <c r="J163" s="2"/>
    </row>
    <row r="164" spans="1:10">
      <c r="A164" s="12"/>
      <c r="B164" s="2"/>
      <c r="C164" s="2"/>
      <c r="D164" s="2"/>
      <c r="E164" s="5"/>
      <c r="F164" s="2"/>
      <c r="G164" s="2"/>
      <c r="H164" s="2"/>
      <c r="I164" s="2"/>
      <c r="J164" s="2"/>
    </row>
    <row r="165" spans="1:10">
      <c r="A165" s="12"/>
      <c r="B165" s="2"/>
      <c r="C165" s="2"/>
      <c r="D165" s="2"/>
      <c r="E165" s="5"/>
      <c r="F165" s="2"/>
      <c r="G165" s="2"/>
      <c r="H165" s="2"/>
      <c r="I165" s="2"/>
      <c r="J165" s="2"/>
    </row>
    <row r="166" spans="1:10">
      <c r="A166" s="12"/>
      <c r="B166" s="2"/>
      <c r="C166" s="2"/>
      <c r="D166" s="2"/>
      <c r="E166" s="5"/>
      <c r="F166" s="2"/>
      <c r="G166" s="2"/>
      <c r="H166" s="2"/>
      <c r="I166" s="2"/>
      <c r="J166" s="2"/>
    </row>
    <row r="167" spans="1:10">
      <c r="A167" s="12"/>
      <c r="B167" s="2"/>
      <c r="C167" s="2"/>
      <c r="D167" s="2"/>
      <c r="E167" s="5"/>
      <c r="F167" s="2"/>
      <c r="G167" s="2"/>
      <c r="H167" s="2"/>
      <c r="I167" s="2"/>
      <c r="J167" s="2"/>
    </row>
    <row r="168" spans="1:10">
      <c r="A168" s="12"/>
      <c r="B168" s="2"/>
      <c r="C168" s="2"/>
      <c r="D168" s="2"/>
      <c r="E168" s="5"/>
      <c r="F168" s="2"/>
      <c r="G168" s="2"/>
      <c r="H168" s="2"/>
      <c r="I168" s="2"/>
      <c r="J168" s="2"/>
    </row>
    <row r="169" spans="1:10">
      <c r="A169" s="12"/>
      <c r="B169" s="2"/>
      <c r="C169" s="2"/>
      <c r="D169" s="2"/>
      <c r="E169" s="5"/>
      <c r="F169" s="2"/>
      <c r="G169" s="2"/>
      <c r="H169" s="2"/>
      <c r="I169" s="2"/>
      <c r="J169" s="2"/>
    </row>
    <row r="170" spans="1:10">
      <c r="A170" s="12"/>
      <c r="B170" s="2"/>
      <c r="C170" s="2"/>
      <c r="D170" s="2"/>
      <c r="E170" s="5"/>
      <c r="F170" s="2"/>
      <c r="G170" s="2"/>
      <c r="H170" s="2"/>
      <c r="I170" s="2"/>
      <c r="J170" s="2"/>
    </row>
    <row r="171" spans="1:10">
      <c r="A171" s="12"/>
      <c r="B171" s="2"/>
      <c r="C171" s="2"/>
      <c r="D171" s="2"/>
      <c r="E171" s="5"/>
      <c r="F171" s="2"/>
      <c r="G171" s="2"/>
      <c r="H171" s="2"/>
      <c r="I171" s="2"/>
      <c r="J171" s="2"/>
    </row>
    <row r="172" spans="1:10">
      <c r="A172" s="12"/>
      <c r="B172" s="2"/>
      <c r="C172" s="2"/>
      <c r="D172" s="2"/>
      <c r="E172" s="5"/>
      <c r="F172" s="2"/>
      <c r="G172" s="2"/>
      <c r="H172" s="2"/>
      <c r="I172" s="2"/>
      <c r="J172" s="2"/>
    </row>
    <row r="173" spans="1:10">
      <c r="A173" s="12"/>
      <c r="B173" s="2"/>
      <c r="C173" s="2"/>
      <c r="D173" s="2"/>
      <c r="E173" s="5"/>
      <c r="F173" s="2"/>
      <c r="G173" s="2"/>
      <c r="H173" s="2"/>
      <c r="I173" s="2"/>
      <c r="J173" s="2"/>
    </row>
    <row r="174" spans="1:10">
      <c r="A174" s="12"/>
      <c r="B174" s="2"/>
      <c r="C174" s="2"/>
      <c r="D174" s="2"/>
      <c r="E174" s="5"/>
      <c r="F174" s="2"/>
      <c r="G174" s="2"/>
      <c r="H174" s="2"/>
      <c r="I174" s="2"/>
      <c r="J174" s="2"/>
    </row>
    <row r="175" spans="1:10">
      <c r="A175" s="12"/>
      <c r="B175" s="2"/>
      <c r="C175" s="2"/>
      <c r="D175" s="2"/>
      <c r="E175" s="5"/>
      <c r="F175" s="2"/>
      <c r="G175" s="2"/>
      <c r="H175" s="2"/>
      <c r="I175" s="2"/>
      <c r="J175" s="2"/>
    </row>
    <row r="176" spans="1:10">
      <c r="A176" s="12"/>
      <c r="B176" s="2"/>
      <c r="C176" s="2"/>
      <c r="D176" s="2"/>
      <c r="E176" s="5"/>
      <c r="F176" s="2"/>
      <c r="G176" s="2"/>
      <c r="H176" s="2"/>
      <c r="I176" s="2"/>
      <c r="J176" s="2"/>
    </row>
    <row r="177" spans="1:10">
      <c r="A177" s="12"/>
      <c r="B177" s="2"/>
      <c r="C177" s="2"/>
      <c r="D177" s="2"/>
      <c r="E177" s="5"/>
      <c r="F177" s="2"/>
      <c r="G177" s="2"/>
      <c r="H177" s="2"/>
      <c r="I177" s="2"/>
      <c r="J177" s="2"/>
    </row>
    <row r="178" spans="1:10">
      <c r="A178" s="12"/>
      <c r="B178" s="2"/>
      <c r="C178" s="2"/>
      <c r="D178" s="2"/>
      <c r="E178" s="5"/>
      <c r="F178" s="2"/>
      <c r="G178" s="2"/>
      <c r="H178" s="2"/>
      <c r="I178" s="2"/>
      <c r="J178" s="2"/>
    </row>
    <row r="179" spans="1:10">
      <c r="A179" s="12"/>
      <c r="B179" s="2"/>
      <c r="C179" s="2"/>
      <c r="D179" s="2"/>
      <c r="E179" s="5"/>
      <c r="F179" s="2"/>
      <c r="G179" s="2"/>
      <c r="H179" s="2"/>
      <c r="I179" s="2"/>
      <c r="J179" s="2"/>
    </row>
    <row r="180" spans="1:10">
      <c r="A180" s="12"/>
      <c r="B180" s="2"/>
      <c r="C180" s="2"/>
      <c r="D180" s="2"/>
      <c r="E180" s="5"/>
      <c r="F180" s="2"/>
      <c r="G180" s="2"/>
      <c r="H180" s="2"/>
      <c r="I180" s="2"/>
      <c r="J180" s="2"/>
    </row>
    <row r="181" spans="1:10">
      <c r="A181" s="12"/>
      <c r="B181" s="2"/>
      <c r="C181" s="2"/>
      <c r="D181" s="2"/>
      <c r="E181" s="5"/>
      <c r="F181" s="2"/>
      <c r="G181" s="2"/>
      <c r="H181" s="2"/>
      <c r="I181" s="2"/>
      <c r="J181" s="2"/>
    </row>
    <row r="182" spans="1:10">
      <c r="A182" s="12"/>
      <c r="B182" s="2"/>
      <c r="C182" s="2"/>
      <c r="D182" s="2"/>
      <c r="E182" s="5"/>
      <c r="F182" s="2"/>
      <c r="G182" s="2"/>
      <c r="H182" s="2"/>
      <c r="I182" s="2"/>
      <c r="J182" s="2"/>
    </row>
    <row r="183" spans="1:10">
      <c r="A183" s="12"/>
      <c r="B183" s="2"/>
      <c r="C183" s="2"/>
      <c r="D183" s="2"/>
      <c r="E183" s="5"/>
      <c r="F183" s="2"/>
      <c r="G183" s="2"/>
      <c r="H183" s="2"/>
      <c r="I183" s="2"/>
      <c r="J183" s="2"/>
    </row>
    <row r="184" spans="1:10">
      <c r="A184" s="12"/>
      <c r="B184" s="2"/>
      <c r="C184" s="2"/>
      <c r="D184" s="2"/>
      <c r="E184" s="5"/>
      <c r="F184" s="2"/>
      <c r="G184" s="2"/>
      <c r="H184" s="2"/>
      <c r="I184" s="2"/>
      <c r="J184" s="2"/>
    </row>
    <row r="185" spans="1:10">
      <c r="A185" s="12"/>
      <c r="B185" s="2"/>
      <c r="C185" s="2"/>
      <c r="D185" s="2"/>
      <c r="E185" s="5"/>
      <c r="F185" s="2"/>
      <c r="G185" s="2"/>
      <c r="H185" s="2"/>
      <c r="I185" s="2"/>
      <c r="J185" s="2"/>
    </row>
    <row r="186" spans="1:10">
      <c r="A186" s="12"/>
      <c r="B186" s="2"/>
      <c r="C186" s="2"/>
      <c r="D186" s="2"/>
      <c r="E186" s="5"/>
      <c r="F186" s="2"/>
      <c r="G186" s="2"/>
      <c r="H186" s="2"/>
      <c r="I186" s="2"/>
      <c r="J186" s="2"/>
    </row>
    <row r="187" spans="1:10">
      <c r="A187" s="12"/>
      <c r="B187" s="2"/>
      <c r="C187" s="2"/>
      <c r="D187" s="2"/>
      <c r="E187" s="5"/>
      <c r="F187" s="2"/>
      <c r="G187" s="2"/>
      <c r="H187" s="2"/>
      <c r="I187" s="2"/>
      <c r="J187" s="2"/>
    </row>
    <row r="188" spans="1:10">
      <c r="A188" s="12"/>
      <c r="B188" s="2"/>
      <c r="C188" s="2"/>
      <c r="D188" s="2"/>
      <c r="E188" s="5"/>
      <c r="F188" s="2"/>
      <c r="G188" s="2"/>
      <c r="H188" s="2"/>
      <c r="I188" s="2"/>
      <c r="J188" s="2"/>
    </row>
    <row r="189" spans="1:10">
      <c r="A189" s="12"/>
      <c r="B189" s="2"/>
      <c r="C189" s="2"/>
      <c r="D189" s="2"/>
      <c r="E189" s="5"/>
      <c r="F189" s="2"/>
      <c r="G189" s="2"/>
      <c r="H189" s="2"/>
      <c r="I189" s="2"/>
      <c r="J189" s="2"/>
    </row>
    <row r="190" spans="1:10">
      <c r="A190" s="12"/>
      <c r="B190" s="2"/>
      <c r="C190" s="2"/>
      <c r="D190" s="2"/>
      <c r="E190" s="5"/>
      <c r="F190" s="2"/>
      <c r="G190" s="2"/>
      <c r="H190" s="2"/>
      <c r="I190" s="2"/>
      <c r="J190" s="2"/>
    </row>
    <row r="191" spans="1:10">
      <c r="A191" s="12"/>
      <c r="B191" s="2"/>
      <c r="C191" s="2"/>
      <c r="D191" s="2"/>
      <c r="E191" s="5"/>
      <c r="F191" s="2"/>
      <c r="G191" s="2"/>
      <c r="H191" s="2"/>
      <c r="I191" s="2"/>
      <c r="J191" s="2"/>
    </row>
    <row r="192" spans="1:10">
      <c r="A192" s="12"/>
      <c r="B192" s="2"/>
      <c r="C192" s="2"/>
      <c r="D192" s="2"/>
      <c r="E192" s="5"/>
      <c r="F192" s="2"/>
      <c r="G192" s="2"/>
      <c r="H192" s="2"/>
      <c r="I192" s="2"/>
      <c r="J192" s="2"/>
    </row>
    <row r="193" spans="1:10">
      <c r="A193" s="12"/>
      <c r="B193" s="2"/>
      <c r="C193" s="2"/>
      <c r="D193" s="2"/>
      <c r="E193" s="5"/>
      <c r="F193" s="2"/>
      <c r="G193" s="2"/>
      <c r="H193" s="2"/>
      <c r="I193" s="2"/>
      <c r="J193" s="2"/>
    </row>
    <row r="194" spans="1:10">
      <c r="A194" s="12"/>
      <c r="B194" s="2"/>
      <c r="C194" s="2"/>
      <c r="D194" s="2"/>
      <c r="E194" s="5"/>
      <c r="F194" s="2"/>
      <c r="G194" s="2"/>
      <c r="H194" s="2"/>
      <c r="I194" s="2"/>
      <c r="J194" s="2"/>
    </row>
    <row r="195" spans="1:10">
      <c r="A195" s="12"/>
      <c r="B195" s="2"/>
      <c r="C195" s="2"/>
      <c r="D195" s="2"/>
      <c r="E195" s="5"/>
      <c r="F195" s="2"/>
      <c r="G195" s="2"/>
      <c r="H195" s="2"/>
      <c r="I195" s="2"/>
      <c r="J195" s="2"/>
    </row>
    <row r="196" spans="1:10">
      <c r="A196" s="12"/>
      <c r="B196" s="2"/>
      <c r="C196" s="2"/>
      <c r="D196" s="2"/>
      <c r="E196" s="5"/>
      <c r="F196" s="2"/>
      <c r="G196" s="2"/>
      <c r="H196" s="2"/>
      <c r="I196" s="2"/>
      <c r="J196" s="2"/>
    </row>
    <row r="197" spans="1:10">
      <c r="A197" s="12"/>
      <c r="B197" s="2"/>
      <c r="C197" s="2"/>
      <c r="D197" s="2"/>
      <c r="E197" s="5"/>
      <c r="F197" s="2"/>
      <c r="G197" s="2"/>
      <c r="H197" s="2"/>
      <c r="I197" s="2"/>
      <c r="J197" s="2"/>
    </row>
    <row r="198" spans="1:10">
      <c r="A198" s="12"/>
      <c r="B198" s="2"/>
      <c r="C198" s="2"/>
      <c r="D198" s="2"/>
      <c r="E198" s="5"/>
      <c r="F198" s="2"/>
      <c r="G198" s="2"/>
      <c r="H198" s="2"/>
      <c r="I198" s="2"/>
      <c r="J198" s="2"/>
    </row>
    <row r="199" spans="1:10">
      <c r="A199" s="12"/>
      <c r="B199" s="2"/>
      <c r="C199" s="2"/>
      <c r="D199" s="2"/>
      <c r="E199" s="5"/>
      <c r="F199" s="2"/>
      <c r="G199" s="2"/>
      <c r="H199" s="2"/>
      <c r="I199" s="2"/>
      <c r="J199" s="2"/>
    </row>
    <row r="200" spans="1:10">
      <c r="A200" s="12"/>
      <c r="B200" s="2"/>
      <c r="C200" s="2"/>
      <c r="D200" s="2"/>
      <c r="E200" s="5"/>
      <c r="F200" s="2"/>
      <c r="G200" s="2"/>
      <c r="H200" s="2"/>
      <c r="I200" s="2"/>
      <c r="J200" s="2"/>
    </row>
    <row r="201" spans="1:10">
      <c r="A201" s="10"/>
    </row>
    <row r="202" spans="1:10">
      <c r="A202" s="10"/>
    </row>
    <row r="203" spans="1:10">
      <c r="A203" s="10"/>
    </row>
    <row r="204" spans="1:10">
      <c r="A204" s="10"/>
    </row>
    <row r="205" spans="1:10">
      <c r="A205" s="10"/>
    </row>
    <row r="206" spans="1:10">
      <c r="A206" s="10"/>
    </row>
    <row r="207" spans="1:10">
      <c r="A207" s="10"/>
    </row>
    <row r="208" spans="1:10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10"/>
    </row>
    <row r="255" spans="1:1">
      <c r="A255" s="10"/>
    </row>
    <row r="256" spans="1:1">
      <c r="A256" s="10"/>
    </row>
    <row r="257" spans="1:1">
      <c r="A257" s="10"/>
    </row>
    <row r="258" spans="1:1">
      <c r="A258" s="10"/>
    </row>
    <row r="259" spans="1:1">
      <c r="A259" s="10"/>
    </row>
    <row r="260" spans="1:1">
      <c r="A260" s="10"/>
    </row>
    <row r="261" spans="1:1">
      <c r="A261" s="10"/>
    </row>
    <row r="262" spans="1:1">
      <c r="A262" s="10"/>
    </row>
    <row r="263" spans="1:1">
      <c r="A263" s="10"/>
    </row>
    <row r="264" spans="1:1">
      <c r="A264" s="10"/>
    </row>
    <row r="265" spans="1:1">
      <c r="A265" s="10"/>
    </row>
    <row r="266" spans="1:1">
      <c r="A266" s="10"/>
    </row>
    <row r="267" spans="1:1">
      <c r="A267" s="10"/>
    </row>
    <row r="268" spans="1:1">
      <c r="A268" s="10"/>
    </row>
    <row r="269" spans="1:1">
      <c r="A269" s="10"/>
    </row>
    <row r="270" spans="1:1">
      <c r="A270" s="10"/>
    </row>
    <row r="271" spans="1:1">
      <c r="A271" s="10"/>
    </row>
    <row r="272" spans="1:1">
      <c r="A272" s="10"/>
    </row>
    <row r="273" spans="1:1">
      <c r="A273" s="10"/>
    </row>
    <row r="274" spans="1:1">
      <c r="A274" s="10"/>
    </row>
    <row r="275" spans="1:1">
      <c r="A275" s="10"/>
    </row>
    <row r="276" spans="1:1">
      <c r="A276" s="10"/>
    </row>
    <row r="277" spans="1:1">
      <c r="A277" s="10"/>
    </row>
    <row r="278" spans="1:1">
      <c r="A278" s="10"/>
    </row>
    <row r="279" spans="1:1">
      <c r="A279" s="10"/>
    </row>
    <row r="280" spans="1:1">
      <c r="A280" s="10"/>
    </row>
    <row r="281" spans="1:1">
      <c r="A281" s="10"/>
    </row>
    <row r="282" spans="1:1">
      <c r="A282" s="10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  <row r="390" spans="1:1">
      <c r="A390" s="10"/>
    </row>
    <row r="391" spans="1:1">
      <c r="A391" s="10"/>
    </row>
    <row r="392" spans="1:1">
      <c r="A392" s="10"/>
    </row>
    <row r="393" spans="1:1">
      <c r="A393" s="10"/>
    </row>
    <row r="394" spans="1:1">
      <c r="A394" s="10"/>
    </row>
    <row r="395" spans="1:1">
      <c r="A395" s="10"/>
    </row>
    <row r="396" spans="1:1">
      <c r="A396" s="10"/>
    </row>
    <row r="397" spans="1:1">
      <c r="A397" s="10"/>
    </row>
    <row r="398" spans="1:1">
      <c r="A398" s="10"/>
    </row>
    <row r="399" spans="1:1">
      <c r="A399" s="10"/>
    </row>
    <row r="400" spans="1:1">
      <c r="A400" s="10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10"/>
    </row>
    <row r="410" spans="1:1">
      <c r="A410" s="10"/>
    </row>
    <row r="411" spans="1:1">
      <c r="A411" s="10"/>
    </row>
    <row r="412" spans="1:1">
      <c r="A412" s="10"/>
    </row>
    <row r="413" spans="1:1">
      <c r="A413" s="10"/>
    </row>
    <row r="414" spans="1:1">
      <c r="A414" s="10"/>
    </row>
    <row r="415" spans="1:1">
      <c r="A415" s="10"/>
    </row>
    <row r="416" spans="1:1">
      <c r="A416" s="10"/>
    </row>
    <row r="417" spans="1:1">
      <c r="A417" s="10"/>
    </row>
    <row r="418" spans="1:1">
      <c r="A418" s="10"/>
    </row>
    <row r="419" spans="1:1">
      <c r="A419" s="10"/>
    </row>
    <row r="420" spans="1:1">
      <c r="A420" s="10"/>
    </row>
    <row r="421" spans="1:1">
      <c r="A421" s="10"/>
    </row>
    <row r="422" spans="1:1">
      <c r="A422" s="10"/>
    </row>
    <row r="423" spans="1:1">
      <c r="A423" s="10"/>
    </row>
    <row r="424" spans="1:1">
      <c r="A424" s="10"/>
    </row>
    <row r="425" spans="1:1">
      <c r="A425" s="10"/>
    </row>
    <row r="426" spans="1:1">
      <c r="A426" s="10"/>
    </row>
    <row r="427" spans="1:1">
      <c r="A427" s="10"/>
    </row>
    <row r="428" spans="1:1">
      <c r="A428" s="10"/>
    </row>
    <row r="429" spans="1:1">
      <c r="A429" s="10"/>
    </row>
    <row r="430" spans="1:1">
      <c r="A430" s="10"/>
    </row>
    <row r="431" spans="1:1">
      <c r="A431" s="10"/>
    </row>
    <row r="432" spans="1:1">
      <c r="A432" s="10"/>
    </row>
    <row r="433" spans="1:1">
      <c r="A433" s="10"/>
    </row>
    <row r="434" spans="1:1">
      <c r="A434" s="10"/>
    </row>
    <row r="435" spans="1:1">
      <c r="A435" s="10"/>
    </row>
    <row r="436" spans="1:1">
      <c r="A436" s="10"/>
    </row>
    <row r="437" spans="1:1">
      <c r="A437" s="10"/>
    </row>
    <row r="438" spans="1:1">
      <c r="A438" s="10"/>
    </row>
    <row r="439" spans="1:1">
      <c r="A439" s="10"/>
    </row>
    <row r="440" spans="1:1">
      <c r="A440" s="10"/>
    </row>
    <row r="441" spans="1:1">
      <c r="A441" s="10"/>
    </row>
    <row r="442" spans="1:1">
      <c r="A442" s="10"/>
    </row>
    <row r="443" spans="1:1">
      <c r="A443" s="10"/>
    </row>
    <row r="444" spans="1:1">
      <c r="A444" s="10"/>
    </row>
    <row r="445" spans="1:1">
      <c r="A445" s="10"/>
    </row>
    <row r="446" spans="1:1">
      <c r="A446" s="10"/>
    </row>
    <row r="447" spans="1:1">
      <c r="A447" s="10"/>
    </row>
    <row r="448" spans="1:1">
      <c r="A448" s="10"/>
    </row>
    <row r="449" spans="1:1">
      <c r="A449" s="10"/>
    </row>
    <row r="450" spans="1:1">
      <c r="A450" s="10"/>
    </row>
    <row r="451" spans="1:1">
      <c r="A451" s="10"/>
    </row>
    <row r="452" spans="1:1">
      <c r="A452" s="10"/>
    </row>
    <row r="453" spans="1:1">
      <c r="A453" s="10"/>
    </row>
    <row r="454" spans="1:1">
      <c r="A454" s="10"/>
    </row>
    <row r="455" spans="1:1">
      <c r="A455" s="10"/>
    </row>
    <row r="456" spans="1:1">
      <c r="A456" s="10"/>
    </row>
    <row r="457" spans="1:1">
      <c r="A457" s="10"/>
    </row>
    <row r="458" spans="1:1">
      <c r="A458" s="10"/>
    </row>
    <row r="459" spans="1:1">
      <c r="A459" s="10"/>
    </row>
    <row r="460" spans="1:1">
      <c r="A460" s="10"/>
    </row>
    <row r="461" spans="1:1">
      <c r="A461" s="10"/>
    </row>
    <row r="462" spans="1:1">
      <c r="A462" s="10"/>
    </row>
    <row r="463" spans="1:1">
      <c r="A463" s="10"/>
    </row>
    <row r="464" spans="1:1">
      <c r="A464" s="10"/>
    </row>
    <row r="465" spans="1:1">
      <c r="A465" s="10"/>
    </row>
    <row r="466" spans="1:1">
      <c r="A466" s="10"/>
    </row>
    <row r="467" spans="1:1">
      <c r="A467" s="10"/>
    </row>
    <row r="468" spans="1:1">
      <c r="A468" s="10"/>
    </row>
    <row r="469" spans="1:1">
      <c r="A469" s="10"/>
    </row>
    <row r="470" spans="1:1">
      <c r="A470" s="10"/>
    </row>
    <row r="471" spans="1:1">
      <c r="A471" s="10"/>
    </row>
    <row r="472" spans="1:1">
      <c r="A472" s="10"/>
    </row>
    <row r="473" spans="1:1">
      <c r="A473" s="10"/>
    </row>
    <row r="474" spans="1:1">
      <c r="A474" s="10"/>
    </row>
    <row r="475" spans="1:1">
      <c r="A475" s="10"/>
    </row>
    <row r="476" spans="1:1">
      <c r="A476" s="10"/>
    </row>
    <row r="477" spans="1:1">
      <c r="A477" s="10"/>
    </row>
    <row r="478" spans="1:1">
      <c r="A478" s="10"/>
    </row>
    <row r="479" spans="1:1">
      <c r="A479" s="10"/>
    </row>
    <row r="480" spans="1:1">
      <c r="A480" s="10"/>
    </row>
    <row r="481" spans="1:1">
      <c r="A481" s="10"/>
    </row>
    <row r="482" spans="1:1">
      <c r="A482" s="10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</sheetData>
  <mergeCells count="1">
    <mergeCell ref="A1:J1"/>
  </mergeCells>
  <conditionalFormatting sqref="A4:J75">
    <cfRule type="expression" dxfId="38" priority="4">
      <formula>MOD(ROW(),2)=0</formula>
    </cfRule>
  </conditionalFormatting>
  <conditionalFormatting sqref="D4:D200">
    <cfRule type="expression" dxfId="37" priority="1">
      <formula>D4="Sí"</formula>
    </cfRule>
    <cfRule type="expression" dxfId="36" priority="2">
      <formula>D4="No"</formula>
    </cfRule>
    <cfRule type="expression" dxfId="35" priority="3">
      <formula>D4="Por confirmar"</formula>
    </cfRule>
  </conditionalFormatting>
  <dataValidations count="2">
    <dataValidation type="list" sqref="I4:I200" xr:uid="{00000000-0002-0000-0400-000000000000}">
      <formula1>"Pendiente,Completo,Observado,Rechazado"</formula1>
    </dataValidation>
    <dataValidation type="list" sqref="D4:D75" xr:uid="{00000000-0002-0000-0400-000001000000}">
      <formula1>"Sí,No,Por confirmar"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0"/>
  <sheetViews>
    <sheetView workbookViewId="0">
      <selection sqref="A1:H1"/>
    </sheetView>
  </sheetViews>
  <sheetFormatPr baseColWidth="10" defaultColWidth="8.6640625" defaultRowHeight="14"/>
  <cols>
    <col min="1" max="1" width="8.75" customWidth="1"/>
    <col min="2" max="2" width="23.4140625" customWidth="1"/>
    <col min="3" max="3" width="9.08203125" customWidth="1"/>
    <col min="4" max="4" width="9.83203125" customWidth="1"/>
    <col min="5" max="5" width="6.1640625" customWidth="1"/>
    <col min="6" max="6" width="8.75" customWidth="1"/>
    <col min="7" max="7" width="12.08203125" customWidth="1"/>
    <col min="8" max="8" width="12.25" customWidth="1"/>
  </cols>
  <sheetData>
    <row r="1" spans="1:8" ht="15.15" customHeight="1">
      <c r="A1" s="43" t="s">
        <v>199</v>
      </c>
      <c r="B1" s="41"/>
      <c r="C1" s="41"/>
      <c r="D1" s="41"/>
      <c r="E1" s="41"/>
      <c r="F1" s="41"/>
      <c r="G1" s="41"/>
      <c r="H1" s="41"/>
    </row>
    <row r="2" spans="1:8">
      <c r="A2" s="10"/>
    </row>
    <row r="3" spans="1:8" ht="13.4" customHeight="1">
      <c r="A3" s="11" t="s">
        <v>200</v>
      </c>
      <c r="B3" s="1" t="s">
        <v>201</v>
      </c>
      <c r="C3" s="1" t="s">
        <v>159</v>
      </c>
      <c r="D3" s="1" t="s">
        <v>160</v>
      </c>
      <c r="E3" s="1" t="s">
        <v>165</v>
      </c>
      <c r="F3" s="1" t="s">
        <v>202</v>
      </c>
      <c r="G3" s="1" t="s">
        <v>203</v>
      </c>
      <c r="H3" s="1" t="s">
        <v>198</v>
      </c>
    </row>
    <row r="4" spans="1:8">
      <c r="A4" s="12" t="s">
        <v>204</v>
      </c>
      <c r="B4" s="2" t="s">
        <v>205</v>
      </c>
      <c r="C4" s="2" t="s">
        <v>167</v>
      </c>
      <c r="D4" s="2" t="s">
        <v>168</v>
      </c>
      <c r="E4" s="2" t="s">
        <v>93</v>
      </c>
      <c r="F4" s="2"/>
      <c r="G4" s="2"/>
      <c r="H4" s="2"/>
    </row>
    <row r="5" spans="1:8">
      <c r="A5" s="12" t="s">
        <v>206</v>
      </c>
      <c r="B5" s="2" t="s">
        <v>207</v>
      </c>
      <c r="C5" s="2" t="s">
        <v>167</v>
      </c>
      <c r="D5" s="2" t="s">
        <v>168</v>
      </c>
      <c r="E5" s="2" t="s">
        <v>93</v>
      </c>
      <c r="F5" s="2"/>
      <c r="G5" s="2"/>
      <c r="H5" s="2"/>
    </row>
    <row r="6" spans="1:8">
      <c r="A6" s="12" t="s">
        <v>208</v>
      </c>
      <c r="B6" s="2" t="s">
        <v>171</v>
      </c>
      <c r="C6" s="2" t="s">
        <v>167</v>
      </c>
      <c r="D6" s="2" t="s">
        <v>168</v>
      </c>
      <c r="E6" s="2" t="s">
        <v>93</v>
      </c>
      <c r="F6" s="2"/>
      <c r="G6" s="2"/>
      <c r="H6" s="2"/>
    </row>
    <row r="7" spans="1:8">
      <c r="A7" s="12" t="s">
        <v>209</v>
      </c>
      <c r="B7" s="2" t="s">
        <v>210</v>
      </c>
      <c r="C7" s="2" t="s">
        <v>167</v>
      </c>
      <c r="D7" s="2" t="s">
        <v>168</v>
      </c>
      <c r="E7" s="2" t="s">
        <v>93</v>
      </c>
      <c r="F7" s="2"/>
      <c r="G7" s="2"/>
      <c r="H7" s="2"/>
    </row>
    <row r="8" spans="1:8">
      <c r="A8" s="12"/>
      <c r="B8" s="2"/>
      <c r="C8" s="2"/>
      <c r="D8" s="2"/>
      <c r="E8" s="2"/>
      <c r="F8" s="2"/>
      <c r="G8" s="2"/>
      <c r="H8" s="2"/>
    </row>
    <row r="9" spans="1:8">
      <c r="A9" s="12"/>
      <c r="B9" s="2"/>
      <c r="C9" s="2"/>
      <c r="D9" s="2"/>
      <c r="E9" s="2"/>
      <c r="F9" s="2"/>
      <c r="G9" s="2"/>
      <c r="H9" s="2"/>
    </row>
    <row r="10" spans="1:8">
      <c r="A10" s="12"/>
      <c r="B10" s="2"/>
      <c r="C10" s="2"/>
      <c r="D10" s="2"/>
      <c r="E10" s="2"/>
      <c r="F10" s="2"/>
      <c r="G10" s="2"/>
      <c r="H10" s="2"/>
    </row>
    <row r="11" spans="1:8">
      <c r="A11" s="12"/>
      <c r="B11" s="2"/>
      <c r="C11" s="2"/>
      <c r="D11" s="2"/>
      <c r="E11" s="2"/>
      <c r="F11" s="2"/>
      <c r="G11" s="2"/>
      <c r="H11" s="2"/>
    </row>
    <row r="12" spans="1:8">
      <c r="A12" s="12"/>
      <c r="B12" s="2"/>
      <c r="C12" s="2"/>
      <c r="D12" s="2"/>
      <c r="E12" s="2"/>
      <c r="F12" s="2"/>
      <c r="G12" s="2"/>
      <c r="H12" s="2"/>
    </row>
    <row r="13" spans="1:8">
      <c r="A13" s="12"/>
      <c r="B13" s="2"/>
      <c r="C13" s="2"/>
      <c r="D13" s="2"/>
      <c r="E13" s="2"/>
      <c r="F13" s="2"/>
      <c r="G13" s="2"/>
      <c r="H13" s="2"/>
    </row>
    <row r="14" spans="1:8">
      <c r="A14" s="12"/>
      <c r="B14" s="2"/>
      <c r="C14" s="2"/>
      <c r="D14" s="2"/>
      <c r="E14" s="2"/>
      <c r="F14" s="2"/>
      <c r="G14" s="2"/>
      <c r="H14" s="2"/>
    </row>
    <row r="15" spans="1:8">
      <c r="A15" s="12"/>
      <c r="B15" s="2"/>
      <c r="C15" s="2"/>
      <c r="D15" s="2"/>
      <c r="E15" s="2"/>
      <c r="F15" s="2"/>
      <c r="G15" s="2"/>
      <c r="H15" s="2"/>
    </row>
    <row r="16" spans="1:8">
      <c r="A16" s="12"/>
      <c r="B16" s="2"/>
      <c r="C16" s="2"/>
      <c r="D16" s="2"/>
      <c r="E16" s="2"/>
      <c r="F16" s="2"/>
      <c r="G16" s="2"/>
      <c r="H16" s="2"/>
    </row>
    <row r="17" spans="1:8">
      <c r="A17" s="12"/>
      <c r="B17" s="2"/>
      <c r="C17" s="2"/>
      <c r="D17" s="2"/>
      <c r="E17" s="2"/>
      <c r="F17" s="2"/>
      <c r="G17" s="2"/>
      <c r="H17" s="2"/>
    </row>
    <row r="18" spans="1:8">
      <c r="A18" s="12"/>
      <c r="B18" s="2"/>
      <c r="C18" s="2"/>
      <c r="D18" s="2"/>
      <c r="E18" s="2"/>
      <c r="F18" s="2"/>
      <c r="G18" s="2"/>
      <c r="H18" s="2"/>
    </row>
    <row r="19" spans="1:8">
      <c r="A19" s="12"/>
      <c r="B19" s="2"/>
      <c r="C19" s="2"/>
      <c r="D19" s="2"/>
      <c r="E19" s="2"/>
      <c r="F19" s="2"/>
      <c r="G19" s="2"/>
      <c r="H19" s="2"/>
    </row>
    <row r="20" spans="1:8">
      <c r="A20" s="12"/>
      <c r="B20" s="2"/>
      <c r="C20" s="2"/>
      <c r="D20" s="2"/>
      <c r="E20" s="2"/>
      <c r="F20" s="2"/>
      <c r="G20" s="2"/>
      <c r="H20" s="2"/>
    </row>
    <row r="21" spans="1:8">
      <c r="A21" s="12"/>
      <c r="B21" s="2"/>
      <c r="C21" s="2"/>
      <c r="D21" s="2"/>
      <c r="E21" s="2"/>
      <c r="F21" s="2"/>
      <c r="G21" s="2"/>
      <c r="H21" s="2"/>
    </row>
    <row r="22" spans="1:8">
      <c r="A22" s="12"/>
      <c r="B22" s="2"/>
      <c r="C22" s="2"/>
      <c r="D22" s="2"/>
      <c r="E22" s="2"/>
      <c r="F22" s="2"/>
      <c r="G22" s="2"/>
      <c r="H22" s="2"/>
    </row>
    <row r="23" spans="1:8">
      <c r="A23" s="12"/>
      <c r="B23" s="2"/>
      <c r="C23" s="2"/>
      <c r="D23" s="2"/>
      <c r="E23" s="2"/>
      <c r="F23" s="2"/>
      <c r="G23" s="2"/>
      <c r="H23" s="2"/>
    </row>
    <row r="24" spans="1:8">
      <c r="A24" s="12"/>
      <c r="B24" s="2"/>
      <c r="C24" s="2"/>
      <c r="D24" s="2"/>
      <c r="E24" s="2"/>
      <c r="F24" s="2"/>
      <c r="G24" s="2"/>
      <c r="H24" s="2"/>
    </row>
    <row r="25" spans="1:8">
      <c r="A25" s="12"/>
      <c r="B25" s="2"/>
      <c r="C25" s="2"/>
      <c r="D25" s="2"/>
      <c r="E25" s="2"/>
      <c r="F25" s="2"/>
      <c r="G25" s="2"/>
      <c r="H25" s="2"/>
    </row>
    <row r="26" spans="1:8">
      <c r="A26" s="12"/>
      <c r="B26" s="2"/>
      <c r="C26" s="2"/>
      <c r="D26" s="2"/>
      <c r="E26" s="2"/>
      <c r="F26" s="2"/>
      <c r="G26" s="2"/>
      <c r="H26" s="2"/>
    </row>
    <row r="27" spans="1:8">
      <c r="A27" s="12"/>
      <c r="B27" s="2"/>
      <c r="C27" s="2"/>
      <c r="D27" s="2"/>
      <c r="E27" s="2"/>
      <c r="F27" s="2"/>
      <c r="G27" s="2"/>
      <c r="H27" s="2"/>
    </row>
    <row r="28" spans="1:8">
      <c r="A28" s="12"/>
      <c r="B28" s="2"/>
      <c r="C28" s="2"/>
      <c r="D28" s="2"/>
      <c r="E28" s="2"/>
      <c r="F28" s="2"/>
      <c r="G28" s="2"/>
      <c r="H28" s="2"/>
    </row>
    <row r="29" spans="1:8">
      <c r="A29" s="12"/>
      <c r="B29" s="2"/>
      <c r="C29" s="2"/>
      <c r="D29" s="2"/>
      <c r="E29" s="2"/>
      <c r="F29" s="2"/>
      <c r="G29" s="2"/>
      <c r="H29" s="2"/>
    </row>
    <row r="30" spans="1:8">
      <c r="A30" s="12"/>
      <c r="B30" s="2"/>
      <c r="C30" s="2"/>
      <c r="D30" s="2"/>
      <c r="E30" s="2"/>
      <c r="F30" s="2"/>
      <c r="G30" s="2"/>
      <c r="H30" s="2"/>
    </row>
    <row r="31" spans="1:8">
      <c r="A31" s="12"/>
      <c r="B31" s="2"/>
      <c r="C31" s="2"/>
      <c r="D31" s="2"/>
      <c r="E31" s="2"/>
      <c r="F31" s="2"/>
      <c r="G31" s="2"/>
      <c r="H31" s="2"/>
    </row>
    <row r="32" spans="1:8">
      <c r="A32" s="12"/>
      <c r="B32" s="2"/>
      <c r="C32" s="2"/>
      <c r="D32" s="2"/>
      <c r="E32" s="2"/>
      <c r="F32" s="2"/>
      <c r="G32" s="2"/>
      <c r="H32" s="2"/>
    </row>
    <row r="33" spans="1:8">
      <c r="A33" s="12"/>
      <c r="B33" s="2"/>
      <c r="C33" s="2"/>
      <c r="D33" s="2"/>
      <c r="E33" s="2"/>
      <c r="F33" s="2"/>
      <c r="G33" s="2"/>
      <c r="H33" s="2"/>
    </row>
    <row r="34" spans="1:8">
      <c r="A34" s="12"/>
      <c r="B34" s="2"/>
      <c r="C34" s="2"/>
      <c r="D34" s="2"/>
      <c r="E34" s="2"/>
      <c r="F34" s="2"/>
      <c r="G34" s="2"/>
      <c r="H34" s="2"/>
    </row>
    <row r="35" spans="1:8">
      <c r="A35" s="12"/>
      <c r="B35" s="2"/>
      <c r="C35" s="2"/>
      <c r="D35" s="2"/>
      <c r="E35" s="2"/>
      <c r="F35" s="2"/>
      <c r="G35" s="2"/>
      <c r="H35" s="2"/>
    </row>
    <row r="36" spans="1:8">
      <c r="A36" s="12"/>
      <c r="B36" s="2"/>
      <c r="C36" s="2"/>
      <c r="D36" s="2"/>
      <c r="E36" s="2"/>
      <c r="F36" s="2"/>
      <c r="G36" s="2"/>
      <c r="H36" s="2"/>
    </row>
    <row r="37" spans="1:8">
      <c r="A37" s="12"/>
      <c r="B37" s="2"/>
      <c r="C37" s="2"/>
      <c r="D37" s="2"/>
      <c r="E37" s="2"/>
      <c r="F37" s="2"/>
      <c r="G37" s="2"/>
      <c r="H37" s="2"/>
    </row>
    <row r="38" spans="1:8">
      <c r="A38" s="12"/>
      <c r="B38" s="2"/>
      <c r="C38" s="2"/>
      <c r="D38" s="2"/>
      <c r="E38" s="2"/>
      <c r="F38" s="2"/>
      <c r="G38" s="2"/>
      <c r="H38" s="2"/>
    </row>
    <row r="39" spans="1:8">
      <c r="A39" s="12"/>
      <c r="B39" s="2"/>
      <c r="C39" s="2"/>
      <c r="D39" s="2"/>
      <c r="E39" s="2"/>
      <c r="F39" s="2"/>
      <c r="G39" s="2"/>
      <c r="H39" s="2"/>
    </row>
    <row r="40" spans="1:8">
      <c r="A40" s="12"/>
      <c r="B40" s="2"/>
      <c r="C40" s="2"/>
      <c r="D40" s="2"/>
      <c r="E40" s="2"/>
      <c r="F40" s="2"/>
      <c r="G40" s="2"/>
      <c r="H40" s="2"/>
    </row>
    <row r="41" spans="1:8">
      <c r="A41" s="12"/>
      <c r="B41" s="2"/>
      <c r="C41" s="2"/>
      <c r="D41" s="2"/>
      <c r="E41" s="2"/>
      <c r="F41" s="2"/>
      <c r="G41" s="2"/>
      <c r="H41" s="2"/>
    </row>
    <row r="42" spans="1:8">
      <c r="A42" s="12"/>
      <c r="B42" s="2"/>
      <c r="C42" s="2"/>
      <c r="D42" s="2"/>
      <c r="E42" s="2"/>
      <c r="F42" s="2"/>
      <c r="G42" s="2"/>
      <c r="H42" s="2"/>
    </row>
    <row r="43" spans="1:8">
      <c r="A43" s="12"/>
      <c r="B43" s="2"/>
      <c r="C43" s="2"/>
      <c r="D43" s="2"/>
      <c r="E43" s="2"/>
      <c r="F43" s="2"/>
      <c r="G43" s="2"/>
      <c r="H43" s="2"/>
    </row>
    <row r="44" spans="1:8">
      <c r="A44" s="12"/>
      <c r="B44" s="2"/>
      <c r="C44" s="2"/>
      <c r="D44" s="2"/>
      <c r="E44" s="2"/>
      <c r="F44" s="2"/>
      <c r="G44" s="2"/>
      <c r="H44" s="2"/>
    </row>
    <row r="45" spans="1:8">
      <c r="A45" s="12"/>
      <c r="B45" s="2"/>
      <c r="C45" s="2"/>
      <c r="D45" s="2"/>
      <c r="E45" s="2"/>
      <c r="F45" s="2"/>
      <c r="G45" s="2"/>
      <c r="H45" s="2"/>
    </row>
    <row r="46" spans="1:8">
      <c r="A46" s="12"/>
      <c r="B46" s="2"/>
      <c r="C46" s="2"/>
      <c r="D46" s="2"/>
      <c r="E46" s="2"/>
      <c r="F46" s="2"/>
      <c r="G46" s="2"/>
      <c r="H46" s="2"/>
    </row>
    <row r="47" spans="1:8">
      <c r="A47" s="12"/>
      <c r="B47" s="2"/>
      <c r="C47" s="2"/>
      <c r="D47" s="2"/>
      <c r="E47" s="2"/>
      <c r="F47" s="2"/>
      <c r="G47" s="2"/>
      <c r="H47" s="2"/>
    </row>
    <row r="48" spans="1:8">
      <c r="A48" s="12"/>
      <c r="B48" s="2"/>
      <c r="C48" s="2"/>
      <c r="D48" s="2"/>
      <c r="E48" s="2"/>
      <c r="F48" s="2"/>
      <c r="G48" s="2"/>
      <c r="H48" s="2"/>
    </row>
    <row r="49" spans="1:8">
      <c r="A49" s="12"/>
      <c r="B49" s="2"/>
      <c r="C49" s="2"/>
      <c r="D49" s="2"/>
      <c r="E49" s="2"/>
      <c r="F49" s="2"/>
      <c r="G49" s="2"/>
      <c r="H49" s="2"/>
    </row>
    <row r="50" spans="1:8">
      <c r="A50" s="12"/>
      <c r="B50" s="2"/>
      <c r="C50" s="2"/>
      <c r="D50" s="2"/>
      <c r="E50" s="2"/>
      <c r="F50" s="2"/>
      <c r="G50" s="2"/>
      <c r="H50" s="2"/>
    </row>
    <row r="51" spans="1:8">
      <c r="A51" s="12"/>
      <c r="B51" s="2"/>
      <c r="C51" s="2"/>
      <c r="D51" s="2"/>
      <c r="E51" s="2"/>
      <c r="F51" s="2"/>
      <c r="G51" s="2"/>
      <c r="H51" s="2"/>
    </row>
    <row r="52" spans="1:8">
      <c r="A52" s="12"/>
      <c r="B52" s="2"/>
      <c r="C52" s="2"/>
      <c r="D52" s="2"/>
      <c r="E52" s="2"/>
      <c r="F52" s="2"/>
      <c r="G52" s="2"/>
      <c r="H52" s="2"/>
    </row>
    <row r="53" spans="1:8">
      <c r="A53" s="12"/>
      <c r="B53" s="2"/>
      <c r="C53" s="2"/>
      <c r="D53" s="2"/>
      <c r="E53" s="2"/>
      <c r="F53" s="2"/>
      <c r="G53" s="2"/>
      <c r="H53" s="2"/>
    </row>
    <row r="54" spans="1:8">
      <c r="A54" s="12"/>
      <c r="B54" s="2"/>
      <c r="C54" s="2"/>
      <c r="D54" s="2"/>
      <c r="E54" s="2"/>
      <c r="F54" s="2"/>
      <c r="G54" s="2"/>
      <c r="H54" s="2"/>
    </row>
    <row r="55" spans="1:8">
      <c r="A55" s="12"/>
      <c r="B55" s="2"/>
      <c r="C55" s="2"/>
      <c r="D55" s="2"/>
      <c r="E55" s="2"/>
      <c r="F55" s="2"/>
      <c r="G55" s="2"/>
      <c r="H55" s="2"/>
    </row>
    <row r="56" spans="1:8">
      <c r="A56" s="12"/>
      <c r="B56" s="2"/>
      <c r="C56" s="2"/>
      <c r="D56" s="2"/>
      <c r="E56" s="2"/>
      <c r="F56" s="2"/>
      <c r="G56" s="2"/>
      <c r="H56" s="2"/>
    </row>
    <row r="57" spans="1:8">
      <c r="A57" s="12"/>
      <c r="B57" s="2"/>
      <c r="C57" s="2"/>
      <c r="D57" s="2"/>
      <c r="E57" s="2"/>
      <c r="F57" s="2"/>
      <c r="G57" s="2"/>
      <c r="H57" s="2"/>
    </row>
    <row r="58" spans="1:8">
      <c r="A58" s="12"/>
      <c r="B58" s="2"/>
      <c r="C58" s="2"/>
      <c r="D58" s="2"/>
      <c r="E58" s="2"/>
      <c r="F58" s="2"/>
      <c r="G58" s="2"/>
      <c r="H58" s="2"/>
    </row>
    <row r="59" spans="1:8">
      <c r="A59" s="12"/>
      <c r="B59" s="2"/>
      <c r="C59" s="2"/>
      <c r="D59" s="2"/>
      <c r="E59" s="2"/>
      <c r="F59" s="2"/>
      <c r="G59" s="2"/>
      <c r="H59" s="2"/>
    </row>
    <row r="60" spans="1:8">
      <c r="A60" s="12"/>
      <c r="B60" s="2"/>
      <c r="C60" s="2"/>
      <c r="D60" s="2"/>
      <c r="E60" s="2"/>
      <c r="F60" s="2"/>
      <c r="G60" s="2"/>
      <c r="H60" s="2"/>
    </row>
    <row r="61" spans="1:8">
      <c r="A61" s="12"/>
      <c r="B61" s="2"/>
      <c r="C61" s="2"/>
      <c r="D61" s="2"/>
      <c r="E61" s="2"/>
      <c r="F61" s="2"/>
      <c r="G61" s="2"/>
      <c r="H61" s="2"/>
    </row>
    <row r="62" spans="1:8">
      <c r="A62" s="12"/>
      <c r="B62" s="2"/>
      <c r="C62" s="2"/>
      <c r="D62" s="2"/>
      <c r="E62" s="2"/>
      <c r="F62" s="2"/>
      <c r="G62" s="2"/>
      <c r="H62" s="2"/>
    </row>
    <row r="63" spans="1:8">
      <c r="A63" s="12"/>
      <c r="B63" s="2"/>
      <c r="C63" s="2"/>
      <c r="D63" s="2"/>
      <c r="E63" s="2"/>
      <c r="F63" s="2"/>
      <c r="G63" s="2"/>
      <c r="H63" s="2"/>
    </row>
    <row r="64" spans="1:8">
      <c r="A64" s="12"/>
      <c r="B64" s="2"/>
      <c r="C64" s="2"/>
      <c r="D64" s="2"/>
      <c r="E64" s="2"/>
      <c r="F64" s="2"/>
      <c r="G64" s="2"/>
      <c r="H64" s="2"/>
    </row>
    <row r="65" spans="1:8">
      <c r="A65" s="12"/>
      <c r="B65" s="2"/>
      <c r="C65" s="2"/>
      <c r="D65" s="2"/>
      <c r="E65" s="2"/>
      <c r="F65" s="2"/>
      <c r="G65" s="2"/>
      <c r="H65" s="2"/>
    </row>
    <row r="66" spans="1:8">
      <c r="A66" s="12"/>
      <c r="B66" s="2"/>
      <c r="C66" s="2"/>
      <c r="D66" s="2"/>
      <c r="E66" s="2"/>
      <c r="F66" s="2"/>
      <c r="G66" s="2"/>
      <c r="H66" s="2"/>
    </row>
    <row r="67" spans="1:8">
      <c r="A67" s="12"/>
      <c r="B67" s="2"/>
      <c r="C67" s="2"/>
      <c r="D67" s="2"/>
      <c r="E67" s="2"/>
      <c r="F67" s="2"/>
      <c r="G67" s="2"/>
      <c r="H67" s="2"/>
    </row>
    <row r="68" spans="1:8">
      <c r="A68" s="12"/>
      <c r="B68" s="2"/>
      <c r="C68" s="2"/>
      <c r="D68" s="2"/>
      <c r="E68" s="2"/>
      <c r="F68" s="2"/>
      <c r="G68" s="2"/>
      <c r="H68" s="2"/>
    </row>
    <row r="69" spans="1:8">
      <c r="A69" s="12"/>
      <c r="B69" s="2"/>
      <c r="C69" s="2"/>
      <c r="D69" s="2"/>
      <c r="E69" s="2"/>
      <c r="F69" s="2"/>
      <c r="G69" s="2"/>
      <c r="H69" s="2"/>
    </row>
    <row r="70" spans="1:8">
      <c r="A70" s="12"/>
      <c r="B70" s="2"/>
      <c r="C70" s="2"/>
      <c r="D70" s="2"/>
      <c r="E70" s="2"/>
      <c r="F70" s="2"/>
      <c r="G70" s="2"/>
      <c r="H70" s="2"/>
    </row>
    <row r="71" spans="1:8">
      <c r="A71" s="12"/>
      <c r="B71" s="2"/>
      <c r="C71" s="2"/>
      <c r="D71" s="2"/>
      <c r="E71" s="2"/>
      <c r="F71" s="2"/>
      <c r="G71" s="2"/>
      <c r="H71" s="2"/>
    </row>
    <row r="72" spans="1:8">
      <c r="A72" s="12"/>
      <c r="B72" s="2"/>
      <c r="C72" s="2"/>
      <c r="D72" s="2"/>
      <c r="E72" s="2"/>
      <c r="F72" s="2"/>
      <c r="G72" s="2"/>
      <c r="H72" s="2"/>
    </row>
    <row r="73" spans="1:8">
      <c r="A73" s="12"/>
      <c r="B73" s="2"/>
      <c r="C73" s="2"/>
      <c r="D73" s="2"/>
      <c r="E73" s="2"/>
      <c r="F73" s="2"/>
      <c r="G73" s="2"/>
      <c r="H73" s="2"/>
    </row>
    <row r="74" spans="1:8">
      <c r="A74" s="12"/>
      <c r="B74" s="2"/>
      <c r="C74" s="2"/>
      <c r="D74" s="2"/>
      <c r="E74" s="2"/>
      <c r="F74" s="2"/>
      <c r="G74" s="2"/>
      <c r="H74" s="2"/>
    </row>
    <row r="75" spans="1:8">
      <c r="A75" s="12"/>
      <c r="B75" s="2"/>
      <c r="C75" s="2"/>
      <c r="D75" s="2"/>
      <c r="E75" s="2"/>
      <c r="F75" s="2"/>
      <c r="G75" s="2"/>
      <c r="H75" s="2"/>
    </row>
    <row r="76" spans="1:8">
      <c r="A76" s="12"/>
      <c r="B76" s="2"/>
      <c r="C76" s="2"/>
      <c r="D76" s="2"/>
      <c r="E76" s="2"/>
      <c r="F76" s="2"/>
      <c r="G76" s="2"/>
      <c r="H76" s="2"/>
    </row>
    <row r="77" spans="1:8">
      <c r="A77" s="12"/>
      <c r="B77" s="2"/>
      <c r="C77" s="2"/>
      <c r="D77" s="2"/>
      <c r="E77" s="2"/>
      <c r="F77" s="2"/>
      <c r="G77" s="2"/>
      <c r="H77" s="2"/>
    </row>
    <row r="78" spans="1:8">
      <c r="A78" s="12"/>
      <c r="B78" s="2"/>
      <c r="C78" s="2"/>
      <c r="D78" s="2"/>
      <c r="E78" s="2"/>
      <c r="F78" s="2"/>
      <c r="G78" s="2"/>
      <c r="H78" s="2"/>
    </row>
    <row r="79" spans="1:8">
      <c r="A79" s="12"/>
      <c r="B79" s="2"/>
      <c r="C79" s="2"/>
      <c r="D79" s="2"/>
      <c r="E79" s="2"/>
      <c r="F79" s="2"/>
      <c r="G79" s="2"/>
      <c r="H79" s="2"/>
    </row>
    <row r="80" spans="1:8">
      <c r="A80" s="12"/>
      <c r="B80" s="2"/>
      <c r="C80" s="2"/>
      <c r="D80" s="2"/>
      <c r="E80" s="2"/>
      <c r="F80" s="2"/>
      <c r="G80" s="2"/>
      <c r="H80" s="2"/>
    </row>
    <row r="81" spans="1:8">
      <c r="A81" s="12"/>
      <c r="B81" s="2"/>
      <c r="C81" s="2"/>
      <c r="D81" s="2"/>
      <c r="E81" s="2"/>
      <c r="F81" s="2"/>
      <c r="G81" s="2"/>
      <c r="H81" s="2"/>
    </row>
    <row r="82" spans="1:8">
      <c r="A82" s="12"/>
      <c r="B82" s="2"/>
      <c r="C82" s="2"/>
      <c r="D82" s="2"/>
      <c r="E82" s="2"/>
      <c r="F82" s="2"/>
      <c r="G82" s="2"/>
      <c r="H82" s="2"/>
    </row>
    <row r="83" spans="1:8">
      <c r="A83" s="12"/>
      <c r="B83" s="2"/>
      <c r="C83" s="2"/>
      <c r="D83" s="2"/>
      <c r="E83" s="2"/>
      <c r="F83" s="2"/>
      <c r="G83" s="2"/>
      <c r="H83" s="2"/>
    </row>
    <row r="84" spans="1:8">
      <c r="A84" s="12"/>
      <c r="B84" s="2"/>
      <c r="C84" s="2"/>
      <c r="D84" s="2"/>
      <c r="E84" s="2"/>
      <c r="F84" s="2"/>
      <c r="G84" s="2"/>
      <c r="H84" s="2"/>
    </row>
    <row r="85" spans="1:8">
      <c r="A85" s="12"/>
      <c r="B85" s="2"/>
      <c r="C85" s="2"/>
      <c r="D85" s="2"/>
      <c r="E85" s="2"/>
      <c r="F85" s="2"/>
      <c r="G85" s="2"/>
      <c r="H85" s="2"/>
    </row>
    <row r="86" spans="1:8">
      <c r="A86" s="12"/>
      <c r="B86" s="2"/>
      <c r="C86" s="2"/>
      <c r="D86" s="2"/>
      <c r="E86" s="2"/>
      <c r="F86" s="2"/>
      <c r="G86" s="2"/>
      <c r="H86" s="2"/>
    </row>
    <row r="87" spans="1:8">
      <c r="A87" s="12"/>
      <c r="B87" s="2"/>
      <c r="C87" s="2"/>
      <c r="D87" s="2"/>
      <c r="E87" s="2"/>
      <c r="F87" s="2"/>
      <c r="G87" s="2"/>
      <c r="H87" s="2"/>
    </row>
    <row r="88" spans="1:8">
      <c r="A88" s="12"/>
      <c r="B88" s="2"/>
      <c r="C88" s="2"/>
      <c r="D88" s="2"/>
      <c r="E88" s="2"/>
      <c r="F88" s="2"/>
      <c r="G88" s="2"/>
      <c r="H88" s="2"/>
    </row>
    <row r="89" spans="1:8">
      <c r="A89" s="12"/>
      <c r="B89" s="2"/>
      <c r="C89" s="2"/>
      <c r="D89" s="2"/>
      <c r="E89" s="2"/>
      <c r="F89" s="2"/>
      <c r="G89" s="2"/>
      <c r="H89" s="2"/>
    </row>
    <row r="90" spans="1:8">
      <c r="A90" s="12"/>
      <c r="B90" s="2"/>
      <c r="C90" s="2"/>
      <c r="D90" s="2"/>
      <c r="E90" s="2"/>
      <c r="F90" s="2"/>
      <c r="G90" s="2"/>
      <c r="H90" s="2"/>
    </row>
    <row r="91" spans="1:8">
      <c r="A91" s="12"/>
      <c r="B91" s="2"/>
      <c r="C91" s="2"/>
      <c r="D91" s="2"/>
      <c r="E91" s="2"/>
      <c r="F91" s="2"/>
      <c r="G91" s="2"/>
      <c r="H91" s="2"/>
    </row>
    <row r="92" spans="1:8">
      <c r="A92" s="12"/>
      <c r="B92" s="2"/>
      <c r="C92" s="2"/>
      <c r="D92" s="2"/>
      <c r="E92" s="2"/>
      <c r="F92" s="2"/>
      <c r="G92" s="2"/>
      <c r="H92" s="2"/>
    </row>
    <row r="93" spans="1:8">
      <c r="A93" s="12"/>
      <c r="B93" s="2"/>
      <c r="C93" s="2"/>
      <c r="D93" s="2"/>
      <c r="E93" s="2"/>
      <c r="F93" s="2"/>
      <c r="G93" s="2"/>
      <c r="H93" s="2"/>
    </row>
    <row r="94" spans="1:8">
      <c r="A94" s="12"/>
      <c r="B94" s="2"/>
      <c r="C94" s="2"/>
      <c r="D94" s="2"/>
      <c r="E94" s="2"/>
      <c r="F94" s="2"/>
      <c r="G94" s="2"/>
      <c r="H94" s="2"/>
    </row>
    <row r="95" spans="1:8">
      <c r="A95" s="12"/>
      <c r="B95" s="2"/>
      <c r="C95" s="2"/>
      <c r="D95" s="2"/>
      <c r="E95" s="2"/>
      <c r="F95" s="2"/>
      <c r="G95" s="2"/>
      <c r="H95" s="2"/>
    </row>
    <row r="96" spans="1:8">
      <c r="A96" s="12"/>
      <c r="B96" s="2"/>
      <c r="C96" s="2"/>
      <c r="D96" s="2"/>
      <c r="E96" s="2"/>
      <c r="F96" s="2"/>
      <c r="G96" s="2"/>
      <c r="H96" s="2"/>
    </row>
    <row r="97" spans="1:8">
      <c r="A97" s="12"/>
      <c r="B97" s="2"/>
      <c r="C97" s="2"/>
      <c r="D97" s="2"/>
      <c r="E97" s="2"/>
      <c r="F97" s="2"/>
      <c r="G97" s="2"/>
      <c r="H97" s="2"/>
    </row>
    <row r="98" spans="1:8">
      <c r="A98" s="12"/>
      <c r="B98" s="2"/>
      <c r="C98" s="2"/>
      <c r="D98" s="2"/>
      <c r="E98" s="2"/>
      <c r="F98" s="2"/>
      <c r="G98" s="2"/>
      <c r="H98" s="2"/>
    </row>
    <row r="99" spans="1:8">
      <c r="A99" s="12"/>
      <c r="B99" s="2"/>
      <c r="C99" s="2"/>
      <c r="D99" s="2"/>
      <c r="E99" s="2"/>
      <c r="F99" s="2"/>
      <c r="G99" s="2"/>
      <c r="H99" s="2"/>
    </row>
    <row r="100" spans="1:8">
      <c r="A100" s="12"/>
      <c r="B100" s="2"/>
      <c r="C100" s="2"/>
      <c r="D100" s="2"/>
      <c r="E100" s="2"/>
      <c r="F100" s="2"/>
      <c r="G100" s="2"/>
      <c r="H100" s="2"/>
    </row>
    <row r="101" spans="1:8">
      <c r="A101" s="10"/>
    </row>
    <row r="102" spans="1:8">
      <c r="A102" s="10"/>
    </row>
    <row r="103" spans="1:8">
      <c r="A103" s="10"/>
    </row>
    <row r="104" spans="1:8">
      <c r="A104" s="10"/>
    </row>
    <row r="105" spans="1:8">
      <c r="A105" s="10"/>
    </row>
    <row r="106" spans="1:8">
      <c r="A106" s="10"/>
    </row>
    <row r="107" spans="1:8">
      <c r="A107" s="10"/>
    </row>
    <row r="108" spans="1:8">
      <c r="A108" s="10"/>
    </row>
    <row r="109" spans="1:8">
      <c r="A109" s="10"/>
    </row>
    <row r="110" spans="1:8">
      <c r="A110" s="10"/>
    </row>
    <row r="111" spans="1:8">
      <c r="A111" s="10"/>
    </row>
    <row r="112" spans="1:8">
      <c r="A112" s="10"/>
    </row>
    <row r="113" spans="1:1">
      <c r="A113" s="10"/>
    </row>
    <row r="114" spans="1:1">
      <c r="A114" s="10"/>
    </row>
    <row r="115" spans="1:1">
      <c r="A115" s="10"/>
    </row>
    <row r="116" spans="1:1">
      <c r="A116" s="10"/>
    </row>
    <row r="117" spans="1:1">
      <c r="A117" s="10"/>
    </row>
    <row r="118" spans="1:1">
      <c r="A118" s="10"/>
    </row>
    <row r="119" spans="1:1">
      <c r="A119" s="10"/>
    </row>
    <row r="120" spans="1:1">
      <c r="A120" s="10"/>
    </row>
    <row r="121" spans="1:1">
      <c r="A121" s="10"/>
    </row>
    <row r="122" spans="1:1">
      <c r="A122" s="10"/>
    </row>
    <row r="123" spans="1:1">
      <c r="A123" s="10"/>
    </row>
    <row r="124" spans="1:1">
      <c r="A124" s="10"/>
    </row>
    <row r="125" spans="1:1">
      <c r="A125" s="10"/>
    </row>
    <row r="126" spans="1:1">
      <c r="A126" s="10"/>
    </row>
    <row r="127" spans="1:1">
      <c r="A127" s="10"/>
    </row>
    <row r="128" spans="1:1">
      <c r="A128" s="10"/>
    </row>
    <row r="129" spans="1:1">
      <c r="A129" s="10"/>
    </row>
    <row r="130" spans="1:1">
      <c r="A130" s="10"/>
    </row>
    <row r="131" spans="1:1">
      <c r="A131" s="10"/>
    </row>
    <row r="132" spans="1:1">
      <c r="A132" s="10"/>
    </row>
    <row r="133" spans="1:1">
      <c r="A133" s="10"/>
    </row>
    <row r="134" spans="1:1">
      <c r="A134" s="10"/>
    </row>
    <row r="135" spans="1:1">
      <c r="A135" s="10"/>
    </row>
    <row r="136" spans="1:1">
      <c r="A136" s="10"/>
    </row>
    <row r="137" spans="1:1">
      <c r="A137" s="10"/>
    </row>
    <row r="138" spans="1:1">
      <c r="A138" s="10"/>
    </row>
    <row r="139" spans="1:1">
      <c r="A139" s="10"/>
    </row>
    <row r="140" spans="1:1">
      <c r="A140" s="10"/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  <row r="159" spans="1:1">
      <c r="A159" s="10"/>
    </row>
    <row r="160" spans="1:1">
      <c r="A160" s="10"/>
    </row>
    <row r="161" spans="1:1">
      <c r="A161" s="10"/>
    </row>
    <row r="162" spans="1:1">
      <c r="A162" s="10"/>
    </row>
    <row r="163" spans="1:1">
      <c r="A163" s="10"/>
    </row>
    <row r="164" spans="1:1">
      <c r="A164" s="10"/>
    </row>
    <row r="165" spans="1:1">
      <c r="A165" s="10"/>
    </row>
    <row r="166" spans="1:1">
      <c r="A166" s="10"/>
    </row>
    <row r="167" spans="1:1">
      <c r="A167" s="10"/>
    </row>
    <row r="168" spans="1:1">
      <c r="A168" s="10"/>
    </row>
    <row r="169" spans="1:1">
      <c r="A169" s="10"/>
    </row>
    <row r="170" spans="1:1">
      <c r="A170" s="10"/>
    </row>
    <row r="171" spans="1:1">
      <c r="A171" s="10"/>
    </row>
    <row r="172" spans="1:1">
      <c r="A172" s="10"/>
    </row>
    <row r="173" spans="1:1">
      <c r="A173" s="10"/>
    </row>
    <row r="174" spans="1:1">
      <c r="A174" s="10"/>
    </row>
    <row r="175" spans="1:1">
      <c r="A175" s="10"/>
    </row>
    <row r="176" spans="1:1">
      <c r="A176" s="10"/>
    </row>
    <row r="177" spans="1:1">
      <c r="A177" s="10"/>
    </row>
    <row r="178" spans="1:1">
      <c r="A178" s="10"/>
    </row>
    <row r="179" spans="1:1">
      <c r="A179" s="10"/>
    </row>
    <row r="180" spans="1:1">
      <c r="A180" s="10"/>
    </row>
    <row r="181" spans="1:1">
      <c r="A181" s="10"/>
    </row>
    <row r="182" spans="1:1">
      <c r="A182" s="10"/>
    </row>
    <row r="183" spans="1:1">
      <c r="A183" s="10"/>
    </row>
    <row r="184" spans="1:1">
      <c r="A184" s="10"/>
    </row>
    <row r="185" spans="1:1">
      <c r="A185" s="10"/>
    </row>
    <row r="186" spans="1:1">
      <c r="A186" s="10"/>
    </row>
    <row r="187" spans="1:1">
      <c r="A187" s="10"/>
    </row>
    <row r="188" spans="1:1">
      <c r="A188" s="10"/>
    </row>
    <row r="189" spans="1:1">
      <c r="A189" s="10"/>
    </row>
    <row r="190" spans="1:1">
      <c r="A190" s="10"/>
    </row>
    <row r="191" spans="1:1">
      <c r="A191" s="10"/>
    </row>
    <row r="192" spans="1:1">
      <c r="A192" s="10"/>
    </row>
    <row r="193" spans="1:1">
      <c r="A193" s="10"/>
    </row>
    <row r="194" spans="1:1">
      <c r="A194" s="10"/>
    </row>
    <row r="195" spans="1:1">
      <c r="A195" s="10"/>
    </row>
    <row r="196" spans="1:1">
      <c r="A196" s="10"/>
    </row>
    <row r="197" spans="1:1">
      <c r="A197" s="10"/>
    </row>
    <row r="198" spans="1:1">
      <c r="A198" s="10"/>
    </row>
    <row r="199" spans="1:1">
      <c r="A199" s="10"/>
    </row>
    <row r="200" spans="1:1">
      <c r="A200" s="10"/>
    </row>
    <row r="201" spans="1:1">
      <c r="A201" s="10"/>
    </row>
    <row r="202" spans="1:1">
      <c r="A202" s="10"/>
    </row>
    <row r="203" spans="1:1">
      <c r="A203" s="10"/>
    </row>
    <row r="204" spans="1:1">
      <c r="A204" s="10"/>
    </row>
    <row r="205" spans="1:1">
      <c r="A205" s="10"/>
    </row>
    <row r="206" spans="1:1">
      <c r="A206" s="10"/>
    </row>
    <row r="207" spans="1:1">
      <c r="A207" s="10"/>
    </row>
    <row r="208" spans="1:1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10"/>
    </row>
    <row r="255" spans="1:1">
      <c r="A255" s="10"/>
    </row>
    <row r="256" spans="1:1">
      <c r="A256" s="10"/>
    </row>
    <row r="257" spans="1:1">
      <c r="A257" s="10"/>
    </row>
    <row r="258" spans="1:1">
      <c r="A258" s="10"/>
    </row>
    <row r="259" spans="1:1">
      <c r="A259" s="10"/>
    </row>
    <row r="260" spans="1:1">
      <c r="A260" s="10"/>
    </row>
    <row r="261" spans="1:1">
      <c r="A261" s="10"/>
    </row>
    <row r="262" spans="1:1">
      <c r="A262" s="10"/>
    </row>
    <row r="263" spans="1:1">
      <c r="A263" s="10"/>
    </row>
    <row r="264" spans="1:1">
      <c r="A264" s="10"/>
    </row>
    <row r="265" spans="1:1">
      <c r="A265" s="10"/>
    </row>
    <row r="266" spans="1:1">
      <c r="A266" s="10"/>
    </row>
    <row r="267" spans="1:1">
      <c r="A267" s="10"/>
    </row>
    <row r="268" spans="1:1">
      <c r="A268" s="10"/>
    </row>
    <row r="269" spans="1:1">
      <c r="A269" s="10"/>
    </row>
    <row r="270" spans="1:1">
      <c r="A270" s="10"/>
    </row>
    <row r="271" spans="1:1">
      <c r="A271" s="10"/>
    </row>
    <row r="272" spans="1:1">
      <c r="A272" s="10"/>
    </row>
    <row r="273" spans="1:1">
      <c r="A273" s="10"/>
    </row>
    <row r="274" spans="1:1">
      <c r="A274" s="10"/>
    </row>
    <row r="275" spans="1:1">
      <c r="A275" s="10"/>
    </row>
    <row r="276" spans="1:1">
      <c r="A276" s="10"/>
    </row>
    <row r="277" spans="1:1">
      <c r="A277" s="10"/>
    </row>
    <row r="278" spans="1:1">
      <c r="A278" s="10"/>
    </row>
    <row r="279" spans="1:1">
      <c r="A279" s="10"/>
    </row>
    <row r="280" spans="1:1">
      <c r="A280" s="10"/>
    </row>
    <row r="281" spans="1:1">
      <c r="A281" s="10"/>
    </row>
    <row r="282" spans="1:1">
      <c r="A282" s="10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  <row r="390" spans="1:1">
      <c r="A390" s="10"/>
    </row>
    <row r="391" spans="1:1">
      <c r="A391" s="10"/>
    </row>
    <row r="392" spans="1:1">
      <c r="A392" s="10"/>
    </row>
    <row r="393" spans="1:1">
      <c r="A393" s="10"/>
    </row>
    <row r="394" spans="1:1">
      <c r="A394" s="10"/>
    </row>
    <row r="395" spans="1:1">
      <c r="A395" s="10"/>
    </row>
    <row r="396" spans="1:1">
      <c r="A396" s="10"/>
    </row>
    <row r="397" spans="1:1">
      <c r="A397" s="10"/>
    </row>
    <row r="398" spans="1:1">
      <c r="A398" s="10"/>
    </row>
    <row r="399" spans="1:1">
      <c r="A399" s="10"/>
    </row>
    <row r="400" spans="1:1">
      <c r="A400" s="10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10"/>
    </row>
    <row r="410" spans="1:1">
      <c r="A410" s="10"/>
    </row>
    <row r="411" spans="1:1">
      <c r="A411" s="10"/>
    </row>
    <row r="412" spans="1:1">
      <c r="A412" s="10"/>
    </row>
    <row r="413" spans="1:1">
      <c r="A413" s="10"/>
    </row>
    <row r="414" spans="1:1">
      <c r="A414" s="10"/>
    </row>
    <row r="415" spans="1:1">
      <c r="A415" s="10"/>
    </row>
    <row r="416" spans="1:1">
      <c r="A416" s="10"/>
    </row>
    <row r="417" spans="1:1">
      <c r="A417" s="10"/>
    </row>
    <row r="418" spans="1:1">
      <c r="A418" s="10"/>
    </row>
    <row r="419" spans="1:1">
      <c r="A419" s="10"/>
    </row>
    <row r="420" spans="1:1">
      <c r="A420" s="10"/>
    </row>
    <row r="421" spans="1:1">
      <c r="A421" s="10"/>
    </row>
    <row r="422" spans="1:1">
      <c r="A422" s="10"/>
    </row>
    <row r="423" spans="1:1">
      <c r="A423" s="10"/>
    </row>
    <row r="424" spans="1:1">
      <c r="A424" s="10"/>
    </row>
    <row r="425" spans="1:1">
      <c r="A425" s="10"/>
    </row>
    <row r="426" spans="1:1">
      <c r="A426" s="10"/>
    </row>
    <row r="427" spans="1:1">
      <c r="A427" s="10"/>
    </row>
    <row r="428" spans="1:1">
      <c r="A428" s="10"/>
    </row>
    <row r="429" spans="1:1">
      <c r="A429" s="10"/>
    </row>
    <row r="430" spans="1:1">
      <c r="A430" s="10"/>
    </row>
    <row r="431" spans="1:1">
      <c r="A431" s="10"/>
    </row>
    <row r="432" spans="1:1">
      <c r="A432" s="10"/>
    </row>
    <row r="433" spans="1:1">
      <c r="A433" s="10"/>
    </row>
    <row r="434" spans="1:1">
      <c r="A434" s="10"/>
    </row>
    <row r="435" spans="1:1">
      <c r="A435" s="10"/>
    </row>
    <row r="436" spans="1:1">
      <c r="A436" s="10"/>
    </row>
    <row r="437" spans="1:1">
      <c r="A437" s="10"/>
    </row>
    <row r="438" spans="1:1">
      <c r="A438" s="10"/>
    </row>
    <row r="439" spans="1:1">
      <c r="A439" s="10"/>
    </row>
    <row r="440" spans="1:1">
      <c r="A440" s="10"/>
    </row>
    <row r="441" spans="1:1">
      <c r="A441" s="10"/>
    </row>
    <row r="442" spans="1:1">
      <c r="A442" s="10"/>
    </row>
    <row r="443" spans="1:1">
      <c r="A443" s="10"/>
    </row>
    <row r="444" spans="1:1">
      <c r="A444" s="10"/>
    </row>
    <row r="445" spans="1:1">
      <c r="A445" s="10"/>
    </row>
    <row r="446" spans="1:1">
      <c r="A446" s="10"/>
    </row>
    <row r="447" spans="1:1">
      <c r="A447" s="10"/>
    </row>
    <row r="448" spans="1:1">
      <c r="A448" s="10"/>
    </row>
    <row r="449" spans="1:1">
      <c r="A449" s="10"/>
    </row>
    <row r="450" spans="1:1">
      <c r="A450" s="10"/>
    </row>
    <row r="451" spans="1:1">
      <c r="A451" s="10"/>
    </row>
    <row r="452" spans="1:1">
      <c r="A452" s="10"/>
    </row>
    <row r="453" spans="1:1">
      <c r="A453" s="10"/>
    </row>
    <row r="454" spans="1:1">
      <c r="A454" s="10"/>
    </row>
    <row r="455" spans="1:1">
      <c r="A455" s="10"/>
    </row>
    <row r="456" spans="1:1">
      <c r="A456" s="10"/>
    </row>
    <row r="457" spans="1:1">
      <c r="A457" s="10"/>
    </row>
    <row r="458" spans="1:1">
      <c r="A458" s="10"/>
    </row>
    <row r="459" spans="1:1">
      <c r="A459" s="10"/>
    </row>
    <row r="460" spans="1:1">
      <c r="A460" s="10"/>
    </row>
    <row r="461" spans="1:1">
      <c r="A461" s="10"/>
    </row>
    <row r="462" spans="1:1">
      <c r="A462" s="10"/>
    </row>
    <row r="463" spans="1:1">
      <c r="A463" s="10"/>
    </row>
    <row r="464" spans="1:1">
      <c r="A464" s="10"/>
    </row>
    <row r="465" spans="1:1">
      <c r="A465" s="10"/>
    </row>
    <row r="466" spans="1:1">
      <c r="A466" s="10"/>
    </row>
    <row r="467" spans="1:1">
      <c r="A467" s="10"/>
    </row>
    <row r="468" spans="1:1">
      <c r="A468" s="10"/>
    </row>
    <row r="469" spans="1:1">
      <c r="A469" s="10"/>
    </row>
    <row r="470" spans="1:1">
      <c r="A470" s="10"/>
    </row>
    <row r="471" spans="1:1">
      <c r="A471" s="10"/>
    </row>
    <row r="472" spans="1:1">
      <c r="A472" s="10"/>
    </row>
    <row r="473" spans="1:1">
      <c r="A473" s="10"/>
    </row>
    <row r="474" spans="1:1">
      <c r="A474" s="10"/>
    </row>
    <row r="475" spans="1:1">
      <c r="A475" s="10"/>
    </row>
    <row r="476" spans="1:1">
      <c r="A476" s="10"/>
    </row>
    <row r="477" spans="1:1">
      <c r="A477" s="10"/>
    </row>
    <row r="478" spans="1:1">
      <c r="A478" s="10"/>
    </row>
    <row r="479" spans="1:1">
      <c r="A479" s="10"/>
    </row>
    <row r="480" spans="1:1">
      <c r="A480" s="10"/>
    </row>
    <row r="481" spans="1:1">
      <c r="A481" s="10"/>
    </row>
    <row r="482" spans="1:1">
      <c r="A482" s="10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507"/>
  <sheetViews>
    <sheetView tabSelected="1" workbookViewId="0">
      <selection activeCell="B8" sqref="B8"/>
    </sheetView>
  </sheetViews>
  <sheetFormatPr baseColWidth="10" defaultColWidth="8.6640625" defaultRowHeight="14"/>
  <cols>
    <col min="1" max="1" width="15.6640625" customWidth="1"/>
    <col min="2" max="2" width="7.9140625" customWidth="1"/>
    <col min="3" max="3" width="8.58203125" customWidth="1"/>
    <col min="4" max="4" width="7.6640625" customWidth="1"/>
    <col min="5" max="5" width="19.6640625" customWidth="1"/>
    <col min="6" max="6" width="12.6640625" customWidth="1"/>
    <col min="7" max="7" width="12.58203125" customWidth="1"/>
    <col min="8" max="8" width="9.1640625" customWidth="1"/>
    <col min="9" max="9" width="9.4140625" customWidth="1"/>
    <col min="10" max="10" width="10" customWidth="1"/>
    <col min="11" max="11" width="27.6640625" customWidth="1"/>
    <col min="12" max="12" width="13" customWidth="1"/>
    <col min="13" max="14" width="18" customWidth="1"/>
    <col min="15" max="15" width="13" customWidth="1"/>
    <col min="16" max="16" width="10" customWidth="1"/>
    <col min="17" max="17" width="11.08203125" customWidth="1"/>
    <col min="18" max="18" width="10.5" customWidth="1"/>
    <col min="19" max="19" width="47.5" customWidth="1"/>
    <col min="20" max="20" width="13.33203125" customWidth="1"/>
  </cols>
  <sheetData>
    <row r="1" spans="1:20" ht="15.15" customHeight="1">
      <c r="A1" s="39" t="s">
        <v>217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spans="1:20">
      <c r="A2" s="10"/>
    </row>
    <row r="3" spans="1:20" ht="13.4" customHeight="1">
      <c r="A3" s="38" t="s">
        <v>178</v>
      </c>
      <c r="B3" s="1" t="s">
        <v>218</v>
      </c>
      <c r="C3" s="1" t="s">
        <v>219</v>
      </c>
      <c r="D3" s="1" t="s">
        <v>220</v>
      </c>
      <c r="E3" s="1" t="s">
        <v>153</v>
      </c>
      <c r="F3" s="1" t="s">
        <v>221</v>
      </c>
      <c r="G3" s="1" t="s">
        <v>222</v>
      </c>
      <c r="H3" s="1" t="s">
        <v>223</v>
      </c>
      <c r="I3" s="1" t="s">
        <v>224</v>
      </c>
      <c r="J3" s="1" t="s">
        <v>226</v>
      </c>
      <c r="K3" s="1" t="s">
        <v>227</v>
      </c>
      <c r="L3" s="1" t="s">
        <v>165</v>
      </c>
      <c r="M3" s="1" t="s">
        <v>228</v>
      </c>
      <c r="N3" s="1" t="s">
        <v>229</v>
      </c>
      <c r="O3" s="1" t="s">
        <v>230</v>
      </c>
      <c r="P3" s="1" t="s">
        <v>231</v>
      </c>
      <c r="Q3" s="1" t="s">
        <v>232</v>
      </c>
      <c r="R3" s="1" t="s">
        <v>233</v>
      </c>
      <c r="S3" s="1" t="s">
        <v>198</v>
      </c>
      <c r="T3" s="1" t="s">
        <v>235</v>
      </c>
    </row>
    <row r="4" spans="1:20" ht="12" customHeight="1">
      <c r="A4" s="51" t="s">
        <v>87</v>
      </c>
      <c r="B4" s="52">
        <v>1</v>
      </c>
      <c r="C4" s="53">
        <v>46173</v>
      </c>
      <c r="D4" s="54" t="s">
        <v>393</v>
      </c>
      <c r="E4" s="55" t="s">
        <v>205</v>
      </c>
      <c r="F4" s="55" t="s">
        <v>166</v>
      </c>
      <c r="G4" s="55" t="s">
        <v>176</v>
      </c>
      <c r="H4" s="56">
        <v>2</v>
      </c>
      <c r="I4" s="56">
        <v>0</v>
      </c>
      <c r="J4" s="56">
        <v>2026</v>
      </c>
      <c r="K4" s="52" t="s">
        <v>99</v>
      </c>
      <c r="L4" s="52" t="s">
        <v>137</v>
      </c>
      <c r="M4" s="52" t="s">
        <v>394</v>
      </c>
      <c r="N4" s="52" t="s">
        <v>395</v>
      </c>
      <c r="O4" s="52" t="str">
        <f t="shared" ref="O4:O67" si="0">IF(OR(L4&lt;&gt;"Finalizado",H4="",I4=""),"",IF(H4&gt;I4,F4,IF(I4&gt;H4,G4,"Empate")))</f>
        <v>Villa Alegre</v>
      </c>
      <c r="P4" s="52" t="str">
        <f t="shared" ref="P4:P67" si="1">IF(OR(L4&lt;&gt;"Finalizado",H4="",I4=""),"",IF(H4=I4,"Empate",IF(H4&gt;I4,"Local","Visita")))</f>
        <v>Local</v>
      </c>
      <c r="Q4" s="52">
        <v>3</v>
      </c>
      <c r="R4" s="52">
        <v>0</v>
      </c>
      <c r="S4" s="55" t="s">
        <v>397</v>
      </c>
      <c r="T4" s="53">
        <v>46230</v>
      </c>
    </row>
    <row r="5" spans="1:20" ht="12" customHeight="1">
      <c r="A5" s="51" t="s">
        <v>87</v>
      </c>
      <c r="B5" s="52">
        <v>1</v>
      </c>
      <c r="C5" s="53">
        <v>46173</v>
      </c>
      <c r="D5" s="54" t="s">
        <v>393</v>
      </c>
      <c r="E5" s="55" t="s">
        <v>207</v>
      </c>
      <c r="F5" s="55" t="s">
        <v>175</v>
      </c>
      <c r="G5" s="55" t="s">
        <v>169</v>
      </c>
      <c r="H5" s="56">
        <v>0</v>
      </c>
      <c r="I5" s="56">
        <v>0</v>
      </c>
      <c r="J5" s="56">
        <v>2026</v>
      </c>
      <c r="K5" s="52" t="s">
        <v>99</v>
      </c>
      <c r="L5" s="52" t="s">
        <v>137</v>
      </c>
      <c r="M5" s="52" t="s">
        <v>398</v>
      </c>
      <c r="N5" s="52" t="s">
        <v>399</v>
      </c>
      <c r="O5" s="52" t="str">
        <f t="shared" si="0"/>
        <v>Empate</v>
      </c>
      <c r="P5" s="52" t="str">
        <f t="shared" si="1"/>
        <v>Empate</v>
      </c>
      <c r="Q5" s="52">
        <v>1</v>
      </c>
      <c r="R5" s="52">
        <v>1</v>
      </c>
      <c r="S5" s="55" t="s">
        <v>397</v>
      </c>
      <c r="T5" s="53">
        <v>46230</v>
      </c>
    </row>
    <row r="6" spans="1:20" ht="12" customHeight="1">
      <c r="A6" s="51" t="s">
        <v>87</v>
      </c>
      <c r="B6" s="52">
        <v>1</v>
      </c>
      <c r="C6" s="53">
        <v>46173</v>
      </c>
      <c r="D6" s="54" t="s">
        <v>393</v>
      </c>
      <c r="E6" s="55" t="s">
        <v>171</v>
      </c>
      <c r="F6" s="55" t="s">
        <v>170</v>
      </c>
      <c r="G6" s="55" t="s">
        <v>174</v>
      </c>
      <c r="H6" s="56">
        <v>3</v>
      </c>
      <c r="I6" s="56">
        <v>1</v>
      </c>
      <c r="J6" s="56">
        <v>2026</v>
      </c>
      <c r="K6" s="52" t="s">
        <v>99</v>
      </c>
      <c r="L6" s="52" t="s">
        <v>137</v>
      </c>
      <c r="M6" s="52" t="s">
        <v>401</v>
      </c>
      <c r="N6" s="52" t="s">
        <v>402</v>
      </c>
      <c r="O6" s="52" t="str">
        <f t="shared" si="0"/>
        <v>Forestal</v>
      </c>
      <c r="P6" s="52" t="str">
        <f t="shared" si="1"/>
        <v>Local</v>
      </c>
      <c r="Q6" s="52">
        <v>3</v>
      </c>
      <c r="R6" s="52">
        <v>0</v>
      </c>
      <c r="S6" s="55" t="s">
        <v>397</v>
      </c>
      <c r="T6" s="53">
        <v>46230</v>
      </c>
    </row>
    <row r="7" spans="1:20" ht="12" customHeight="1">
      <c r="A7" s="51" t="s">
        <v>87</v>
      </c>
      <c r="B7" s="52">
        <v>1</v>
      </c>
      <c r="C7" s="53">
        <v>46173</v>
      </c>
      <c r="D7" s="54" t="s">
        <v>393</v>
      </c>
      <c r="E7" s="55" t="s">
        <v>205</v>
      </c>
      <c r="F7" s="55" t="s">
        <v>173</v>
      </c>
      <c r="G7" s="55" t="s">
        <v>172</v>
      </c>
      <c r="H7" s="56">
        <v>2</v>
      </c>
      <c r="I7" s="56">
        <v>0</v>
      </c>
      <c r="J7" s="56">
        <v>2026</v>
      </c>
      <c r="K7" s="52" t="s">
        <v>99</v>
      </c>
      <c r="L7" s="52" t="s">
        <v>137</v>
      </c>
      <c r="M7" s="52" t="s">
        <v>395</v>
      </c>
      <c r="N7" s="52" t="s">
        <v>396</v>
      </c>
      <c r="O7" s="52" t="str">
        <f t="shared" si="0"/>
        <v>Jota Montt</v>
      </c>
      <c r="P7" s="52" t="str">
        <f t="shared" si="1"/>
        <v>Local</v>
      </c>
      <c r="Q7" s="52">
        <v>3</v>
      </c>
      <c r="R7" s="52">
        <v>0</v>
      </c>
      <c r="S7" s="55" t="s">
        <v>397</v>
      </c>
      <c r="T7" s="53">
        <v>46230</v>
      </c>
    </row>
    <row r="8" spans="1:20" ht="12" customHeight="1">
      <c r="A8" s="51" t="s">
        <v>87</v>
      </c>
      <c r="B8" s="52">
        <v>2</v>
      </c>
      <c r="C8" s="53">
        <v>46180</v>
      </c>
      <c r="D8" s="54" t="s">
        <v>393</v>
      </c>
      <c r="E8" s="55" t="s">
        <v>207</v>
      </c>
      <c r="F8" s="55" t="s">
        <v>175</v>
      </c>
      <c r="G8" s="55" t="s">
        <v>166</v>
      </c>
      <c r="H8" s="56">
        <v>1</v>
      </c>
      <c r="I8" s="56">
        <v>1</v>
      </c>
      <c r="J8" s="56">
        <v>2026</v>
      </c>
      <c r="K8" s="52" t="s">
        <v>99</v>
      </c>
      <c r="L8" s="52" t="s">
        <v>137</v>
      </c>
      <c r="M8" s="52" t="s">
        <v>398</v>
      </c>
      <c r="N8" s="52" t="s">
        <v>399</v>
      </c>
      <c r="O8" s="52" t="str">
        <f t="shared" si="0"/>
        <v>Empate</v>
      </c>
      <c r="P8" s="52" t="str">
        <f t="shared" si="1"/>
        <v>Empate</v>
      </c>
      <c r="Q8" s="52">
        <v>1</v>
      </c>
      <c r="R8" s="52">
        <v>1</v>
      </c>
      <c r="S8" s="55" t="s">
        <v>397</v>
      </c>
      <c r="T8" s="53">
        <v>46230</v>
      </c>
    </row>
    <row r="9" spans="1:20" ht="12" customHeight="1">
      <c r="A9" s="51" t="s">
        <v>87</v>
      </c>
      <c r="B9" s="52">
        <v>2</v>
      </c>
      <c r="C9" s="53">
        <v>46180</v>
      </c>
      <c r="D9" s="54" t="s">
        <v>393</v>
      </c>
      <c r="E9" s="55" t="s">
        <v>210</v>
      </c>
      <c r="F9" s="55" t="s">
        <v>176</v>
      </c>
      <c r="G9" s="55" t="s">
        <v>174</v>
      </c>
      <c r="H9" s="56">
        <v>1</v>
      </c>
      <c r="I9" s="56">
        <v>0</v>
      </c>
      <c r="J9" s="56">
        <v>2026</v>
      </c>
      <c r="K9" s="52" t="s">
        <v>99</v>
      </c>
      <c r="L9" s="52" t="s">
        <v>137</v>
      </c>
      <c r="M9" s="52" t="s">
        <v>401</v>
      </c>
      <c r="N9" s="52" t="s">
        <v>402</v>
      </c>
      <c r="O9" s="52" t="str">
        <f t="shared" si="0"/>
        <v>Maestranza</v>
      </c>
      <c r="P9" s="52" t="str">
        <f t="shared" si="1"/>
        <v>Local</v>
      </c>
      <c r="Q9" s="52">
        <v>3</v>
      </c>
      <c r="R9" s="52">
        <v>0</v>
      </c>
      <c r="S9" s="55" t="s">
        <v>397</v>
      </c>
      <c r="T9" s="53">
        <v>46230</v>
      </c>
    </row>
    <row r="10" spans="1:20" ht="12" customHeight="1">
      <c r="A10" s="57" t="s">
        <v>87</v>
      </c>
      <c r="B10" s="52">
        <v>2</v>
      </c>
      <c r="C10" s="53">
        <v>46180</v>
      </c>
      <c r="D10" s="54" t="s">
        <v>393</v>
      </c>
      <c r="E10" s="55" t="s">
        <v>205</v>
      </c>
      <c r="F10" s="55" t="s">
        <v>173</v>
      </c>
      <c r="G10" s="55" t="s">
        <v>169</v>
      </c>
      <c r="H10" s="56">
        <v>1</v>
      </c>
      <c r="I10" s="56">
        <v>2</v>
      </c>
      <c r="J10" s="56">
        <v>2026</v>
      </c>
      <c r="K10" s="52" t="s">
        <v>99</v>
      </c>
      <c r="L10" s="52" t="s">
        <v>137</v>
      </c>
      <c r="M10" s="52" t="s">
        <v>395</v>
      </c>
      <c r="N10" s="52" t="s">
        <v>396</v>
      </c>
      <c r="O10" s="52" t="str">
        <f t="shared" si="0"/>
        <v>U.J. Lautaro</v>
      </c>
      <c r="P10" s="52" t="str">
        <f t="shared" si="1"/>
        <v>Visita</v>
      </c>
      <c r="Q10" s="52">
        <v>0</v>
      </c>
      <c r="R10" s="52">
        <v>3</v>
      </c>
      <c r="S10" s="55" t="s">
        <v>397</v>
      </c>
      <c r="T10" s="53">
        <v>46230</v>
      </c>
    </row>
    <row r="11" spans="1:20" ht="12" customHeight="1">
      <c r="A11" s="51" t="s">
        <v>87</v>
      </c>
      <c r="B11" s="52">
        <v>2</v>
      </c>
      <c r="C11" s="53">
        <v>46180</v>
      </c>
      <c r="D11" s="54" t="s">
        <v>393</v>
      </c>
      <c r="E11" s="55" t="s">
        <v>171</v>
      </c>
      <c r="F11" s="55" t="s">
        <v>170</v>
      </c>
      <c r="G11" s="55" t="s">
        <v>172</v>
      </c>
      <c r="H11" s="56">
        <v>4</v>
      </c>
      <c r="I11" s="56">
        <v>0</v>
      </c>
      <c r="J11" s="56">
        <v>2026</v>
      </c>
      <c r="K11" s="52" t="s">
        <v>99</v>
      </c>
      <c r="L11" s="52" t="s">
        <v>137</v>
      </c>
      <c r="M11" s="52" t="s">
        <v>399</v>
      </c>
      <c r="N11" s="52" t="s">
        <v>400</v>
      </c>
      <c r="O11" s="52" t="str">
        <f t="shared" si="0"/>
        <v>Forestal</v>
      </c>
      <c r="P11" s="52" t="str">
        <f t="shared" si="1"/>
        <v>Local</v>
      </c>
      <c r="Q11" s="52">
        <v>3</v>
      </c>
      <c r="R11" s="52">
        <v>0</v>
      </c>
      <c r="S11" s="55" t="s">
        <v>397</v>
      </c>
      <c r="T11" s="53">
        <v>46230</v>
      </c>
    </row>
    <row r="12" spans="1:20" ht="12" customHeight="1">
      <c r="A12" s="51" t="s">
        <v>87</v>
      </c>
      <c r="B12" s="52">
        <v>3</v>
      </c>
      <c r="C12" s="53">
        <v>46187</v>
      </c>
      <c r="D12" s="54" t="s">
        <v>393</v>
      </c>
      <c r="E12" s="55" t="s">
        <v>205</v>
      </c>
      <c r="F12" s="55" t="s">
        <v>166</v>
      </c>
      <c r="G12" s="55" t="s">
        <v>174</v>
      </c>
      <c r="H12" s="56">
        <v>4</v>
      </c>
      <c r="I12" s="56">
        <v>2</v>
      </c>
      <c r="J12" s="56">
        <v>2026</v>
      </c>
      <c r="K12" s="52" t="s">
        <v>99</v>
      </c>
      <c r="L12" s="52" t="s">
        <v>137</v>
      </c>
      <c r="M12" s="52" t="s">
        <v>401</v>
      </c>
      <c r="N12" s="52" t="s">
        <v>402</v>
      </c>
      <c r="O12" s="52" t="str">
        <f t="shared" si="0"/>
        <v>Villa Alegre</v>
      </c>
      <c r="P12" s="52" t="str">
        <f t="shared" si="1"/>
        <v>Local</v>
      </c>
      <c r="Q12" s="52">
        <v>3</v>
      </c>
      <c r="R12" s="52">
        <v>0</v>
      </c>
      <c r="S12" s="55" t="s">
        <v>397</v>
      </c>
      <c r="T12" s="53">
        <v>46230</v>
      </c>
    </row>
    <row r="13" spans="1:20" ht="12" customHeight="1">
      <c r="A13" s="51" t="s">
        <v>87</v>
      </c>
      <c r="B13" s="52">
        <v>3</v>
      </c>
      <c r="C13" s="53">
        <v>46187</v>
      </c>
      <c r="D13" s="54" t="s">
        <v>393</v>
      </c>
      <c r="E13" s="55" t="s">
        <v>205</v>
      </c>
      <c r="F13" s="55" t="s">
        <v>173</v>
      </c>
      <c r="G13" s="55" t="s">
        <v>175</v>
      </c>
      <c r="H13" s="56">
        <v>1</v>
      </c>
      <c r="I13" s="56">
        <v>3</v>
      </c>
      <c r="J13" s="56">
        <v>2026</v>
      </c>
      <c r="K13" s="52" t="s">
        <v>99</v>
      </c>
      <c r="L13" s="52" t="s">
        <v>137</v>
      </c>
      <c r="M13" s="52" t="s">
        <v>395</v>
      </c>
      <c r="N13" s="52" t="s">
        <v>396</v>
      </c>
      <c r="O13" s="52" t="str">
        <f t="shared" si="0"/>
        <v>Colo Colo</v>
      </c>
      <c r="P13" s="52" t="str">
        <f t="shared" si="1"/>
        <v>Visita</v>
      </c>
      <c r="Q13" s="52">
        <v>0</v>
      </c>
      <c r="R13" s="52">
        <v>3</v>
      </c>
      <c r="S13" s="55" t="s">
        <v>397</v>
      </c>
      <c r="T13" s="53">
        <v>46230</v>
      </c>
    </row>
    <row r="14" spans="1:20" ht="12" customHeight="1">
      <c r="A14" s="51" t="s">
        <v>87</v>
      </c>
      <c r="B14" s="52">
        <v>3</v>
      </c>
      <c r="C14" s="53">
        <v>46187</v>
      </c>
      <c r="D14" s="54" t="s">
        <v>393</v>
      </c>
      <c r="E14" s="55" t="s">
        <v>210</v>
      </c>
      <c r="F14" s="55" t="s">
        <v>176</v>
      </c>
      <c r="G14" s="55" t="s">
        <v>172</v>
      </c>
      <c r="H14" s="56">
        <v>2</v>
      </c>
      <c r="I14" s="56">
        <v>1</v>
      </c>
      <c r="J14" s="56">
        <v>2026</v>
      </c>
      <c r="K14" s="52" t="s">
        <v>99</v>
      </c>
      <c r="L14" s="52" t="s">
        <v>137</v>
      </c>
      <c r="M14" s="52" t="s">
        <v>399</v>
      </c>
      <c r="N14" s="52" t="s">
        <v>400</v>
      </c>
      <c r="O14" s="52" t="str">
        <f t="shared" si="0"/>
        <v>Maestranza</v>
      </c>
      <c r="P14" s="52" t="str">
        <f t="shared" si="1"/>
        <v>Local</v>
      </c>
      <c r="Q14" s="52">
        <v>3</v>
      </c>
      <c r="R14" s="52">
        <v>0</v>
      </c>
      <c r="S14" s="55" t="s">
        <v>397</v>
      </c>
      <c r="T14" s="53">
        <v>46230</v>
      </c>
    </row>
    <row r="15" spans="1:20" ht="12" customHeight="1">
      <c r="A15" s="51" t="s">
        <v>87</v>
      </c>
      <c r="B15" s="52">
        <v>3</v>
      </c>
      <c r="C15" s="53">
        <v>46187</v>
      </c>
      <c r="D15" s="54" t="s">
        <v>393</v>
      </c>
      <c r="E15" s="55" t="s">
        <v>171</v>
      </c>
      <c r="F15" s="55" t="s">
        <v>170</v>
      </c>
      <c r="G15" s="55" t="s">
        <v>169</v>
      </c>
      <c r="H15" s="56">
        <v>1</v>
      </c>
      <c r="I15" s="56">
        <v>0</v>
      </c>
      <c r="J15" s="56">
        <v>2026</v>
      </c>
      <c r="K15" s="52" t="s">
        <v>99</v>
      </c>
      <c r="L15" s="52" t="s">
        <v>137</v>
      </c>
      <c r="M15" s="52" t="s">
        <v>402</v>
      </c>
      <c r="N15" s="52" t="s">
        <v>403</v>
      </c>
      <c r="O15" s="52" t="str">
        <f t="shared" si="0"/>
        <v>Forestal</v>
      </c>
      <c r="P15" s="52" t="str">
        <f t="shared" si="1"/>
        <v>Local</v>
      </c>
      <c r="Q15" s="52">
        <v>3</v>
      </c>
      <c r="R15" s="52">
        <v>0</v>
      </c>
      <c r="S15" s="55" t="s">
        <v>397</v>
      </c>
      <c r="T15" s="53">
        <v>46230</v>
      </c>
    </row>
    <row r="16" spans="1:20" ht="12" customHeight="1">
      <c r="A16" s="51" t="s">
        <v>87</v>
      </c>
      <c r="B16" s="52">
        <v>4</v>
      </c>
      <c r="C16" s="53">
        <v>46194</v>
      </c>
      <c r="D16" s="54" t="s">
        <v>393</v>
      </c>
      <c r="E16" s="55" t="s">
        <v>205</v>
      </c>
      <c r="F16" s="55" t="s">
        <v>173</v>
      </c>
      <c r="G16" s="55" t="s">
        <v>166</v>
      </c>
      <c r="H16" s="56">
        <v>1</v>
      </c>
      <c r="I16" s="56">
        <v>1</v>
      </c>
      <c r="J16" s="56">
        <v>2026</v>
      </c>
      <c r="K16" s="52" t="s">
        <v>99</v>
      </c>
      <c r="L16" s="52" t="s">
        <v>137</v>
      </c>
      <c r="M16" s="52" t="s">
        <v>395</v>
      </c>
      <c r="N16" s="52" t="s">
        <v>396</v>
      </c>
      <c r="O16" s="52" t="str">
        <f t="shared" si="0"/>
        <v>Empate</v>
      </c>
      <c r="P16" s="52" t="str">
        <f t="shared" si="1"/>
        <v>Empate</v>
      </c>
      <c r="Q16" s="52">
        <v>1</v>
      </c>
      <c r="R16" s="52">
        <v>1</v>
      </c>
      <c r="S16" s="55" t="s">
        <v>397</v>
      </c>
      <c r="T16" s="53">
        <v>46230</v>
      </c>
    </row>
    <row r="17" spans="1:20" ht="12" customHeight="1">
      <c r="A17" s="51" t="s">
        <v>87</v>
      </c>
      <c r="B17" s="52">
        <v>4</v>
      </c>
      <c r="C17" s="53">
        <v>46194</v>
      </c>
      <c r="D17" s="54" t="s">
        <v>393</v>
      </c>
      <c r="E17" s="55" t="s">
        <v>210</v>
      </c>
      <c r="F17" s="55" t="s">
        <v>174</v>
      </c>
      <c r="G17" s="55" t="s">
        <v>172</v>
      </c>
      <c r="H17" s="56">
        <v>1</v>
      </c>
      <c r="I17" s="56">
        <v>1</v>
      </c>
      <c r="J17" s="56">
        <v>2026</v>
      </c>
      <c r="K17" s="52" t="s">
        <v>99</v>
      </c>
      <c r="L17" s="52" t="s">
        <v>137</v>
      </c>
      <c r="M17" s="52" t="s">
        <v>399</v>
      </c>
      <c r="N17" s="52" t="s">
        <v>400</v>
      </c>
      <c r="O17" s="52" t="str">
        <f t="shared" si="0"/>
        <v>Empate</v>
      </c>
      <c r="P17" s="52" t="str">
        <f t="shared" si="1"/>
        <v>Empate</v>
      </c>
      <c r="Q17" s="52">
        <v>1</v>
      </c>
      <c r="R17" s="52">
        <v>1</v>
      </c>
      <c r="S17" s="55" t="s">
        <v>397</v>
      </c>
      <c r="T17" s="53">
        <v>46230</v>
      </c>
    </row>
    <row r="18" spans="1:20" ht="12" customHeight="1">
      <c r="A18" s="51" t="s">
        <v>87</v>
      </c>
      <c r="B18" s="52">
        <v>4</v>
      </c>
      <c r="C18" s="53">
        <v>46194</v>
      </c>
      <c r="D18" s="54" t="s">
        <v>393</v>
      </c>
      <c r="E18" s="55" t="s">
        <v>171</v>
      </c>
      <c r="F18" s="55" t="s">
        <v>170</v>
      </c>
      <c r="G18" s="55" t="s">
        <v>175</v>
      </c>
      <c r="H18" s="56">
        <v>2</v>
      </c>
      <c r="I18" s="56">
        <v>1</v>
      </c>
      <c r="J18" s="56">
        <v>2026</v>
      </c>
      <c r="K18" s="52" t="s">
        <v>99</v>
      </c>
      <c r="L18" s="52" t="s">
        <v>137</v>
      </c>
      <c r="M18" s="52" t="s">
        <v>402</v>
      </c>
      <c r="N18" s="52" t="s">
        <v>403</v>
      </c>
      <c r="O18" s="52" t="str">
        <f t="shared" si="0"/>
        <v>Forestal</v>
      </c>
      <c r="P18" s="52" t="str">
        <f t="shared" si="1"/>
        <v>Local</v>
      </c>
      <c r="Q18" s="52">
        <v>3</v>
      </c>
      <c r="R18" s="52">
        <v>0</v>
      </c>
      <c r="S18" s="55" t="s">
        <v>397</v>
      </c>
      <c r="T18" s="53">
        <v>46230</v>
      </c>
    </row>
    <row r="19" spans="1:20" ht="12" customHeight="1">
      <c r="A19" s="51" t="s">
        <v>87</v>
      </c>
      <c r="B19" s="52">
        <v>4</v>
      </c>
      <c r="C19" s="53">
        <v>46194</v>
      </c>
      <c r="D19" s="54" t="s">
        <v>393</v>
      </c>
      <c r="E19" s="55" t="s">
        <v>210</v>
      </c>
      <c r="F19" s="55" t="s">
        <v>176</v>
      </c>
      <c r="G19" s="55" t="s">
        <v>169</v>
      </c>
      <c r="H19" s="56">
        <v>2</v>
      </c>
      <c r="I19" s="56">
        <v>1</v>
      </c>
      <c r="J19" s="56">
        <v>2026</v>
      </c>
      <c r="K19" s="52" t="s">
        <v>99</v>
      </c>
      <c r="L19" s="52" t="s">
        <v>137</v>
      </c>
      <c r="M19" s="52" t="s">
        <v>396</v>
      </c>
      <c r="N19" s="52" t="s">
        <v>404</v>
      </c>
      <c r="O19" s="52" t="str">
        <f t="shared" si="0"/>
        <v>Maestranza</v>
      </c>
      <c r="P19" s="52" t="str">
        <f t="shared" si="1"/>
        <v>Local</v>
      </c>
      <c r="Q19" s="52">
        <v>3</v>
      </c>
      <c r="R19" s="52">
        <v>0</v>
      </c>
      <c r="S19" s="55" t="s">
        <v>397</v>
      </c>
      <c r="T19" s="53">
        <v>46230</v>
      </c>
    </row>
    <row r="20" spans="1:20" ht="12" customHeight="1">
      <c r="A20" s="51" t="s">
        <v>87</v>
      </c>
      <c r="B20" s="52">
        <v>5</v>
      </c>
      <c r="C20" s="53">
        <v>46201</v>
      </c>
      <c r="D20" s="54" t="s">
        <v>393</v>
      </c>
      <c r="E20" s="55" t="s">
        <v>205</v>
      </c>
      <c r="F20" s="55" t="s">
        <v>166</v>
      </c>
      <c r="G20" s="55" t="s">
        <v>172</v>
      </c>
      <c r="H20" s="56">
        <v>2</v>
      </c>
      <c r="I20" s="56">
        <v>0</v>
      </c>
      <c r="J20" s="56">
        <v>2026</v>
      </c>
      <c r="K20" s="52" t="s">
        <v>99</v>
      </c>
      <c r="L20" s="52" t="s">
        <v>137</v>
      </c>
      <c r="M20" s="52" t="s">
        <v>399</v>
      </c>
      <c r="N20" s="52" t="s">
        <v>400</v>
      </c>
      <c r="O20" s="52" t="str">
        <f t="shared" si="0"/>
        <v>Villa Alegre</v>
      </c>
      <c r="P20" s="52" t="str">
        <f t="shared" si="1"/>
        <v>Local</v>
      </c>
      <c r="Q20" s="52">
        <v>3</v>
      </c>
      <c r="R20" s="52">
        <v>0</v>
      </c>
      <c r="S20" s="55" t="s">
        <v>397</v>
      </c>
      <c r="T20" s="53">
        <v>46230</v>
      </c>
    </row>
    <row r="21" spans="1:20" ht="12" customHeight="1">
      <c r="A21" s="51" t="s">
        <v>87</v>
      </c>
      <c r="B21" s="52">
        <v>5</v>
      </c>
      <c r="C21" s="53">
        <v>46201</v>
      </c>
      <c r="D21" s="54" t="s">
        <v>393</v>
      </c>
      <c r="E21" s="55" t="s">
        <v>171</v>
      </c>
      <c r="F21" s="55" t="s">
        <v>170</v>
      </c>
      <c r="G21" s="55" t="s">
        <v>173</v>
      </c>
      <c r="H21" s="56">
        <v>1</v>
      </c>
      <c r="I21" s="56">
        <v>2</v>
      </c>
      <c r="J21" s="56">
        <v>2026</v>
      </c>
      <c r="K21" s="52" t="s">
        <v>99</v>
      </c>
      <c r="L21" s="52" t="s">
        <v>137</v>
      </c>
      <c r="M21" s="52" t="s">
        <v>402</v>
      </c>
      <c r="N21" s="52" t="s">
        <v>403</v>
      </c>
      <c r="O21" s="52" t="str">
        <f t="shared" si="0"/>
        <v>Jota Montt</v>
      </c>
      <c r="P21" s="52" t="str">
        <f t="shared" si="1"/>
        <v>Visita</v>
      </c>
      <c r="Q21" s="52">
        <v>0</v>
      </c>
      <c r="R21" s="52">
        <v>3</v>
      </c>
      <c r="S21" s="55" t="s">
        <v>397</v>
      </c>
      <c r="T21" s="53">
        <v>46230</v>
      </c>
    </row>
    <row r="22" spans="1:20" ht="12" customHeight="1">
      <c r="A22" s="51" t="s">
        <v>87</v>
      </c>
      <c r="B22" s="52">
        <v>5</v>
      </c>
      <c r="C22" s="53">
        <v>46201</v>
      </c>
      <c r="D22" s="54" t="s">
        <v>393</v>
      </c>
      <c r="E22" s="55" t="s">
        <v>210</v>
      </c>
      <c r="F22" s="55" t="s">
        <v>174</v>
      </c>
      <c r="G22" s="55" t="s">
        <v>169</v>
      </c>
      <c r="H22" s="56">
        <v>2</v>
      </c>
      <c r="I22" s="56">
        <v>3</v>
      </c>
      <c r="J22" s="56">
        <v>2026</v>
      </c>
      <c r="K22" s="52" t="s">
        <v>99</v>
      </c>
      <c r="L22" s="52" t="s">
        <v>137</v>
      </c>
      <c r="M22" s="52" t="s">
        <v>396</v>
      </c>
      <c r="N22" s="52" t="s">
        <v>404</v>
      </c>
      <c r="O22" s="52" t="str">
        <f t="shared" si="0"/>
        <v>U.J. Lautaro</v>
      </c>
      <c r="P22" s="52" t="str">
        <f t="shared" si="1"/>
        <v>Visita</v>
      </c>
      <c r="Q22" s="52">
        <v>0</v>
      </c>
      <c r="R22" s="52">
        <v>3</v>
      </c>
      <c r="S22" s="55" t="s">
        <v>397</v>
      </c>
      <c r="T22" s="53">
        <v>46230</v>
      </c>
    </row>
    <row r="23" spans="1:20" ht="12" customHeight="1">
      <c r="A23" s="51" t="s">
        <v>87</v>
      </c>
      <c r="B23" s="52">
        <v>5</v>
      </c>
      <c r="C23" s="53">
        <v>46201</v>
      </c>
      <c r="D23" s="54" t="s">
        <v>393</v>
      </c>
      <c r="E23" s="55" t="s">
        <v>210</v>
      </c>
      <c r="F23" s="55" t="s">
        <v>176</v>
      </c>
      <c r="G23" s="55" t="s">
        <v>175</v>
      </c>
      <c r="H23" s="56">
        <v>1</v>
      </c>
      <c r="I23" s="56">
        <v>0</v>
      </c>
      <c r="J23" s="56">
        <v>2026</v>
      </c>
      <c r="K23" s="52" t="s">
        <v>99</v>
      </c>
      <c r="L23" s="52" t="s">
        <v>137</v>
      </c>
      <c r="M23" s="52" t="s">
        <v>400</v>
      </c>
      <c r="N23" s="52" t="s">
        <v>405</v>
      </c>
      <c r="O23" s="52" t="str">
        <f t="shared" si="0"/>
        <v>Maestranza</v>
      </c>
      <c r="P23" s="52" t="str">
        <f t="shared" si="1"/>
        <v>Local</v>
      </c>
      <c r="Q23" s="52">
        <v>3</v>
      </c>
      <c r="R23" s="52">
        <v>0</v>
      </c>
      <c r="S23" s="55" t="s">
        <v>397</v>
      </c>
      <c r="T23" s="53">
        <v>46230</v>
      </c>
    </row>
    <row r="24" spans="1:20" ht="12" customHeight="1">
      <c r="A24" s="51" t="s">
        <v>87</v>
      </c>
      <c r="B24" s="52">
        <v>6</v>
      </c>
      <c r="C24" s="53">
        <v>46208</v>
      </c>
      <c r="D24" s="54" t="s">
        <v>393</v>
      </c>
      <c r="E24" s="55" t="s">
        <v>171</v>
      </c>
      <c r="F24" s="55" t="s">
        <v>170</v>
      </c>
      <c r="G24" s="55" t="s">
        <v>166</v>
      </c>
      <c r="H24" s="56">
        <v>2</v>
      </c>
      <c r="I24" s="56">
        <v>0</v>
      </c>
      <c r="J24" s="56">
        <v>2026</v>
      </c>
      <c r="K24" s="52" t="s">
        <v>99</v>
      </c>
      <c r="L24" s="52" t="s">
        <v>137</v>
      </c>
      <c r="M24" s="52" t="s">
        <v>402</v>
      </c>
      <c r="N24" s="52" t="s">
        <v>403</v>
      </c>
      <c r="O24" s="52" t="str">
        <f t="shared" si="0"/>
        <v>Forestal</v>
      </c>
      <c r="P24" s="52" t="str">
        <f t="shared" si="1"/>
        <v>Local</v>
      </c>
      <c r="Q24" s="52">
        <v>3</v>
      </c>
      <c r="R24" s="52">
        <v>0</v>
      </c>
      <c r="S24" s="55" t="s">
        <v>397</v>
      </c>
      <c r="T24" s="53">
        <v>46230</v>
      </c>
    </row>
    <row r="25" spans="1:20" ht="12" customHeight="1">
      <c r="A25" s="51" t="s">
        <v>87</v>
      </c>
      <c r="B25" s="52">
        <v>6</v>
      </c>
      <c r="C25" s="53">
        <v>46208</v>
      </c>
      <c r="D25" s="54" t="s">
        <v>393</v>
      </c>
      <c r="E25" s="55" t="s">
        <v>210</v>
      </c>
      <c r="F25" s="55" t="s">
        <v>172</v>
      </c>
      <c r="G25" s="55" t="s">
        <v>169</v>
      </c>
      <c r="H25" s="56">
        <v>1</v>
      </c>
      <c r="I25" s="56">
        <v>0</v>
      </c>
      <c r="J25" s="56">
        <v>2026</v>
      </c>
      <c r="K25" s="52" t="s">
        <v>99</v>
      </c>
      <c r="L25" s="52" t="s">
        <v>137</v>
      </c>
      <c r="M25" s="52" t="s">
        <v>396</v>
      </c>
      <c r="N25" s="52" t="s">
        <v>404</v>
      </c>
      <c r="O25" s="52" t="str">
        <f t="shared" si="0"/>
        <v>Grinvasul</v>
      </c>
      <c r="P25" s="52" t="str">
        <f t="shared" si="1"/>
        <v>Local</v>
      </c>
      <c r="Q25" s="52">
        <v>3</v>
      </c>
      <c r="R25" s="52">
        <v>0</v>
      </c>
      <c r="S25" s="55" t="s">
        <v>397</v>
      </c>
      <c r="T25" s="53">
        <v>46230</v>
      </c>
    </row>
    <row r="26" spans="1:20" ht="12" customHeight="1">
      <c r="A26" s="51" t="s">
        <v>87</v>
      </c>
      <c r="B26" s="52">
        <v>6</v>
      </c>
      <c r="C26" s="53">
        <v>46208</v>
      </c>
      <c r="D26" s="54" t="s">
        <v>393</v>
      </c>
      <c r="E26" s="55" t="s">
        <v>210</v>
      </c>
      <c r="F26" s="55" t="s">
        <v>176</v>
      </c>
      <c r="G26" s="55" t="s">
        <v>173</v>
      </c>
      <c r="H26" s="56">
        <v>1</v>
      </c>
      <c r="I26" s="56">
        <v>1</v>
      </c>
      <c r="J26" s="56">
        <v>2026</v>
      </c>
      <c r="K26" s="52" t="s">
        <v>99</v>
      </c>
      <c r="L26" s="52" t="s">
        <v>137</v>
      </c>
      <c r="M26" s="52" t="s">
        <v>400</v>
      </c>
      <c r="N26" s="52" t="s">
        <v>405</v>
      </c>
      <c r="O26" s="52" t="str">
        <f t="shared" si="0"/>
        <v>Empate</v>
      </c>
      <c r="P26" s="52" t="str">
        <f t="shared" si="1"/>
        <v>Empate</v>
      </c>
      <c r="Q26" s="52">
        <v>1</v>
      </c>
      <c r="R26" s="52">
        <v>1</v>
      </c>
      <c r="S26" s="55" t="s">
        <v>397</v>
      </c>
      <c r="T26" s="53">
        <v>46230</v>
      </c>
    </row>
    <row r="27" spans="1:20" ht="12" customHeight="1">
      <c r="A27" s="51" t="s">
        <v>87</v>
      </c>
      <c r="B27" s="52">
        <v>6</v>
      </c>
      <c r="C27" s="53">
        <v>46208</v>
      </c>
      <c r="D27" s="54" t="s">
        <v>393</v>
      </c>
      <c r="E27" s="55" t="s">
        <v>210</v>
      </c>
      <c r="F27" s="55" t="s">
        <v>174</v>
      </c>
      <c r="G27" s="55" t="s">
        <v>175</v>
      </c>
      <c r="H27" s="56">
        <v>1</v>
      </c>
      <c r="I27" s="56">
        <v>0</v>
      </c>
      <c r="J27" s="56">
        <v>2026</v>
      </c>
      <c r="K27" s="52" t="s">
        <v>99</v>
      </c>
      <c r="L27" s="52" t="s">
        <v>137</v>
      </c>
      <c r="M27" s="52" t="s">
        <v>403</v>
      </c>
      <c r="N27" s="52" t="s">
        <v>406</v>
      </c>
      <c r="O27" s="52" t="str">
        <f t="shared" si="0"/>
        <v>Inca</v>
      </c>
      <c r="P27" s="52" t="str">
        <f t="shared" si="1"/>
        <v>Local</v>
      </c>
      <c r="Q27" s="52">
        <v>3</v>
      </c>
      <c r="R27" s="52">
        <v>0</v>
      </c>
      <c r="S27" s="55" t="s">
        <v>397</v>
      </c>
      <c r="T27" s="53">
        <v>46230</v>
      </c>
    </row>
    <row r="28" spans="1:20" ht="12" customHeight="1">
      <c r="A28" s="51" t="s">
        <v>87</v>
      </c>
      <c r="B28" s="52">
        <v>7</v>
      </c>
      <c r="C28" s="53">
        <v>46215</v>
      </c>
      <c r="D28" s="54" t="s">
        <v>393</v>
      </c>
      <c r="E28" s="55" t="s">
        <v>205</v>
      </c>
      <c r="F28" s="55" t="s">
        <v>166</v>
      </c>
      <c r="G28" s="55" t="s">
        <v>169</v>
      </c>
      <c r="H28" s="56">
        <v>3</v>
      </c>
      <c r="I28" s="56">
        <v>0</v>
      </c>
      <c r="J28" s="56">
        <v>2026</v>
      </c>
      <c r="K28" s="52" t="s">
        <v>99</v>
      </c>
      <c r="L28" s="52" t="s">
        <v>137</v>
      </c>
      <c r="M28" s="52" t="s">
        <v>396</v>
      </c>
      <c r="N28" s="52" t="s">
        <v>404</v>
      </c>
      <c r="O28" s="52" t="str">
        <f t="shared" si="0"/>
        <v>Villa Alegre</v>
      </c>
      <c r="P28" s="52" t="str">
        <f t="shared" si="1"/>
        <v>Local</v>
      </c>
      <c r="Q28" s="52">
        <v>3</v>
      </c>
      <c r="R28" s="52">
        <v>0</v>
      </c>
      <c r="S28" s="55" t="s">
        <v>397</v>
      </c>
      <c r="T28" s="53">
        <v>46230</v>
      </c>
    </row>
    <row r="29" spans="1:20" ht="12" customHeight="1">
      <c r="A29" s="51" t="s">
        <v>87</v>
      </c>
      <c r="B29" s="52">
        <v>7</v>
      </c>
      <c r="C29" s="53">
        <v>46215</v>
      </c>
      <c r="D29" s="54" t="s">
        <v>393</v>
      </c>
      <c r="E29" s="55" t="s">
        <v>210</v>
      </c>
      <c r="F29" s="55" t="s">
        <v>176</v>
      </c>
      <c r="G29" s="55" t="s">
        <v>170</v>
      </c>
      <c r="H29" s="56">
        <v>0</v>
      </c>
      <c r="I29" s="56">
        <v>2</v>
      </c>
      <c r="J29" s="56">
        <v>2026</v>
      </c>
      <c r="K29" s="52" t="s">
        <v>99</v>
      </c>
      <c r="L29" s="52" t="s">
        <v>137</v>
      </c>
      <c r="M29" s="52" t="s">
        <v>400</v>
      </c>
      <c r="N29" s="52" t="s">
        <v>405</v>
      </c>
      <c r="O29" s="52" t="str">
        <f t="shared" si="0"/>
        <v>Forestal</v>
      </c>
      <c r="P29" s="52" t="str">
        <f t="shared" si="1"/>
        <v>Visita</v>
      </c>
      <c r="Q29" s="52">
        <v>0</v>
      </c>
      <c r="R29" s="52">
        <v>3</v>
      </c>
      <c r="S29" s="55" t="s">
        <v>397</v>
      </c>
      <c r="T29" s="53">
        <v>46230</v>
      </c>
    </row>
    <row r="30" spans="1:20" ht="12" customHeight="1">
      <c r="A30" s="51" t="s">
        <v>87</v>
      </c>
      <c r="B30" s="52">
        <v>7</v>
      </c>
      <c r="C30" s="53">
        <v>46215</v>
      </c>
      <c r="D30" s="54" t="s">
        <v>393</v>
      </c>
      <c r="E30" s="55" t="s">
        <v>210</v>
      </c>
      <c r="F30" s="55" t="s">
        <v>172</v>
      </c>
      <c r="G30" s="55" t="s">
        <v>175</v>
      </c>
      <c r="H30" s="56">
        <v>0</v>
      </c>
      <c r="I30" s="56">
        <v>3</v>
      </c>
      <c r="J30" s="56">
        <v>2026</v>
      </c>
      <c r="K30" s="52" t="s">
        <v>99</v>
      </c>
      <c r="L30" s="52" t="s">
        <v>137</v>
      </c>
      <c r="M30" s="52" t="s">
        <v>403</v>
      </c>
      <c r="N30" s="52" t="s">
        <v>406</v>
      </c>
      <c r="O30" s="52" t="str">
        <f t="shared" si="0"/>
        <v>Colo Colo</v>
      </c>
      <c r="P30" s="52" t="str">
        <f t="shared" si="1"/>
        <v>Visita</v>
      </c>
      <c r="Q30" s="52">
        <v>0</v>
      </c>
      <c r="R30" s="52">
        <v>3</v>
      </c>
      <c r="S30" s="55" t="s">
        <v>397</v>
      </c>
      <c r="T30" s="53">
        <v>46230</v>
      </c>
    </row>
    <row r="31" spans="1:20" ht="12" customHeight="1">
      <c r="A31" s="51" t="s">
        <v>87</v>
      </c>
      <c r="B31" s="52">
        <v>7</v>
      </c>
      <c r="C31" s="53">
        <v>46215</v>
      </c>
      <c r="D31" s="54" t="s">
        <v>393</v>
      </c>
      <c r="E31" s="55" t="s">
        <v>210</v>
      </c>
      <c r="F31" s="55" t="s">
        <v>174</v>
      </c>
      <c r="G31" s="55" t="s">
        <v>173</v>
      </c>
      <c r="H31" s="56">
        <v>0</v>
      </c>
      <c r="I31" s="56">
        <v>1</v>
      </c>
      <c r="J31" s="56">
        <v>2026</v>
      </c>
      <c r="K31" s="52" t="s">
        <v>99</v>
      </c>
      <c r="L31" s="52" t="s">
        <v>137</v>
      </c>
      <c r="M31" s="52" t="s">
        <v>404</v>
      </c>
      <c r="N31" s="52" t="s">
        <v>394</v>
      </c>
      <c r="O31" s="52" t="str">
        <f t="shared" si="0"/>
        <v>Jota Montt</v>
      </c>
      <c r="P31" s="52" t="str">
        <f t="shared" si="1"/>
        <v>Visita</v>
      </c>
      <c r="Q31" s="52">
        <v>0</v>
      </c>
      <c r="R31" s="52">
        <v>3</v>
      </c>
      <c r="S31" s="55" t="s">
        <v>397</v>
      </c>
      <c r="T31" s="53">
        <v>46230</v>
      </c>
    </row>
    <row r="32" spans="1:20" ht="12" customHeight="1">
      <c r="A32" s="51" t="s">
        <v>87</v>
      </c>
      <c r="B32" s="52">
        <v>8</v>
      </c>
      <c r="C32" s="53">
        <v>46222</v>
      </c>
      <c r="D32" s="54" t="s">
        <v>393</v>
      </c>
      <c r="E32" s="55" t="s">
        <v>210</v>
      </c>
      <c r="F32" s="55" t="s">
        <v>176</v>
      </c>
      <c r="G32" s="55" t="s">
        <v>166</v>
      </c>
      <c r="H32" s="56">
        <v>0</v>
      </c>
      <c r="I32" s="56">
        <v>1</v>
      </c>
      <c r="J32" s="56">
        <v>2026</v>
      </c>
      <c r="K32" s="52" t="s">
        <v>99</v>
      </c>
      <c r="L32" s="52" t="s">
        <v>137</v>
      </c>
      <c r="M32" s="52" t="s">
        <v>400</v>
      </c>
      <c r="N32" s="52" t="s">
        <v>405</v>
      </c>
      <c r="O32" s="52" t="str">
        <f t="shared" si="0"/>
        <v>Villa Alegre</v>
      </c>
      <c r="P32" s="52" t="str">
        <f t="shared" si="1"/>
        <v>Visita</v>
      </c>
      <c r="Q32" s="52">
        <v>0</v>
      </c>
      <c r="R32" s="52">
        <v>3</v>
      </c>
      <c r="S32" s="55" t="s">
        <v>397</v>
      </c>
      <c r="T32" s="53">
        <v>46230</v>
      </c>
    </row>
    <row r="33" spans="1:20" ht="12" customHeight="1">
      <c r="A33" s="51" t="s">
        <v>87</v>
      </c>
      <c r="B33" s="52">
        <v>8</v>
      </c>
      <c r="C33" s="53">
        <v>46222</v>
      </c>
      <c r="D33" s="54" t="s">
        <v>393</v>
      </c>
      <c r="E33" s="55" t="s">
        <v>207</v>
      </c>
      <c r="F33" s="55" t="s">
        <v>169</v>
      </c>
      <c r="G33" s="55" t="s">
        <v>175</v>
      </c>
      <c r="H33" s="56">
        <v>0</v>
      </c>
      <c r="I33" s="56">
        <v>1</v>
      </c>
      <c r="J33" s="56">
        <v>2026</v>
      </c>
      <c r="K33" s="52" t="s">
        <v>99</v>
      </c>
      <c r="L33" s="52" t="s">
        <v>137</v>
      </c>
      <c r="M33" s="52" t="s">
        <v>403</v>
      </c>
      <c r="N33" s="52" t="s">
        <v>406</v>
      </c>
      <c r="O33" s="52" t="str">
        <f t="shared" si="0"/>
        <v>Colo Colo</v>
      </c>
      <c r="P33" s="52" t="str">
        <f t="shared" si="1"/>
        <v>Visita</v>
      </c>
      <c r="Q33" s="52">
        <v>0</v>
      </c>
      <c r="R33" s="52">
        <v>3</v>
      </c>
      <c r="S33" s="55" t="s">
        <v>397</v>
      </c>
      <c r="T33" s="53">
        <v>46230</v>
      </c>
    </row>
    <row r="34" spans="1:20" ht="12" customHeight="1">
      <c r="A34" s="51" t="s">
        <v>87</v>
      </c>
      <c r="B34" s="52">
        <v>8</v>
      </c>
      <c r="C34" s="53">
        <v>46222</v>
      </c>
      <c r="D34" s="54" t="s">
        <v>393</v>
      </c>
      <c r="E34" s="55" t="s">
        <v>210</v>
      </c>
      <c r="F34" s="55" t="s">
        <v>174</v>
      </c>
      <c r="G34" s="55" t="s">
        <v>170</v>
      </c>
      <c r="H34" s="56">
        <v>2</v>
      </c>
      <c r="I34" s="56">
        <v>0</v>
      </c>
      <c r="J34" s="56">
        <v>2026</v>
      </c>
      <c r="K34" s="52" t="s">
        <v>99</v>
      </c>
      <c r="L34" s="52" t="s">
        <v>137</v>
      </c>
      <c r="M34" s="52" t="s">
        <v>404</v>
      </c>
      <c r="N34" s="52" t="s">
        <v>394</v>
      </c>
      <c r="O34" s="52" t="str">
        <f t="shared" si="0"/>
        <v>Inca</v>
      </c>
      <c r="P34" s="52" t="str">
        <f t="shared" si="1"/>
        <v>Local</v>
      </c>
      <c r="Q34" s="52">
        <v>3</v>
      </c>
      <c r="R34" s="52">
        <v>0</v>
      </c>
      <c r="S34" s="55" t="s">
        <v>397</v>
      </c>
      <c r="T34" s="53">
        <v>46230</v>
      </c>
    </row>
    <row r="35" spans="1:20" ht="12" customHeight="1">
      <c r="A35" s="51" t="s">
        <v>87</v>
      </c>
      <c r="B35" s="52">
        <v>8</v>
      </c>
      <c r="C35" s="53">
        <v>46222</v>
      </c>
      <c r="D35" s="54" t="s">
        <v>393</v>
      </c>
      <c r="E35" s="55" t="s">
        <v>210</v>
      </c>
      <c r="F35" s="55" t="s">
        <v>172</v>
      </c>
      <c r="G35" s="55" t="s">
        <v>173</v>
      </c>
      <c r="H35" s="56">
        <v>0</v>
      </c>
      <c r="I35" s="56">
        <v>1</v>
      </c>
      <c r="J35" s="56">
        <v>2026</v>
      </c>
      <c r="K35" s="52" t="s">
        <v>99</v>
      </c>
      <c r="L35" s="52" t="s">
        <v>137</v>
      </c>
      <c r="M35" s="52" t="s">
        <v>405</v>
      </c>
      <c r="N35" s="52" t="s">
        <v>398</v>
      </c>
      <c r="O35" s="52" t="str">
        <f t="shared" si="0"/>
        <v>Jota Montt</v>
      </c>
      <c r="P35" s="52" t="str">
        <f t="shared" si="1"/>
        <v>Visita</v>
      </c>
      <c r="Q35" s="52">
        <v>0</v>
      </c>
      <c r="R35" s="52">
        <v>3</v>
      </c>
      <c r="S35" s="55" t="s">
        <v>397</v>
      </c>
      <c r="T35" s="53">
        <v>46230</v>
      </c>
    </row>
    <row r="36" spans="1:20" ht="12" customHeight="1">
      <c r="A36" s="51" t="s">
        <v>87</v>
      </c>
      <c r="B36" s="52">
        <v>9</v>
      </c>
      <c r="C36" s="53">
        <v>46229</v>
      </c>
      <c r="D36" s="54" t="s">
        <v>393</v>
      </c>
      <c r="E36" s="55" t="s">
        <v>205</v>
      </c>
      <c r="F36" s="55" t="s">
        <v>166</v>
      </c>
      <c r="G36" s="55" t="s">
        <v>175</v>
      </c>
      <c r="H36" s="56">
        <v>1</v>
      </c>
      <c r="I36" s="56">
        <v>0</v>
      </c>
      <c r="J36" s="56">
        <v>2026</v>
      </c>
      <c r="K36" s="52" t="s">
        <v>99</v>
      </c>
      <c r="L36" s="52" t="s">
        <v>137</v>
      </c>
      <c r="M36" s="52" t="s">
        <v>403</v>
      </c>
      <c r="N36" s="52" t="s">
        <v>406</v>
      </c>
      <c r="O36" s="52" t="str">
        <f t="shared" si="0"/>
        <v>Villa Alegre</v>
      </c>
      <c r="P36" s="52" t="str">
        <f t="shared" si="1"/>
        <v>Local</v>
      </c>
      <c r="Q36" s="52">
        <v>3</v>
      </c>
      <c r="R36" s="52">
        <v>0</v>
      </c>
      <c r="S36" s="55" t="s">
        <v>397</v>
      </c>
      <c r="T36" s="53">
        <v>46230</v>
      </c>
    </row>
    <row r="37" spans="1:20" ht="12" customHeight="1">
      <c r="A37" s="51" t="s">
        <v>87</v>
      </c>
      <c r="B37" s="52">
        <v>9</v>
      </c>
      <c r="C37" s="53">
        <v>46229</v>
      </c>
      <c r="D37" s="54" t="s">
        <v>393</v>
      </c>
      <c r="E37" s="55" t="s">
        <v>210</v>
      </c>
      <c r="F37" s="55" t="s">
        <v>174</v>
      </c>
      <c r="G37" s="55" t="s">
        <v>176</v>
      </c>
      <c r="H37" s="56">
        <v>3</v>
      </c>
      <c r="I37" s="56">
        <v>0</v>
      </c>
      <c r="J37" s="56">
        <v>2026</v>
      </c>
      <c r="K37" s="52" t="s">
        <v>99</v>
      </c>
      <c r="L37" s="52" t="s">
        <v>137</v>
      </c>
      <c r="M37" s="52" t="s">
        <v>404</v>
      </c>
      <c r="N37" s="52" t="s">
        <v>394</v>
      </c>
      <c r="O37" s="52" t="str">
        <f t="shared" si="0"/>
        <v>Inca</v>
      </c>
      <c r="P37" s="52" t="str">
        <f t="shared" si="1"/>
        <v>Local</v>
      </c>
      <c r="Q37" s="52">
        <v>3</v>
      </c>
      <c r="R37" s="52">
        <v>0</v>
      </c>
      <c r="S37" s="55" t="s">
        <v>397</v>
      </c>
      <c r="T37" s="53">
        <v>46230</v>
      </c>
    </row>
    <row r="38" spans="1:20" ht="12" customHeight="1">
      <c r="A38" s="51" t="s">
        <v>87</v>
      </c>
      <c r="B38" s="52">
        <v>9</v>
      </c>
      <c r="C38" s="53">
        <v>46229</v>
      </c>
      <c r="D38" s="54" t="s">
        <v>393</v>
      </c>
      <c r="E38" s="55" t="s">
        <v>207</v>
      </c>
      <c r="F38" s="55" t="s">
        <v>169</v>
      </c>
      <c r="G38" s="55" t="s">
        <v>173</v>
      </c>
      <c r="H38" s="56">
        <v>0</v>
      </c>
      <c r="I38" s="56">
        <v>2</v>
      </c>
      <c r="J38" s="56">
        <v>2026</v>
      </c>
      <c r="K38" s="52" t="s">
        <v>99</v>
      </c>
      <c r="L38" s="52" t="s">
        <v>137</v>
      </c>
      <c r="M38" s="52" t="s">
        <v>405</v>
      </c>
      <c r="N38" s="52" t="s">
        <v>398</v>
      </c>
      <c r="O38" s="52" t="str">
        <f t="shared" si="0"/>
        <v>Jota Montt</v>
      </c>
      <c r="P38" s="52" t="str">
        <f t="shared" si="1"/>
        <v>Visita</v>
      </c>
      <c r="Q38" s="52">
        <v>0</v>
      </c>
      <c r="R38" s="52">
        <v>3</v>
      </c>
      <c r="S38" s="55" t="s">
        <v>397</v>
      </c>
      <c r="T38" s="53">
        <v>46230</v>
      </c>
    </row>
    <row r="39" spans="1:20" ht="12" customHeight="1">
      <c r="A39" s="51" t="s">
        <v>87</v>
      </c>
      <c r="B39" s="52">
        <v>9</v>
      </c>
      <c r="C39" s="53">
        <v>46229</v>
      </c>
      <c r="D39" s="54" t="s">
        <v>393</v>
      </c>
      <c r="E39" s="55" t="s">
        <v>210</v>
      </c>
      <c r="F39" s="55" t="s">
        <v>172</v>
      </c>
      <c r="G39" s="55" t="s">
        <v>170</v>
      </c>
      <c r="H39" s="56">
        <v>1</v>
      </c>
      <c r="I39" s="56">
        <v>0</v>
      </c>
      <c r="J39" s="56">
        <v>2026</v>
      </c>
      <c r="K39" s="52" t="s">
        <v>99</v>
      </c>
      <c r="L39" s="52" t="s">
        <v>137</v>
      </c>
      <c r="M39" s="52" t="s">
        <v>406</v>
      </c>
      <c r="N39" s="52" t="s">
        <v>401</v>
      </c>
      <c r="O39" s="52" t="str">
        <f t="shared" si="0"/>
        <v>Grinvasul</v>
      </c>
      <c r="P39" s="52" t="str">
        <f t="shared" si="1"/>
        <v>Local</v>
      </c>
      <c r="Q39" s="52">
        <v>3</v>
      </c>
      <c r="R39" s="52">
        <v>0</v>
      </c>
      <c r="S39" s="55" t="s">
        <v>397</v>
      </c>
      <c r="T39" s="53">
        <v>46230</v>
      </c>
    </row>
    <row r="40" spans="1:20" ht="12" customHeight="1">
      <c r="A40" s="51" t="s">
        <v>87</v>
      </c>
      <c r="B40" s="52">
        <v>10</v>
      </c>
      <c r="C40" s="53">
        <v>46236</v>
      </c>
      <c r="D40" s="54" t="s">
        <v>393</v>
      </c>
      <c r="E40" s="55" t="s">
        <v>210</v>
      </c>
      <c r="F40" s="55" t="s">
        <v>174</v>
      </c>
      <c r="G40" s="55" t="s">
        <v>166</v>
      </c>
      <c r="H40" s="56"/>
      <c r="I40" s="56"/>
      <c r="J40" s="56">
        <v>2026</v>
      </c>
      <c r="K40" s="52" t="s">
        <v>99</v>
      </c>
      <c r="L40" s="52" t="s">
        <v>88</v>
      </c>
      <c r="M40" s="52" t="s">
        <v>404</v>
      </c>
      <c r="N40" s="52" t="s">
        <v>394</v>
      </c>
      <c r="O40" s="52" t="str">
        <f t="shared" si="0"/>
        <v/>
      </c>
      <c r="P40" s="52" t="str">
        <f t="shared" si="1"/>
        <v/>
      </c>
      <c r="Q40" s="52"/>
      <c r="R40" s="52"/>
      <c r="S40" s="55" t="s">
        <v>407</v>
      </c>
      <c r="T40" s="53">
        <v>46230</v>
      </c>
    </row>
    <row r="41" spans="1:20" ht="12" customHeight="1">
      <c r="A41" s="51" t="s">
        <v>87</v>
      </c>
      <c r="B41" s="52">
        <v>10</v>
      </c>
      <c r="C41" s="53">
        <v>46236</v>
      </c>
      <c r="D41" s="54" t="s">
        <v>393</v>
      </c>
      <c r="E41" s="55" t="s">
        <v>207</v>
      </c>
      <c r="F41" s="55" t="s">
        <v>175</v>
      </c>
      <c r="G41" s="55" t="s">
        <v>173</v>
      </c>
      <c r="H41" s="56"/>
      <c r="I41" s="56"/>
      <c r="J41" s="56">
        <v>2026</v>
      </c>
      <c r="K41" s="52" t="s">
        <v>99</v>
      </c>
      <c r="L41" s="52" t="s">
        <v>88</v>
      </c>
      <c r="M41" s="52" t="s">
        <v>405</v>
      </c>
      <c r="N41" s="52" t="s">
        <v>398</v>
      </c>
      <c r="O41" s="52" t="str">
        <f t="shared" si="0"/>
        <v/>
      </c>
      <c r="P41" s="52" t="str">
        <f t="shared" si="1"/>
        <v/>
      </c>
      <c r="Q41" s="52"/>
      <c r="R41" s="52"/>
      <c r="S41" s="55" t="s">
        <v>407</v>
      </c>
      <c r="T41" s="53">
        <v>46230</v>
      </c>
    </row>
    <row r="42" spans="1:20" ht="12" customHeight="1">
      <c r="A42" s="51" t="s">
        <v>87</v>
      </c>
      <c r="B42" s="52">
        <v>10</v>
      </c>
      <c r="C42" s="53">
        <v>46236</v>
      </c>
      <c r="D42" s="54" t="s">
        <v>393</v>
      </c>
      <c r="E42" s="55" t="s">
        <v>210</v>
      </c>
      <c r="F42" s="55" t="s">
        <v>172</v>
      </c>
      <c r="G42" s="55" t="s">
        <v>176</v>
      </c>
      <c r="H42" s="56"/>
      <c r="I42" s="56"/>
      <c r="J42" s="56">
        <v>2026</v>
      </c>
      <c r="K42" s="52" t="s">
        <v>99</v>
      </c>
      <c r="L42" s="52" t="s">
        <v>88</v>
      </c>
      <c r="M42" s="52" t="s">
        <v>406</v>
      </c>
      <c r="N42" s="52" t="s">
        <v>401</v>
      </c>
      <c r="O42" s="52" t="str">
        <f t="shared" si="0"/>
        <v/>
      </c>
      <c r="P42" s="52" t="str">
        <f t="shared" si="1"/>
        <v/>
      </c>
      <c r="Q42" s="52"/>
      <c r="R42" s="52"/>
      <c r="S42" s="55" t="s">
        <v>407</v>
      </c>
      <c r="T42" s="53">
        <v>46230</v>
      </c>
    </row>
    <row r="43" spans="1:20" ht="12" customHeight="1">
      <c r="A43" s="51" t="s">
        <v>87</v>
      </c>
      <c r="B43" s="52">
        <v>10</v>
      </c>
      <c r="C43" s="53">
        <v>46236</v>
      </c>
      <c r="D43" s="54" t="s">
        <v>393</v>
      </c>
      <c r="E43" s="55" t="s">
        <v>207</v>
      </c>
      <c r="F43" s="55" t="s">
        <v>169</v>
      </c>
      <c r="G43" s="55" t="s">
        <v>170</v>
      </c>
      <c r="H43" s="56"/>
      <c r="I43" s="56"/>
      <c r="J43" s="56">
        <v>2026</v>
      </c>
      <c r="K43" s="52" t="s">
        <v>99</v>
      </c>
      <c r="L43" s="52" t="s">
        <v>88</v>
      </c>
      <c r="M43" s="52" t="s">
        <v>394</v>
      </c>
      <c r="N43" s="52" t="s">
        <v>395</v>
      </c>
      <c r="O43" s="52" t="str">
        <f t="shared" si="0"/>
        <v/>
      </c>
      <c r="P43" s="52" t="str">
        <f t="shared" si="1"/>
        <v/>
      </c>
      <c r="Q43" s="52"/>
      <c r="R43" s="52"/>
      <c r="S43" s="55" t="s">
        <v>407</v>
      </c>
      <c r="T43" s="53">
        <v>46230</v>
      </c>
    </row>
    <row r="44" spans="1:20" ht="12" customHeight="1">
      <c r="A44" s="51" t="s">
        <v>87</v>
      </c>
      <c r="B44" s="52">
        <v>11</v>
      </c>
      <c r="C44" s="53">
        <v>46243</v>
      </c>
      <c r="D44" s="54" t="s">
        <v>393</v>
      </c>
      <c r="E44" s="55" t="s">
        <v>205</v>
      </c>
      <c r="F44" s="55" t="s">
        <v>166</v>
      </c>
      <c r="G44" s="55" t="s">
        <v>173</v>
      </c>
      <c r="H44" s="56"/>
      <c r="I44" s="56"/>
      <c r="J44" s="56">
        <v>2026</v>
      </c>
      <c r="K44" s="52" t="s">
        <v>99</v>
      </c>
      <c r="L44" s="52" t="s">
        <v>88</v>
      </c>
      <c r="M44" s="52" t="s">
        <v>405</v>
      </c>
      <c r="N44" s="52" t="s">
        <v>398</v>
      </c>
      <c r="O44" s="52" t="str">
        <f t="shared" si="0"/>
        <v/>
      </c>
      <c r="P44" s="52" t="str">
        <f t="shared" si="1"/>
        <v/>
      </c>
      <c r="Q44" s="52"/>
      <c r="R44" s="52"/>
      <c r="S44" s="55" t="s">
        <v>407</v>
      </c>
      <c r="T44" s="53">
        <v>46230</v>
      </c>
    </row>
    <row r="45" spans="1:20" ht="12" customHeight="1">
      <c r="A45" s="51" t="s">
        <v>87</v>
      </c>
      <c r="B45" s="52">
        <v>11</v>
      </c>
      <c r="C45" s="53">
        <v>46243</v>
      </c>
      <c r="D45" s="54" t="s">
        <v>393</v>
      </c>
      <c r="E45" s="55" t="s">
        <v>210</v>
      </c>
      <c r="F45" s="55" t="s">
        <v>172</v>
      </c>
      <c r="G45" s="55" t="s">
        <v>174</v>
      </c>
      <c r="H45" s="56"/>
      <c r="I45" s="56"/>
      <c r="J45" s="56">
        <v>2026</v>
      </c>
      <c r="K45" s="52" t="s">
        <v>99</v>
      </c>
      <c r="L45" s="52" t="s">
        <v>88</v>
      </c>
      <c r="M45" s="52" t="s">
        <v>406</v>
      </c>
      <c r="N45" s="52" t="s">
        <v>401</v>
      </c>
      <c r="O45" s="52" t="str">
        <f t="shared" si="0"/>
        <v/>
      </c>
      <c r="P45" s="52" t="str">
        <f t="shared" si="1"/>
        <v/>
      </c>
      <c r="Q45" s="52"/>
      <c r="R45" s="52"/>
      <c r="S45" s="55" t="s">
        <v>407</v>
      </c>
      <c r="T45" s="53">
        <v>46230</v>
      </c>
    </row>
    <row r="46" spans="1:20" ht="12" customHeight="1">
      <c r="A46" s="51" t="s">
        <v>87</v>
      </c>
      <c r="B46" s="52">
        <v>11</v>
      </c>
      <c r="C46" s="53">
        <v>46243</v>
      </c>
      <c r="D46" s="54" t="s">
        <v>393</v>
      </c>
      <c r="E46" s="55" t="s">
        <v>207</v>
      </c>
      <c r="F46" s="55" t="s">
        <v>175</v>
      </c>
      <c r="G46" s="55" t="s">
        <v>170</v>
      </c>
      <c r="H46" s="56"/>
      <c r="I46" s="56"/>
      <c r="J46" s="56">
        <v>2026</v>
      </c>
      <c r="K46" s="52" t="s">
        <v>99</v>
      </c>
      <c r="L46" s="52" t="s">
        <v>88</v>
      </c>
      <c r="M46" s="52" t="s">
        <v>394</v>
      </c>
      <c r="N46" s="52" t="s">
        <v>395</v>
      </c>
      <c r="O46" s="52" t="str">
        <f t="shared" si="0"/>
        <v/>
      </c>
      <c r="P46" s="52" t="str">
        <f t="shared" si="1"/>
        <v/>
      </c>
      <c r="Q46" s="52"/>
      <c r="R46" s="52"/>
      <c r="S46" s="55" t="s">
        <v>407</v>
      </c>
      <c r="T46" s="53">
        <v>46230</v>
      </c>
    </row>
    <row r="47" spans="1:20" ht="12" customHeight="1">
      <c r="A47" s="51" t="s">
        <v>87</v>
      </c>
      <c r="B47" s="52">
        <v>11</v>
      </c>
      <c r="C47" s="53">
        <v>46243</v>
      </c>
      <c r="D47" s="54" t="s">
        <v>393</v>
      </c>
      <c r="E47" s="55" t="s">
        <v>207</v>
      </c>
      <c r="F47" s="55" t="s">
        <v>169</v>
      </c>
      <c r="G47" s="55" t="s">
        <v>176</v>
      </c>
      <c r="H47" s="56"/>
      <c r="I47" s="56"/>
      <c r="J47" s="56">
        <v>2026</v>
      </c>
      <c r="K47" s="52" t="s">
        <v>99</v>
      </c>
      <c r="L47" s="52" t="s">
        <v>88</v>
      </c>
      <c r="M47" s="52" t="s">
        <v>398</v>
      </c>
      <c r="N47" s="52" t="s">
        <v>399</v>
      </c>
      <c r="O47" s="52" t="str">
        <f t="shared" si="0"/>
        <v/>
      </c>
      <c r="P47" s="52" t="str">
        <f t="shared" si="1"/>
        <v/>
      </c>
      <c r="Q47" s="52"/>
      <c r="R47" s="52"/>
      <c r="S47" s="55" t="s">
        <v>407</v>
      </c>
      <c r="T47" s="53">
        <v>46230</v>
      </c>
    </row>
    <row r="48" spans="1:20" ht="12" customHeight="1">
      <c r="A48" s="51" t="s">
        <v>87</v>
      </c>
      <c r="B48" s="52">
        <v>12</v>
      </c>
      <c r="C48" s="53">
        <v>46250</v>
      </c>
      <c r="D48" s="54" t="s">
        <v>393</v>
      </c>
      <c r="E48" s="55" t="s">
        <v>210</v>
      </c>
      <c r="F48" s="55" t="s">
        <v>172</v>
      </c>
      <c r="G48" s="55" t="s">
        <v>166</v>
      </c>
      <c r="H48" s="56"/>
      <c r="I48" s="56"/>
      <c r="J48" s="56">
        <v>2026</v>
      </c>
      <c r="K48" s="52" t="s">
        <v>99</v>
      </c>
      <c r="L48" s="52" t="s">
        <v>88</v>
      </c>
      <c r="M48" s="52" t="s">
        <v>406</v>
      </c>
      <c r="N48" s="52" t="s">
        <v>401</v>
      </c>
      <c r="O48" s="52" t="str">
        <f t="shared" si="0"/>
        <v/>
      </c>
      <c r="P48" s="52" t="str">
        <f t="shared" si="1"/>
        <v/>
      </c>
      <c r="Q48" s="52"/>
      <c r="R48" s="52"/>
      <c r="S48" s="55" t="s">
        <v>407</v>
      </c>
      <c r="T48" s="53">
        <v>46230</v>
      </c>
    </row>
    <row r="49" spans="1:20" ht="12" customHeight="1">
      <c r="A49" s="51" t="s">
        <v>87</v>
      </c>
      <c r="B49" s="52">
        <v>12</v>
      </c>
      <c r="C49" s="53">
        <v>46250</v>
      </c>
      <c r="D49" s="54" t="s">
        <v>393</v>
      </c>
      <c r="E49" s="55" t="s">
        <v>205</v>
      </c>
      <c r="F49" s="55" t="s">
        <v>173</v>
      </c>
      <c r="G49" s="55" t="s">
        <v>170</v>
      </c>
      <c r="H49" s="56"/>
      <c r="I49" s="56"/>
      <c r="J49" s="56">
        <v>2026</v>
      </c>
      <c r="K49" s="52" t="s">
        <v>99</v>
      </c>
      <c r="L49" s="52" t="s">
        <v>88</v>
      </c>
      <c r="M49" s="52" t="s">
        <v>394</v>
      </c>
      <c r="N49" s="52" t="s">
        <v>395</v>
      </c>
      <c r="O49" s="52" t="str">
        <f t="shared" si="0"/>
        <v/>
      </c>
      <c r="P49" s="52" t="str">
        <f t="shared" si="1"/>
        <v/>
      </c>
      <c r="Q49" s="52"/>
      <c r="R49" s="52"/>
      <c r="S49" s="55" t="s">
        <v>407</v>
      </c>
      <c r="T49" s="53">
        <v>46230</v>
      </c>
    </row>
    <row r="50" spans="1:20" ht="12" customHeight="1">
      <c r="A50" s="51" t="s">
        <v>87</v>
      </c>
      <c r="B50" s="52">
        <v>12</v>
      </c>
      <c r="C50" s="53">
        <v>46250</v>
      </c>
      <c r="D50" s="54" t="s">
        <v>393</v>
      </c>
      <c r="E50" s="55" t="s">
        <v>207</v>
      </c>
      <c r="F50" s="55" t="s">
        <v>169</v>
      </c>
      <c r="G50" s="55" t="s">
        <v>174</v>
      </c>
      <c r="H50" s="56"/>
      <c r="I50" s="56"/>
      <c r="J50" s="56">
        <v>2026</v>
      </c>
      <c r="K50" s="52" t="s">
        <v>99</v>
      </c>
      <c r="L50" s="52" t="s">
        <v>88</v>
      </c>
      <c r="M50" s="52" t="s">
        <v>398</v>
      </c>
      <c r="N50" s="52" t="s">
        <v>399</v>
      </c>
      <c r="O50" s="52" t="str">
        <f t="shared" si="0"/>
        <v/>
      </c>
      <c r="P50" s="52" t="str">
        <f t="shared" si="1"/>
        <v/>
      </c>
      <c r="Q50" s="52"/>
      <c r="R50" s="52"/>
      <c r="S50" s="55" t="s">
        <v>407</v>
      </c>
      <c r="T50" s="53">
        <v>46230</v>
      </c>
    </row>
    <row r="51" spans="1:20" ht="12" customHeight="1">
      <c r="A51" s="51" t="s">
        <v>87</v>
      </c>
      <c r="B51" s="52">
        <v>12</v>
      </c>
      <c r="C51" s="53">
        <v>46250</v>
      </c>
      <c r="D51" s="54" t="s">
        <v>393</v>
      </c>
      <c r="E51" s="55" t="s">
        <v>207</v>
      </c>
      <c r="F51" s="55" t="s">
        <v>175</v>
      </c>
      <c r="G51" s="55" t="s">
        <v>176</v>
      </c>
      <c r="H51" s="56"/>
      <c r="I51" s="56"/>
      <c r="J51" s="56">
        <v>2026</v>
      </c>
      <c r="K51" s="52" t="s">
        <v>99</v>
      </c>
      <c r="L51" s="52" t="s">
        <v>88</v>
      </c>
      <c r="M51" s="52" t="s">
        <v>401</v>
      </c>
      <c r="N51" s="52" t="s">
        <v>402</v>
      </c>
      <c r="O51" s="52" t="str">
        <f t="shared" si="0"/>
        <v/>
      </c>
      <c r="P51" s="52" t="str">
        <f t="shared" si="1"/>
        <v/>
      </c>
      <c r="Q51" s="52"/>
      <c r="R51" s="52"/>
      <c r="S51" s="55" t="s">
        <v>407</v>
      </c>
      <c r="T51" s="53">
        <v>46230</v>
      </c>
    </row>
    <row r="52" spans="1:20" ht="12" customHeight="1">
      <c r="A52" s="51" t="s">
        <v>87</v>
      </c>
      <c r="B52" s="52">
        <v>13</v>
      </c>
      <c r="C52" s="53">
        <v>46257</v>
      </c>
      <c r="D52" s="54" t="s">
        <v>393</v>
      </c>
      <c r="E52" s="55" t="s">
        <v>205</v>
      </c>
      <c r="F52" s="55" t="s">
        <v>166</v>
      </c>
      <c r="G52" s="55" t="s">
        <v>170</v>
      </c>
      <c r="H52" s="56"/>
      <c r="I52" s="56"/>
      <c r="J52" s="56">
        <v>2026</v>
      </c>
      <c r="K52" s="52" t="s">
        <v>99</v>
      </c>
      <c r="L52" s="52" t="s">
        <v>88</v>
      </c>
      <c r="M52" s="52" t="s">
        <v>394</v>
      </c>
      <c r="N52" s="52" t="s">
        <v>395</v>
      </c>
      <c r="O52" s="52" t="str">
        <f t="shared" si="0"/>
        <v/>
      </c>
      <c r="P52" s="52" t="str">
        <f t="shared" si="1"/>
        <v/>
      </c>
      <c r="Q52" s="52"/>
      <c r="R52" s="52"/>
      <c r="S52" s="55" t="s">
        <v>407</v>
      </c>
      <c r="T52" s="53">
        <v>46230</v>
      </c>
    </row>
    <row r="53" spans="1:20" ht="12" customHeight="1">
      <c r="A53" s="51" t="s">
        <v>87</v>
      </c>
      <c r="B53" s="52">
        <v>13</v>
      </c>
      <c r="C53" s="53">
        <v>46257</v>
      </c>
      <c r="D53" s="54" t="s">
        <v>393</v>
      </c>
      <c r="E53" s="55" t="s">
        <v>207</v>
      </c>
      <c r="F53" s="55" t="s">
        <v>169</v>
      </c>
      <c r="G53" s="55" t="s">
        <v>172</v>
      </c>
      <c r="H53" s="56"/>
      <c r="I53" s="56"/>
      <c r="J53" s="56">
        <v>2026</v>
      </c>
      <c r="K53" s="52" t="s">
        <v>99</v>
      </c>
      <c r="L53" s="52" t="s">
        <v>88</v>
      </c>
      <c r="M53" s="52" t="s">
        <v>398</v>
      </c>
      <c r="N53" s="52" t="s">
        <v>399</v>
      </c>
      <c r="O53" s="52" t="str">
        <f t="shared" si="0"/>
        <v/>
      </c>
      <c r="P53" s="52" t="str">
        <f t="shared" si="1"/>
        <v/>
      </c>
      <c r="Q53" s="52"/>
      <c r="R53" s="52"/>
      <c r="S53" s="55" t="s">
        <v>407</v>
      </c>
      <c r="T53" s="53">
        <v>46230</v>
      </c>
    </row>
    <row r="54" spans="1:20" ht="12" customHeight="1">
      <c r="A54" s="51" t="s">
        <v>87</v>
      </c>
      <c r="B54" s="52">
        <v>13</v>
      </c>
      <c r="C54" s="53">
        <v>46257</v>
      </c>
      <c r="D54" s="54" t="s">
        <v>393</v>
      </c>
      <c r="E54" s="55" t="s">
        <v>205</v>
      </c>
      <c r="F54" s="55" t="s">
        <v>173</v>
      </c>
      <c r="G54" s="55" t="s">
        <v>176</v>
      </c>
      <c r="H54" s="56"/>
      <c r="I54" s="56"/>
      <c r="J54" s="56">
        <v>2026</v>
      </c>
      <c r="K54" s="52" t="s">
        <v>99</v>
      </c>
      <c r="L54" s="52" t="s">
        <v>88</v>
      </c>
      <c r="M54" s="52" t="s">
        <v>401</v>
      </c>
      <c r="N54" s="52" t="s">
        <v>402</v>
      </c>
      <c r="O54" s="52" t="str">
        <f t="shared" si="0"/>
        <v/>
      </c>
      <c r="P54" s="52" t="str">
        <f t="shared" si="1"/>
        <v/>
      </c>
      <c r="Q54" s="52"/>
      <c r="R54" s="52"/>
      <c r="S54" s="55" t="s">
        <v>407</v>
      </c>
      <c r="T54" s="53">
        <v>46230</v>
      </c>
    </row>
    <row r="55" spans="1:20" ht="12" customHeight="1">
      <c r="A55" s="51" t="s">
        <v>87</v>
      </c>
      <c r="B55" s="52">
        <v>13</v>
      </c>
      <c r="C55" s="53">
        <v>46257</v>
      </c>
      <c r="D55" s="54" t="s">
        <v>393</v>
      </c>
      <c r="E55" s="55" t="s">
        <v>207</v>
      </c>
      <c r="F55" s="55" t="s">
        <v>175</v>
      </c>
      <c r="G55" s="55" t="s">
        <v>174</v>
      </c>
      <c r="H55" s="56"/>
      <c r="I55" s="56"/>
      <c r="J55" s="56">
        <v>2026</v>
      </c>
      <c r="K55" s="52" t="s">
        <v>99</v>
      </c>
      <c r="L55" s="52" t="s">
        <v>88</v>
      </c>
      <c r="M55" s="52" t="s">
        <v>395</v>
      </c>
      <c r="N55" s="52" t="s">
        <v>396</v>
      </c>
      <c r="O55" s="52" t="str">
        <f t="shared" si="0"/>
        <v/>
      </c>
      <c r="P55" s="52" t="str">
        <f t="shared" si="1"/>
        <v/>
      </c>
      <c r="Q55" s="52"/>
      <c r="R55" s="52"/>
      <c r="S55" s="55" t="s">
        <v>407</v>
      </c>
      <c r="T55" s="53">
        <v>46230</v>
      </c>
    </row>
    <row r="56" spans="1:20" ht="12" customHeight="1">
      <c r="A56" s="51" t="s">
        <v>87</v>
      </c>
      <c r="B56" s="52">
        <v>14</v>
      </c>
      <c r="C56" s="53">
        <v>46264</v>
      </c>
      <c r="D56" s="54" t="s">
        <v>393</v>
      </c>
      <c r="E56" s="55" t="s">
        <v>207</v>
      </c>
      <c r="F56" s="55" t="s">
        <v>169</v>
      </c>
      <c r="G56" s="55" t="s">
        <v>166</v>
      </c>
      <c r="H56" s="56"/>
      <c r="I56" s="56"/>
      <c r="J56" s="56">
        <v>2026</v>
      </c>
      <c r="K56" s="52" t="s">
        <v>99</v>
      </c>
      <c r="L56" s="52" t="s">
        <v>88</v>
      </c>
      <c r="M56" s="52" t="s">
        <v>398</v>
      </c>
      <c r="N56" s="52" t="s">
        <v>399</v>
      </c>
      <c r="O56" s="52" t="str">
        <f t="shared" si="0"/>
        <v/>
      </c>
      <c r="P56" s="52" t="str">
        <f t="shared" si="1"/>
        <v/>
      </c>
      <c r="Q56" s="52"/>
      <c r="R56" s="52"/>
      <c r="S56" s="55" t="s">
        <v>407</v>
      </c>
      <c r="T56" s="53">
        <v>46230</v>
      </c>
    </row>
    <row r="57" spans="1:20" ht="12" customHeight="1">
      <c r="A57" s="51" t="s">
        <v>87</v>
      </c>
      <c r="B57" s="52">
        <v>14</v>
      </c>
      <c r="C57" s="53">
        <v>46264</v>
      </c>
      <c r="D57" s="54" t="s">
        <v>393</v>
      </c>
      <c r="E57" s="55" t="s">
        <v>171</v>
      </c>
      <c r="F57" s="55" t="s">
        <v>170</v>
      </c>
      <c r="G57" s="55" t="s">
        <v>176</v>
      </c>
      <c r="H57" s="56"/>
      <c r="I57" s="56"/>
      <c r="J57" s="56">
        <v>2026</v>
      </c>
      <c r="K57" s="52" t="s">
        <v>99</v>
      </c>
      <c r="L57" s="52" t="s">
        <v>88</v>
      </c>
      <c r="M57" s="52" t="s">
        <v>401</v>
      </c>
      <c r="N57" s="52" t="s">
        <v>402</v>
      </c>
      <c r="O57" s="52" t="str">
        <f t="shared" si="0"/>
        <v/>
      </c>
      <c r="P57" s="52" t="str">
        <f t="shared" si="1"/>
        <v/>
      </c>
      <c r="Q57" s="52"/>
      <c r="R57" s="52"/>
      <c r="S57" s="55" t="s">
        <v>407</v>
      </c>
      <c r="T57" s="53">
        <v>46230</v>
      </c>
    </row>
    <row r="58" spans="1:20" ht="12" customHeight="1">
      <c r="A58" s="51" t="s">
        <v>87</v>
      </c>
      <c r="B58" s="52">
        <v>14</v>
      </c>
      <c r="C58" s="53">
        <v>46264</v>
      </c>
      <c r="D58" s="54" t="s">
        <v>393</v>
      </c>
      <c r="E58" s="55" t="s">
        <v>207</v>
      </c>
      <c r="F58" s="55" t="s">
        <v>175</v>
      </c>
      <c r="G58" s="55" t="s">
        <v>172</v>
      </c>
      <c r="H58" s="56"/>
      <c r="I58" s="56"/>
      <c r="J58" s="56">
        <v>2026</v>
      </c>
      <c r="K58" s="52" t="s">
        <v>99</v>
      </c>
      <c r="L58" s="52" t="s">
        <v>88</v>
      </c>
      <c r="M58" s="52" t="s">
        <v>395</v>
      </c>
      <c r="N58" s="52" t="s">
        <v>396</v>
      </c>
      <c r="O58" s="52" t="str">
        <f t="shared" si="0"/>
        <v/>
      </c>
      <c r="P58" s="52" t="str">
        <f t="shared" si="1"/>
        <v/>
      </c>
      <c r="Q58" s="52"/>
      <c r="R58" s="52"/>
      <c r="S58" s="55" t="s">
        <v>407</v>
      </c>
      <c r="T58" s="53">
        <v>46230</v>
      </c>
    </row>
    <row r="59" spans="1:20" ht="12" customHeight="1">
      <c r="A59" s="51" t="s">
        <v>87</v>
      </c>
      <c r="B59" s="52">
        <v>14</v>
      </c>
      <c r="C59" s="53">
        <v>46264</v>
      </c>
      <c r="D59" s="54" t="s">
        <v>393</v>
      </c>
      <c r="E59" s="55" t="s">
        <v>205</v>
      </c>
      <c r="F59" s="55" t="s">
        <v>173</v>
      </c>
      <c r="G59" s="55" t="s">
        <v>174</v>
      </c>
      <c r="H59" s="56"/>
      <c r="I59" s="56"/>
      <c r="J59" s="56">
        <v>2026</v>
      </c>
      <c r="K59" s="52" t="s">
        <v>99</v>
      </c>
      <c r="L59" s="52" t="s">
        <v>88</v>
      </c>
      <c r="M59" s="52" t="s">
        <v>399</v>
      </c>
      <c r="N59" s="52" t="s">
        <v>400</v>
      </c>
      <c r="O59" s="52" t="str">
        <f t="shared" si="0"/>
        <v/>
      </c>
      <c r="P59" s="52" t="str">
        <f t="shared" si="1"/>
        <v/>
      </c>
      <c r="Q59" s="52"/>
      <c r="R59" s="52"/>
      <c r="S59" s="55" t="s">
        <v>407</v>
      </c>
      <c r="T59" s="53">
        <v>46230</v>
      </c>
    </row>
    <row r="60" spans="1:20" ht="12" customHeight="1">
      <c r="A60" s="51" t="s">
        <v>100</v>
      </c>
      <c r="B60" s="52">
        <v>1</v>
      </c>
      <c r="C60" s="53">
        <v>46173</v>
      </c>
      <c r="D60" s="54" t="s">
        <v>408</v>
      </c>
      <c r="E60" s="55" t="s">
        <v>205</v>
      </c>
      <c r="F60" s="55" t="s">
        <v>166</v>
      </c>
      <c r="G60" s="55" t="s">
        <v>176</v>
      </c>
      <c r="H60" s="56">
        <v>0</v>
      </c>
      <c r="I60" s="56">
        <v>2</v>
      </c>
      <c r="J60" s="56">
        <v>2026</v>
      </c>
      <c r="K60" s="52" t="s">
        <v>99</v>
      </c>
      <c r="L60" s="52" t="s">
        <v>137</v>
      </c>
      <c r="M60" s="52" t="s">
        <v>399</v>
      </c>
      <c r="N60" s="52" t="s">
        <v>400</v>
      </c>
      <c r="O60" s="52" t="str">
        <f t="shared" si="0"/>
        <v>Maestranza</v>
      </c>
      <c r="P60" s="52" t="str">
        <f t="shared" si="1"/>
        <v>Visita</v>
      </c>
      <c r="Q60" s="52">
        <v>0</v>
      </c>
      <c r="R60" s="52">
        <v>3</v>
      </c>
      <c r="S60" s="55" t="s">
        <v>397</v>
      </c>
      <c r="T60" s="53">
        <v>46230</v>
      </c>
    </row>
    <row r="61" spans="1:20" ht="12" customHeight="1">
      <c r="A61" s="51" t="s">
        <v>100</v>
      </c>
      <c r="B61" s="52">
        <v>1</v>
      </c>
      <c r="C61" s="53">
        <v>46173</v>
      </c>
      <c r="D61" s="54" t="s">
        <v>408</v>
      </c>
      <c r="E61" s="55" t="s">
        <v>207</v>
      </c>
      <c r="F61" s="55" t="s">
        <v>175</v>
      </c>
      <c r="G61" s="55" t="s">
        <v>169</v>
      </c>
      <c r="H61" s="56">
        <v>1</v>
      </c>
      <c r="I61" s="56">
        <v>2</v>
      </c>
      <c r="J61" s="56">
        <v>2026</v>
      </c>
      <c r="K61" s="52" t="s">
        <v>99</v>
      </c>
      <c r="L61" s="52" t="s">
        <v>137</v>
      </c>
      <c r="M61" s="52" t="s">
        <v>402</v>
      </c>
      <c r="N61" s="52" t="s">
        <v>403</v>
      </c>
      <c r="O61" s="52" t="str">
        <f t="shared" si="0"/>
        <v>U.J. Lautaro</v>
      </c>
      <c r="P61" s="52" t="str">
        <f t="shared" si="1"/>
        <v>Visita</v>
      </c>
      <c r="Q61" s="52">
        <v>0</v>
      </c>
      <c r="R61" s="52">
        <v>3</v>
      </c>
      <c r="S61" s="55" t="s">
        <v>397</v>
      </c>
      <c r="T61" s="53">
        <v>46230</v>
      </c>
    </row>
    <row r="62" spans="1:20" ht="12" customHeight="1">
      <c r="A62" s="51" t="s">
        <v>100</v>
      </c>
      <c r="B62" s="52">
        <v>1</v>
      </c>
      <c r="C62" s="53">
        <v>46173</v>
      </c>
      <c r="D62" s="54" t="s">
        <v>408</v>
      </c>
      <c r="E62" s="55" t="s">
        <v>171</v>
      </c>
      <c r="F62" s="55" t="s">
        <v>170</v>
      </c>
      <c r="G62" s="55" t="s">
        <v>174</v>
      </c>
      <c r="H62" s="56">
        <v>1</v>
      </c>
      <c r="I62" s="56">
        <v>0</v>
      </c>
      <c r="J62" s="56">
        <v>2026</v>
      </c>
      <c r="K62" s="52" t="s">
        <v>99</v>
      </c>
      <c r="L62" s="52" t="s">
        <v>137</v>
      </c>
      <c r="M62" s="52" t="s">
        <v>396</v>
      </c>
      <c r="N62" s="52" t="s">
        <v>404</v>
      </c>
      <c r="O62" s="52" t="str">
        <f t="shared" si="0"/>
        <v>Forestal</v>
      </c>
      <c r="P62" s="52" t="str">
        <f t="shared" si="1"/>
        <v>Local</v>
      </c>
      <c r="Q62" s="52">
        <v>3</v>
      </c>
      <c r="R62" s="52">
        <v>0</v>
      </c>
      <c r="S62" s="55" t="s">
        <v>397</v>
      </c>
      <c r="T62" s="53">
        <v>46230</v>
      </c>
    </row>
    <row r="63" spans="1:20" ht="12" customHeight="1">
      <c r="A63" s="51" t="s">
        <v>100</v>
      </c>
      <c r="B63" s="52">
        <v>1</v>
      </c>
      <c r="C63" s="53">
        <v>46173</v>
      </c>
      <c r="D63" s="54" t="s">
        <v>408</v>
      </c>
      <c r="E63" s="55" t="s">
        <v>205</v>
      </c>
      <c r="F63" s="55" t="s">
        <v>173</v>
      </c>
      <c r="G63" s="55" t="s">
        <v>172</v>
      </c>
      <c r="H63" s="56">
        <v>2</v>
      </c>
      <c r="I63" s="56">
        <v>1</v>
      </c>
      <c r="J63" s="56">
        <v>2026</v>
      </c>
      <c r="K63" s="52" t="s">
        <v>99</v>
      </c>
      <c r="L63" s="52" t="s">
        <v>137</v>
      </c>
      <c r="M63" s="52" t="s">
        <v>400</v>
      </c>
      <c r="N63" s="52" t="s">
        <v>405</v>
      </c>
      <c r="O63" s="52" t="str">
        <f t="shared" si="0"/>
        <v>Jota Montt</v>
      </c>
      <c r="P63" s="52" t="str">
        <f t="shared" si="1"/>
        <v>Local</v>
      </c>
      <c r="Q63" s="52">
        <v>3</v>
      </c>
      <c r="R63" s="52">
        <v>0</v>
      </c>
      <c r="S63" s="55" t="s">
        <v>397</v>
      </c>
      <c r="T63" s="53">
        <v>46230</v>
      </c>
    </row>
    <row r="64" spans="1:20" ht="12" customHeight="1">
      <c r="A64" s="51" t="s">
        <v>100</v>
      </c>
      <c r="B64" s="52">
        <v>2</v>
      </c>
      <c r="C64" s="53">
        <v>46180</v>
      </c>
      <c r="D64" s="54" t="s">
        <v>408</v>
      </c>
      <c r="E64" s="55" t="s">
        <v>207</v>
      </c>
      <c r="F64" s="55" t="s">
        <v>175</v>
      </c>
      <c r="G64" s="55" t="s">
        <v>166</v>
      </c>
      <c r="H64" s="56">
        <v>1</v>
      </c>
      <c r="I64" s="56">
        <v>1</v>
      </c>
      <c r="J64" s="56">
        <v>2026</v>
      </c>
      <c r="K64" s="52" t="s">
        <v>99</v>
      </c>
      <c r="L64" s="52" t="s">
        <v>137</v>
      </c>
      <c r="M64" s="52" t="s">
        <v>402</v>
      </c>
      <c r="N64" s="52" t="s">
        <v>403</v>
      </c>
      <c r="O64" s="52" t="str">
        <f t="shared" si="0"/>
        <v>Empate</v>
      </c>
      <c r="P64" s="52" t="str">
        <f t="shared" si="1"/>
        <v>Empate</v>
      </c>
      <c r="Q64" s="52">
        <v>1</v>
      </c>
      <c r="R64" s="52">
        <v>1</v>
      </c>
      <c r="S64" s="55" t="s">
        <v>397</v>
      </c>
      <c r="T64" s="53">
        <v>46230</v>
      </c>
    </row>
    <row r="65" spans="1:20" ht="12" customHeight="1">
      <c r="A65" s="51" t="s">
        <v>100</v>
      </c>
      <c r="B65" s="52">
        <v>2</v>
      </c>
      <c r="C65" s="53">
        <v>46180</v>
      </c>
      <c r="D65" s="54" t="s">
        <v>408</v>
      </c>
      <c r="E65" s="55" t="s">
        <v>210</v>
      </c>
      <c r="F65" s="55" t="s">
        <v>176</v>
      </c>
      <c r="G65" s="55" t="s">
        <v>174</v>
      </c>
      <c r="H65" s="56">
        <v>0</v>
      </c>
      <c r="I65" s="56">
        <v>2</v>
      </c>
      <c r="J65" s="56">
        <v>2026</v>
      </c>
      <c r="K65" s="52" t="s">
        <v>99</v>
      </c>
      <c r="L65" s="52" t="s">
        <v>137</v>
      </c>
      <c r="M65" s="52" t="s">
        <v>396</v>
      </c>
      <c r="N65" s="52" t="s">
        <v>404</v>
      </c>
      <c r="O65" s="52" t="str">
        <f t="shared" si="0"/>
        <v>Inca</v>
      </c>
      <c r="P65" s="52" t="str">
        <f t="shared" si="1"/>
        <v>Visita</v>
      </c>
      <c r="Q65" s="52">
        <v>0</v>
      </c>
      <c r="R65" s="52">
        <v>3</v>
      </c>
      <c r="S65" s="55" t="s">
        <v>397</v>
      </c>
      <c r="T65" s="53">
        <v>46230</v>
      </c>
    </row>
    <row r="66" spans="1:20" ht="12" customHeight="1">
      <c r="A66" s="51" t="s">
        <v>100</v>
      </c>
      <c r="B66" s="52">
        <v>2</v>
      </c>
      <c r="C66" s="53">
        <v>46180</v>
      </c>
      <c r="D66" s="54" t="s">
        <v>408</v>
      </c>
      <c r="E66" s="55" t="s">
        <v>205</v>
      </c>
      <c r="F66" s="55" t="s">
        <v>173</v>
      </c>
      <c r="G66" s="55" t="s">
        <v>169</v>
      </c>
      <c r="H66" s="56">
        <v>1</v>
      </c>
      <c r="I66" s="56">
        <v>0</v>
      </c>
      <c r="J66" s="56">
        <v>2026</v>
      </c>
      <c r="K66" s="52" t="s">
        <v>99</v>
      </c>
      <c r="L66" s="52" t="s">
        <v>137</v>
      </c>
      <c r="M66" s="52" t="s">
        <v>400</v>
      </c>
      <c r="N66" s="52" t="s">
        <v>405</v>
      </c>
      <c r="O66" s="52" t="str">
        <f t="shared" si="0"/>
        <v>Jota Montt</v>
      </c>
      <c r="P66" s="52" t="str">
        <f t="shared" si="1"/>
        <v>Local</v>
      </c>
      <c r="Q66" s="52">
        <v>3</v>
      </c>
      <c r="R66" s="52">
        <v>0</v>
      </c>
      <c r="S66" s="55" t="s">
        <v>397</v>
      </c>
      <c r="T66" s="53">
        <v>46230</v>
      </c>
    </row>
    <row r="67" spans="1:20" ht="12" customHeight="1">
      <c r="A67" s="51" t="s">
        <v>100</v>
      </c>
      <c r="B67" s="52">
        <v>2</v>
      </c>
      <c r="C67" s="53">
        <v>46180</v>
      </c>
      <c r="D67" s="54" t="s">
        <v>408</v>
      </c>
      <c r="E67" s="55" t="s">
        <v>171</v>
      </c>
      <c r="F67" s="55" t="s">
        <v>170</v>
      </c>
      <c r="G67" s="55" t="s">
        <v>172</v>
      </c>
      <c r="H67" s="56">
        <v>1</v>
      </c>
      <c r="I67" s="56">
        <v>1</v>
      </c>
      <c r="J67" s="56">
        <v>2026</v>
      </c>
      <c r="K67" s="52" t="s">
        <v>99</v>
      </c>
      <c r="L67" s="52" t="s">
        <v>137</v>
      </c>
      <c r="M67" s="52" t="s">
        <v>403</v>
      </c>
      <c r="N67" s="52" t="s">
        <v>406</v>
      </c>
      <c r="O67" s="52" t="str">
        <f t="shared" si="0"/>
        <v>Empate</v>
      </c>
      <c r="P67" s="52" t="str">
        <f t="shared" si="1"/>
        <v>Empate</v>
      </c>
      <c r="Q67" s="52">
        <v>1</v>
      </c>
      <c r="R67" s="52">
        <v>1</v>
      </c>
      <c r="S67" s="55" t="s">
        <v>397</v>
      </c>
      <c r="T67" s="53">
        <v>46230</v>
      </c>
    </row>
    <row r="68" spans="1:20" ht="12" customHeight="1">
      <c r="A68" s="51" t="s">
        <v>100</v>
      </c>
      <c r="B68" s="52">
        <v>3</v>
      </c>
      <c r="C68" s="53">
        <v>46187</v>
      </c>
      <c r="D68" s="54" t="s">
        <v>408</v>
      </c>
      <c r="E68" s="55" t="s">
        <v>205</v>
      </c>
      <c r="F68" s="55" t="s">
        <v>166</v>
      </c>
      <c r="G68" s="55" t="s">
        <v>174</v>
      </c>
      <c r="H68" s="56">
        <v>1</v>
      </c>
      <c r="I68" s="56">
        <v>0</v>
      </c>
      <c r="J68" s="56">
        <v>2026</v>
      </c>
      <c r="K68" s="52" t="s">
        <v>99</v>
      </c>
      <c r="L68" s="52" t="s">
        <v>137</v>
      </c>
      <c r="M68" s="52" t="s">
        <v>396</v>
      </c>
      <c r="N68" s="52" t="s">
        <v>404</v>
      </c>
      <c r="O68" s="52" t="str">
        <f t="shared" ref="O68:O131" si="2">IF(OR(L68&lt;&gt;"Finalizado",H68="",I68=""),"",IF(H68&gt;I68,F68,IF(I68&gt;H68,G68,"Empate")))</f>
        <v>Villa Alegre</v>
      </c>
      <c r="P68" s="52" t="str">
        <f t="shared" ref="P68:P131" si="3">IF(OR(L68&lt;&gt;"Finalizado",H68="",I68=""),"",IF(H68=I68,"Empate",IF(H68&gt;I68,"Local","Visita")))</f>
        <v>Local</v>
      </c>
      <c r="Q68" s="52">
        <v>3</v>
      </c>
      <c r="R68" s="52">
        <v>0</v>
      </c>
      <c r="S68" s="55" t="s">
        <v>397</v>
      </c>
      <c r="T68" s="53">
        <v>46230</v>
      </c>
    </row>
    <row r="69" spans="1:20" ht="12" customHeight="1">
      <c r="A69" s="51" t="s">
        <v>100</v>
      </c>
      <c r="B69" s="52">
        <v>3</v>
      </c>
      <c r="C69" s="53">
        <v>46187</v>
      </c>
      <c r="D69" s="54" t="s">
        <v>408</v>
      </c>
      <c r="E69" s="55" t="s">
        <v>205</v>
      </c>
      <c r="F69" s="55" t="s">
        <v>173</v>
      </c>
      <c r="G69" s="55" t="s">
        <v>175</v>
      </c>
      <c r="H69" s="56">
        <v>1</v>
      </c>
      <c r="I69" s="56">
        <v>2</v>
      </c>
      <c r="J69" s="56">
        <v>2026</v>
      </c>
      <c r="K69" s="52" t="s">
        <v>99</v>
      </c>
      <c r="L69" s="52" t="s">
        <v>137</v>
      </c>
      <c r="M69" s="52" t="s">
        <v>400</v>
      </c>
      <c r="N69" s="52" t="s">
        <v>405</v>
      </c>
      <c r="O69" s="52" t="str">
        <f t="shared" si="2"/>
        <v>Colo Colo</v>
      </c>
      <c r="P69" s="52" t="str">
        <f t="shared" si="3"/>
        <v>Visita</v>
      </c>
      <c r="Q69" s="52">
        <v>0</v>
      </c>
      <c r="R69" s="52">
        <v>3</v>
      </c>
      <c r="S69" s="55" t="s">
        <v>397</v>
      </c>
      <c r="T69" s="53">
        <v>46230</v>
      </c>
    </row>
    <row r="70" spans="1:20" ht="12" customHeight="1">
      <c r="A70" s="51" t="s">
        <v>100</v>
      </c>
      <c r="B70" s="52">
        <v>3</v>
      </c>
      <c r="C70" s="53">
        <v>46187</v>
      </c>
      <c r="D70" s="54" t="s">
        <v>408</v>
      </c>
      <c r="E70" s="55" t="s">
        <v>210</v>
      </c>
      <c r="F70" s="55" t="s">
        <v>176</v>
      </c>
      <c r="G70" s="55" t="s">
        <v>172</v>
      </c>
      <c r="H70" s="56">
        <v>1</v>
      </c>
      <c r="I70" s="56">
        <v>1</v>
      </c>
      <c r="J70" s="56">
        <v>2026</v>
      </c>
      <c r="K70" s="52" t="s">
        <v>99</v>
      </c>
      <c r="L70" s="52" t="s">
        <v>137</v>
      </c>
      <c r="M70" s="52" t="s">
        <v>403</v>
      </c>
      <c r="N70" s="52" t="s">
        <v>406</v>
      </c>
      <c r="O70" s="52" t="str">
        <f t="shared" si="2"/>
        <v>Empate</v>
      </c>
      <c r="P70" s="52" t="str">
        <f t="shared" si="3"/>
        <v>Empate</v>
      </c>
      <c r="Q70" s="52">
        <v>1</v>
      </c>
      <c r="R70" s="52">
        <v>1</v>
      </c>
      <c r="S70" s="55" t="s">
        <v>397</v>
      </c>
      <c r="T70" s="53">
        <v>46230</v>
      </c>
    </row>
    <row r="71" spans="1:20" ht="12" customHeight="1">
      <c r="A71" s="51" t="s">
        <v>100</v>
      </c>
      <c r="B71" s="52">
        <v>3</v>
      </c>
      <c r="C71" s="53">
        <v>46187</v>
      </c>
      <c r="D71" s="54" t="s">
        <v>408</v>
      </c>
      <c r="E71" s="55" t="s">
        <v>171</v>
      </c>
      <c r="F71" s="55" t="s">
        <v>170</v>
      </c>
      <c r="G71" s="55" t="s">
        <v>169</v>
      </c>
      <c r="H71" s="56">
        <v>2</v>
      </c>
      <c r="I71" s="56">
        <v>1</v>
      </c>
      <c r="J71" s="56">
        <v>2026</v>
      </c>
      <c r="K71" s="52" t="s">
        <v>99</v>
      </c>
      <c r="L71" s="52" t="s">
        <v>137</v>
      </c>
      <c r="M71" s="52" t="s">
        <v>404</v>
      </c>
      <c r="N71" s="52" t="s">
        <v>394</v>
      </c>
      <c r="O71" s="52" t="str">
        <f t="shared" si="2"/>
        <v>Forestal</v>
      </c>
      <c r="P71" s="52" t="str">
        <f t="shared" si="3"/>
        <v>Local</v>
      </c>
      <c r="Q71" s="52">
        <v>3</v>
      </c>
      <c r="R71" s="52">
        <v>0</v>
      </c>
      <c r="S71" s="55" t="s">
        <v>397</v>
      </c>
      <c r="T71" s="53">
        <v>46230</v>
      </c>
    </row>
    <row r="72" spans="1:20" ht="12" customHeight="1">
      <c r="A72" s="51" t="s">
        <v>100</v>
      </c>
      <c r="B72" s="52">
        <v>4</v>
      </c>
      <c r="C72" s="53">
        <v>46194</v>
      </c>
      <c r="D72" s="54" t="s">
        <v>408</v>
      </c>
      <c r="E72" s="55" t="s">
        <v>205</v>
      </c>
      <c r="F72" s="55" t="s">
        <v>173</v>
      </c>
      <c r="G72" s="55" t="s">
        <v>166</v>
      </c>
      <c r="H72" s="56">
        <v>1</v>
      </c>
      <c r="I72" s="56">
        <v>0</v>
      </c>
      <c r="J72" s="56">
        <v>2026</v>
      </c>
      <c r="K72" s="52" t="s">
        <v>99</v>
      </c>
      <c r="L72" s="52" t="s">
        <v>137</v>
      </c>
      <c r="M72" s="52" t="s">
        <v>400</v>
      </c>
      <c r="N72" s="52" t="s">
        <v>405</v>
      </c>
      <c r="O72" s="52" t="str">
        <f t="shared" si="2"/>
        <v>Jota Montt</v>
      </c>
      <c r="P72" s="52" t="str">
        <f t="shared" si="3"/>
        <v>Local</v>
      </c>
      <c r="Q72" s="52">
        <v>3</v>
      </c>
      <c r="R72" s="52">
        <v>0</v>
      </c>
      <c r="S72" s="55" t="s">
        <v>397</v>
      </c>
      <c r="T72" s="53">
        <v>46230</v>
      </c>
    </row>
    <row r="73" spans="1:20" ht="12" customHeight="1">
      <c r="A73" s="51" t="s">
        <v>100</v>
      </c>
      <c r="B73" s="52">
        <v>4</v>
      </c>
      <c r="C73" s="53">
        <v>46194</v>
      </c>
      <c r="D73" s="54" t="s">
        <v>408</v>
      </c>
      <c r="E73" s="55" t="s">
        <v>210</v>
      </c>
      <c r="F73" s="55" t="s">
        <v>174</v>
      </c>
      <c r="G73" s="55" t="s">
        <v>172</v>
      </c>
      <c r="H73" s="56">
        <v>1</v>
      </c>
      <c r="I73" s="56">
        <v>1</v>
      </c>
      <c r="J73" s="56">
        <v>2026</v>
      </c>
      <c r="K73" s="52" t="s">
        <v>99</v>
      </c>
      <c r="L73" s="52" t="s">
        <v>137</v>
      </c>
      <c r="M73" s="52" t="s">
        <v>403</v>
      </c>
      <c r="N73" s="52" t="s">
        <v>406</v>
      </c>
      <c r="O73" s="52" t="str">
        <f t="shared" si="2"/>
        <v>Empate</v>
      </c>
      <c r="P73" s="52" t="str">
        <f t="shared" si="3"/>
        <v>Empate</v>
      </c>
      <c r="Q73" s="52">
        <v>1</v>
      </c>
      <c r="R73" s="52">
        <v>1</v>
      </c>
      <c r="S73" s="55" t="s">
        <v>397</v>
      </c>
      <c r="T73" s="53">
        <v>46230</v>
      </c>
    </row>
    <row r="74" spans="1:20" ht="12" customHeight="1">
      <c r="A74" s="51" t="s">
        <v>100</v>
      </c>
      <c r="B74" s="52">
        <v>4</v>
      </c>
      <c r="C74" s="53">
        <v>46194</v>
      </c>
      <c r="D74" s="54" t="s">
        <v>408</v>
      </c>
      <c r="E74" s="55" t="s">
        <v>171</v>
      </c>
      <c r="F74" s="55" t="s">
        <v>170</v>
      </c>
      <c r="G74" s="55" t="s">
        <v>175</v>
      </c>
      <c r="H74" s="56">
        <v>3</v>
      </c>
      <c r="I74" s="56">
        <v>1</v>
      </c>
      <c r="J74" s="56">
        <v>2026</v>
      </c>
      <c r="K74" s="52" t="s">
        <v>99</v>
      </c>
      <c r="L74" s="52" t="s">
        <v>137</v>
      </c>
      <c r="M74" s="52" t="s">
        <v>404</v>
      </c>
      <c r="N74" s="52" t="s">
        <v>394</v>
      </c>
      <c r="O74" s="52" t="str">
        <f t="shared" si="2"/>
        <v>Forestal</v>
      </c>
      <c r="P74" s="52" t="str">
        <f t="shared" si="3"/>
        <v>Local</v>
      </c>
      <c r="Q74" s="52">
        <v>3</v>
      </c>
      <c r="R74" s="52">
        <v>0</v>
      </c>
      <c r="S74" s="55" t="s">
        <v>397</v>
      </c>
      <c r="T74" s="53">
        <v>46230</v>
      </c>
    </row>
    <row r="75" spans="1:20" ht="12" customHeight="1">
      <c r="A75" s="51" t="s">
        <v>100</v>
      </c>
      <c r="B75" s="52">
        <v>4</v>
      </c>
      <c r="C75" s="53">
        <v>46194</v>
      </c>
      <c r="D75" s="54" t="s">
        <v>408</v>
      </c>
      <c r="E75" s="55" t="s">
        <v>210</v>
      </c>
      <c r="F75" s="55" t="s">
        <v>176</v>
      </c>
      <c r="G75" s="55" t="s">
        <v>169</v>
      </c>
      <c r="H75" s="56">
        <v>1</v>
      </c>
      <c r="I75" s="56">
        <v>1</v>
      </c>
      <c r="J75" s="56">
        <v>2026</v>
      </c>
      <c r="K75" s="52" t="s">
        <v>99</v>
      </c>
      <c r="L75" s="52" t="s">
        <v>137</v>
      </c>
      <c r="M75" s="52" t="s">
        <v>405</v>
      </c>
      <c r="N75" s="52" t="s">
        <v>398</v>
      </c>
      <c r="O75" s="52" t="str">
        <f t="shared" si="2"/>
        <v>Empate</v>
      </c>
      <c r="P75" s="52" t="str">
        <f t="shared" si="3"/>
        <v>Empate</v>
      </c>
      <c r="Q75" s="52">
        <v>1</v>
      </c>
      <c r="R75" s="52">
        <v>1</v>
      </c>
      <c r="S75" s="55" t="s">
        <v>397</v>
      </c>
      <c r="T75" s="53">
        <v>46230</v>
      </c>
    </row>
    <row r="76" spans="1:20" ht="12" customHeight="1">
      <c r="A76" s="51" t="s">
        <v>100</v>
      </c>
      <c r="B76" s="52">
        <v>5</v>
      </c>
      <c r="C76" s="53">
        <v>46201</v>
      </c>
      <c r="D76" s="54" t="s">
        <v>408</v>
      </c>
      <c r="E76" s="55" t="s">
        <v>205</v>
      </c>
      <c r="F76" s="55" t="s">
        <v>166</v>
      </c>
      <c r="G76" s="55" t="s">
        <v>172</v>
      </c>
      <c r="H76" s="56">
        <v>1</v>
      </c>
      <c r="I76" s="56">
        <v>2</v>
      </c>
      <c r="J76" s="56">
        <v>2026</v>
      </c>
      <c r="K76" s="52" t="s">
        <v>99</v>
      </c>
      <c r="L76" s="52" t="s">
        <v>137</v>
      </c>
      <c r="M76" s="52" t="s">
        <v>403</v>
      </c>
      <c r="N76" s="52" t="s">
        <v>406</v>
      </c>
      <c r="O76" s="52" t="str">
        <f t="shared" si="2"/>
        <v>Grinvasul</v>
      </c>
      <c r="P76" s="52" t="str">
        <f t="shared" si="3"/>
        <v>Visita</v>
      </c>
      <c r="Q76" s="52">
        <v>0</v>
      </c>
      <c r="R76" s="52">
        <v>3</v>
      </c>
      <c r="S76" s="55" t="s">
        <v>397</v>
      </c>
      <c r="T76" s="53">
        <v>46230</v>
      </c>
    </row>
    <row r="77" spans="1:20" ht="12" customHeight="1">
      <c r="A77" s="51" t="s">
        <v>100</v>
      </c>
      <c r="B77" s="52">
        <v>5</v>
      </c>
      <c r="C77" s="53">
        <v>46201</v>
      </c>
      <c r="D77" s="54" t="s">
        <v>408</v>
      </c>
      <c r="E77" s="55" t="s">
        <v>171</v>
      </c>
      <c r="F77" s="55" t="s">
        <v>170</v>
      </c>
      <c r="G77" s="55" t="s">
        <v>173</v>
      </c>
      <c r="H77" s="56">
        <v>1</v>
      </c>
      <c r="I77" s="56">
        <v>1</v>
      </c>
      <c r="J77" s="56">
        <v>2026</v>
      </c>
      <c r="K77" s="52" t="s">
        <v>99</v>
      </c>
      <c r="L77" s="52" t="s">
        <v>137</v>
      </c>
      <c r="M77" s="52" t="s">
        <v>404</v>
      </c>
      <c r="N77" s="52" t="s">
        <v>394</v>
      </c>
      <c r="O77" s="52" t="str">
        <f t="shared" si="2"/>
        <v>Empate</v>
      </c>
      <c r="P77" s="52" t="str">
        <f t="shared" si="3"/>
        <v>Empate</v>
      </c>
      <c r="Q77" s="52">
        <v>1</v>
      </c>
      <c r="R77" s="52">
        <v>1</v>
      </c>
      <c r="S77" s="55" t="s">
        <v>397</v>
      </c>
      <c r="T77" s="53">
        <v>46230</v>
      </c>
    </row>
    <row r="78" spans="1:20" ht="12" customHeight="1">
      <c r="A78" s="51" t="s">
        <v>100</v>
      </c>
      <c r="B78" s="52">
        <v>5</v>
      </c>
      <c r="C78" s="53">
        <v>46201</v>
      </c>
      <c r="D78" s="54" t="s">
        <v>408</v>
      </c>
      <c r="E78" s="55" t="s">
        <v>210</v>
      </c>
      <c r="F78" s="55" t="s">
        <v>174</v>
      </c>
      <c r="G78" s="55" t="s">
        <v>169</v>
      </c>
      <c r="H78" s="56">
        <v>0</v>
      </c>
      <c r="I78" s="56">
        <v>1</v>
      </c>
      <c r="J78" s="56">
        <v>2026</v>
      </c>
      <c r="K78" s="52" t="s">
        <v>99</v>
      </c>
      <c r="L78" s="52" t="s">
        <v>137</v>
      </c>
      <c r="M78" s="52" t="s">
        <v>405</v>
      </c>
      <c r="N78" s="52" t="s">
        <v>398</v>
      </c>
      <c r="O78" s="52" t="str">
        <f t="shared" si="2"/>
        <v>U.J. Lautaro</v>
      </c>
      <c r="P78" s="52" t="str">
        <f t="shared" si="3"/>
        <v>Visita</v>
      </c>
      <c r="Q78" s="52">
        <v>0</v>
      </c>
      <c r="R78" s="52">
        <v>3</v>
      </c>
      <c r="S78" s="55" t="s">
        <v>397</v>
      </c>
      <c r="T78" s="53">
        <v>46230</v>
      </c>
    </row>
    <row r="79" spans="1:20" ht="12" customHeight="1">
      <c r="A79" s="51" t="s">
        <v>100</v>
      </c>
      <c r="B79" s="52">
        <v>5</v>
      </c>
      <c r="C79" s="53">
        <v>46201</v>
      </c>
      <c r="D79" s="54" t="s">
        <v>408</v>
      </c>
      <c r="E79" s="55" t="s">
        <v>210</v>
      </c>
      <c r="F79" s="55" t="s">
        <v>176</v>
      </c>
      <c r="G79" s="55" t="s">
        <v>175</v>
      </c>
      <c r="H79" s="56">
        <v>1</v>
      </c>
      <c r="I79" s="56">
        <v>4</v>
      </c>
      <c r="J79" s="56">
        <v>2026</v>
      </c>
      <c r="K79" s="52" t="s">
        <v>99</v>
      </c>
      <c r="L79" s="52" t="s">
        <v>137</v>
      </c>
      <c r="M79" s="52" t="s">
        <v>406</v>
      </c>
      <c r="N79" s="52" t="s">
        <v>401</v>
      </c>
      <c r="O79" s="52" t="str">
        <f t="shared" si="2"/>
        <v>Colo Colo</v>
      </c>
      <c r="P79" s="52" t="str">
        <f t="shared" si="3"/>
        <v>Visita</v>
      </c>
      <c r="Q79" s="52">
        <v>0</v>
      </c>
      <c r="R79" s="52">
        <v>3</v>
      </c>
      <c r="S79" s="55" t="s">
        <v>397</v>
      </c>
      <c r="T79" s="53">
        <v>46230</v>
      </c>
    </row>
    <row r="80" spans="1:20" ht="12" customHeight="1">
      <c r="A80" s="51" t="s">
        <v>100</v>
      </c>
      <c r="B80" s="52">
        <v>6</v>
      </c>
      <c r="C80" s="53">
        <v>46208</v>
      </c>
      <c r="D80" s="54" t="s">
        <v>408</v>
      </c>
      <c r="E80" s="55" t="s">
        <v>171</v>
      </c>
      <c r="F80" s="55" t="s">
        <v>170</v>
      </c>
      <c r="G80" s="55" t="s">
        <v>166</v>
      </c>
      <c r="H80" s="56">
        <v>2</v>
      </c>
      <c r="I80" s="56">
        <v>0</v>
      </c>
      <c r="J80" s="56">
        <v>2026</v>
      </c>
      <c r="K80" s="52" t="s">
        <v>99</v>
      </c>
      <c r="L80" s="52" t="s">
        <v>137</v>
      </c>
      <c r="M80" s="52" t="s">
        <v>404</v>
      </c>
      <c r="N80" s="52" t="s">
        <v>394</v>
      </c>
      <c r="O80" s="52" t="str">
        <f t="shared" si="2"/>
        <v>Forestal</v>
      </c>
      <c r="P80" s="52" t="str">
        <f t="shared" si="3"/>
        <v>Local</v>
      </c>
      <c r="Q80" s="52">
        <v>3</v>
      </c>
      <c r="R80" s="52">
        <v>0</v>
      </c>
      <c r="S80" s="55" t="s">
        <v>397</v>
      </c>
      <c r="T80" s="53">
        <v>46230</v>
      </c>
    </row>
    <row r="81" spans="1:20" ht="12" customHeight="1">
      <c r="A81" s="51" t="s">
        <v>100</v>
      </c>
      <c r="B81" s="52">
        <v>6</v>
      </c>
      <c r="C81" s="53">
        <v>46208</v>
      </c>
      <c r="D81" s="54" t="s">
        <v>408</v>
      </c>
      <c r="E81" s="55" t="s">
        <v>210</v>
      </c>
      <c r="F81" s="55" t="s">
        <v>172</v>
      </c>
      <c r="G81" s="55" t="s">
        <v>169</v>
      </c>
      <c r="H81" s="56">
        <v>2</v>
      </c>
      <c r="I81" s="56">
        <v>1</v>
      </c>
      <c r="J81" s="56">
        <v>2026</v>
      </c>
      <c r="K81" s="52" t="s">
        <v>99</v>
      </c>
      <c r="L81" s="52" t="s">
        <v>137</v>
      </c>
      <c r="M81" s="52" t="s">
        <v>405</v>
      </c>
      <c r="N81" s="52" t="s">
        <v>398</v>
      </c>
      <c r="O81" s="52" t="str">
        <f t="shared" si="2"/>
        <v>Grinvasul</v>
      </c>
      <c r="P81" s="52" t="str">
        <f t="shared" si="3"/>
        <v>Local</v>
      </c>
      <c r="Q81" s="52">
        <v>3</v>
      </c>
      <c r="R81" s="52">
        <v>0</v>
      </c>
      <c r="S81" s="55" t="s">
        <v>397</v>
      </c>
      <c r="T81" s="53">
        <v>46230</v>
      </c>
    </row>
    <row r="82" spans="1:20" ht="12" customHeight="1">
      <c r="A82" s="51" t="s">
        <v>100</v>
      </c>
      <c r="B82" s="52">
        <v>6</v>
      </c>
      <c r="C82" s="53">
        <v>46208</v>
      </c>
      <c r="D82" s="54" t="s">
        <v>408</v>
      </c>
      <c r="E82" s="55" t="s">
        <v>210</v>
      </c>
      <c r="F82" s="55" t="s">
        <v>176</v>
      </c>
      <c r="G82" s="55" t="s">
        <v>173</v>
      </c>
      <c r="H82" s="56">
        <v>1</v>
      </c>
      <c r="I82" s="56">
        <v>1</v>
      </c>
      <c r="J82" s="56">
        <v>2026</v>
      </c>
      <c r="K82" s="52" t="s">
        <v>99</v>
      </c>
      <c r="L82" s="52" t="s">
        <v>137</v>
      </c>
      <c r="M82" s="52" t="s">
        <v>406</v>
      </c>
      <c r="N82" s="52" t="s">
        <v>401</v>
      </c>
      <c r="O82" s="52" t="str">
        <f t="shared" si="2"/>
        <v>Empate</v>
      </c>
      <c r="P82" s="52" t="str">
        <f t="shared" si="3"/>
        <v>Empate</v>
      </c>
      <c r="Q82" s="52">
        <v>1</v>
      </c>
      <c r="R82" s="52">
        <v>1</v>
      </c>
      <c r="S82" s="55" t="s">
        <v>397</v>
      </c>
      <c r="T82" s="53">
        <v>46230</v>
      </c>
    </row>
    <row r="83" spans="1:20" ht="12" customHeight="1">
      <c r="A83" s="51" t="s">
        <v>100</v>
      </c>
      <c r="B83" s="52">
        <v>6</v>
      </c>
      <c r="C83" s="53">
        <v>46208</v>
      </c>
      <c r="D83" s="54" t="s">
        <v>408</v>
      </c>
      <c r="E83" s="55" t="s">
        <v>210</v>
      </c>
      <c r="F83" s="55" t="s">
        <v>174</v>
      </c>
      <c r="G83" s="55" t="s">
        <v>175</v>
      </c>
      <c r="H83" s="56">
        <v>2</v>
      </c>
      <c r="I83" s="56">
        <v>2</v>
      </c>
      <c r="J83" s="56">
        <v>2026</v>
      </c>
      <c r="K83" s="52" t="s">
        <v>99</v>
      </c>
      <c r="L83" s="52" t="s">
        <v>137</v>
      </c>
      <c r="M83" s="52" t="s">
        <v>394</v>
      </c>
      <c r="N83" s="52" t="s">
        <v>395</v>
      </c>
      <c r="O83" s="52" t="str">
        <f t="shared" si="2"/>
        <v>Empate</v>
      </c>
      <c r="P83" s="52" t="str">
        <f t="shared" si="3"/>
        <v>Empate</v>
      </c>
      <c r="Q83" s="52">
        <v>1</v>
      </c>
      <c r="R83" s="52">
        <v>1</v>
      </c>
      <c r="S83" s="55" t="s">
        <v>397</v>
      </c>
      <c r="T83" s="53">
        <v>46230</v>
      </c>
    </row>
    <row r="84" spans="1:20" ht="12" customHeight="1">
      <c r="A84" s="51" t="s">
        <v>100</v>
      </c>
      <c r="B84" s="52">
        <v>7</v>
      </c>
      <c r="C84" s="53">
        <v>46215</v>
      </c>
      <c r="D84" s="54" t="s">
        <v>408</v>
      </c>
      <c r="E84" s="55" t="s">
        <v>205</v>
      </c>
      <c r="F84" s="55" t="s">
        <v>166</v>
      </c>
      <c r="G84" s="55" t="s">
        <v>169</v>
      </c>
      <c r="H84" s="56">
        <v>5</v>
      </c>
      <c r="I84" s="56">
        <v>1</v>
      </c>
      <c r="J84" s="56">
        <v>2026</v>
      </c>
      <c r="K84" s="52" t="s">
        <v>99</v>
      </c>
      <c r="L84" s="52" t="s">
        <v>137</v>
      </c>
      <c r="M84" s="52" t="s">
        <v>405</v>
      </c>
      <c r="N84" s="52" t="s">
        <v>398</v>
      </c>
      <c r="O84" s="52" t="str">
        <f t="shared" si="2"/>
        <v>Villa Alegre</v>
      </c>
      <c r="P84" s="52" t="str">
        <f t="shared" si="3"/>
        <v>Local</v>
      </c>
      <c r="Q84" s="52">
        <v>3</v>
      </c>
      <c r="R84" s="52">
        <v>0</v>
      </c>
      <c r="S84" s="55" t="s">
        <v>397</v>
      </c>
      <c r="T84" s="53">
        <v>46230</v>
      </c>
    </row>
    <row r="85" spans="1:20" ht="12" customHeight="1">
      <c r="A85" s="51" t="s">
        <v>100</v>
      </c>
      <c r="B85" s="52">
        <v>7</v>
      </c>
      <c r="C85" s="53">
        <v>46215</v>
      </c>
      <c r="D85" s="54" t="s">
        <v>408</v>
      </c>
      <c r="E85" s="55" t="s">
        <v>210</v>
      </c>
      <c r="F85" s="55" t="s">
        <v>176</v>
      </c>
      <c r="G85" s="55" t="s">
        <v>170</v>
      </c>
      <c r="H85" s="56">
        <v>2</v>
      </c>
      <c r="I85" s="56">
        <v>1</v>
      </c>
      <c r="J85" s="56">
        <v>2026</v>
      </c>
      <c r="K85" s="52" t="s">
        <v>99</v>
      </c>
      <c r="L85" s="52" t="s">
        <v>137</v>
      </c>
      <c r="M85" s="52" t="s">
        <v>406</v>
      </c>
      <c r="N85" s="52" t="s">
        <v>401</v>
      </c>
      <c r="O85" s="52" t="str">
        <f t="shared" si="2"/>
        <v>Maestranza</v>
      </c>
      <c r="P85" s="52" t="str">
        <f t="shared" si="3"/>
        <v>Local</v>
      </c>
      <c r="Q85" s="52">
        <v>3</v>
      </c>
      <c r="R85" s="52">
        <v>0</v>
      </c>
      <c r="S85" s="55" t="s">
        <v>397</v>
      </c>
      <c r="T85" s="53">
        <v>46230</v>
      </c>
    </row>
    <row r="86" spans="1:20" ht="12" customHeight="1">
      <c r="A86" s="51" t="s">
        <v>100</v>
      </c>
      <c r="B86" s="52">
        <v>7</v>
      </c>
      <c r="C86" s="53">
        <v>46215</v>
      </c>
      <c r="D86" s="54" t="s">
        <v>408</v>
      </c>
      <c r="E86" s="55" t="s">
        <v>210</v>
      </c>
      <c r="F86" s="55" t="s">
        <v>172</v>
      </c>
      <c r="G86" s="55" t="s">
        <v>175</v>
      </c>
      <c r="H86" s="56">
        <v>1</v>
      </c>
      <c r="I86" s="56">
        <v>3</v>
      </c>
      <c r="J86" s="56">
        <v>2026</v>
      </c>
      <c r="K86" s="52" t="s">
        <v>99</v>
      </c>
      <c r="L86" s="52" t="s">
        <v>137</v>
      </c>
      <c r="M86" s="52" t="s">
        <v>394</v>
      </c>
      <c r="N86" s="52" t="s">
        <v>395</v>
      </c>
      <c r="O86" s="52" t="str">
        <f t="shared" si="2"/>
        <v>Colo Colo</v>
      </c>
      <c r="P86" s="52" t="str">
        <f t="shared" si="3"/>
        <v>Visita</v>
      </c>
      <c r="Q86" s="52">
        <v>0</v>
      </c>
      <c r="R86" s="52">
        <v>3</v>
      </c>
      <c r="S86" s="55" t="s">
        <v>397</v>
      </c>
      <c r="T86" s="53">
        <v>46230</v>
      </c>
    </row>
    <row r="87" spans="1:20" ht="12" customHeight="1">
      <c r="A87" s="51" t="s">
        <v>100</v>
      </c>
      <c r="B87" s="52">
        <v>7</v>
      </c>
      <c r="C87" s="53">
        <v>46215</v>
      </c>
      <c r="D87" s="54" t="s">
        <v>408</v>
      </c>
      <c r="E87" s="55" t="s">
        <v>210</v>
      </c>
      <c r="F87" s="55" t="s">
        <v>174</v>
      </c>
      <c r="G87" s="55" t="s">
        <v>173</v>
      </c>
      <c r="H87" s="56">
        <v>2</v>
      </c>
      <c r="I87" s="56">
        <v>2</v>
      </c>
      <c r="J87" s="56">
        <v>2026</v>
      </c>
      <c r="K87" s="52" t="s">
        <v>99</v>
      </c>
      <c r="L87" s="52" t="s">
        <v>137</v>
      </c>
      <c r="M87" s="52" t="s">
        <v>398</v>
      </c>
      <c r="N87" s="52" t="s">
        <v>399</v>
      </c>
      <c r="O87" s="52" t="str">
        <f t="shared" si="2"/>
        <v>Empate</v>
      </c>
      <c r="P87" s="52" t="str">
        <f t="shared" si="3"/>
        <v>Empate</v>
      </c>
      <c r="Q87" s="52">
        <v>1</v>
      </c>
      <c r="R87" s="52">
        <v>1</v>
      </c>
      <c r="S87" s="55" t="s">
        <v>397</v>
      </c>
      <c r="T87" s="53">
        <v>46230</v>
      </c>
    </row>
    <row r="88" spans="1:20" ht="12" customHeight="1">
      <c r="A88" s="51" t="s">
        <v>100</v>
      </c>
      <c r="B88" s="52">
        <v>8</v>
      </c>
      <c r="C88" s="53">
        <v>46222</v>
      </c>
      <c r="D88" s="54" t="s">
        <v>408</v>
      </c>
      <c r="E88" s="55" t="s">
        <v>210</v>
      </c>
      <c r="F88" s="55" t="s">
        <v>176</v>
      </c>
      <c r="G88" s="55" t="s">
        <v>166</v>
      </c>
      <c r="H88" s="56">
        <v>3</v>
      </c>
      <c r="I88" s="56">
        <v>1</v>
      </c>
      <c r="J88" s="56">
        <v>2026</v>
      </c>
      <c r="K88" s="52" t="s">
        <v>99</v>
      </c>
      <c r="L88" s="52" t="s">
        <v>137</v>
      </c>
      <c r="M88" s="52" t="s">
        <v>406</v>
      </c>
      <c r="N88" s="52" t="s">
        <v>401</v>
      </c>
      <c r="O88" s="52" t="str">
        <f t="shared" si="2"/>
        <v>Maestranza</v>
      </c>
      <c r="P88" s="52" t="str">
        <f t="shared" si="3"/>
        <v>Local</v>
      </c>
      <c r="Q88" s="52">
        <v>3</v>
      </c>
      <c r="R88" s="52">
        <v>0</v>
      </c>
      <c r="S88" s="55" t="s">
        <v>397</v>
      </c>
      <c r="T88" s="53">
        <v>46230</v>
      </c>
    </row>
    <row r="89" spans="1:20" ht="12" customHeight="1">
      <c r="A89" s="51" t="s">
        <v>100</v>
      </c>
      <c r="B89" s="52">
        <v>8</v>
      </c>
      <c r="C89" s="53">
        <v>46222</v>
      </c>
      <c r="D89" s="54" t="s">
        <v>408</v>
      </c>
      <c r="E89" s="55" t="s">
        <v>207</v>
      </c>
      <c r="F89" s="55" t="s">
        <v>169</v>
      </c>
      <c r="G89" s="55" t="s">
        <v>175</v>
      </c>
      <c r="H89" s="56">
        <v>0</v>
      </c>
      <c r="I89" s="56">
        <v>1</v>
      </c>
      <c r="J89" s="56">
        <v>2026</v>
      </c>
      <c r="K89" s="52" t="s">
        <v>99</v>
      </c>
      <c r="L89" s="52" t="s">
        <v>137</v>
      </c>
      <c r="M89" s="52" t="s">
        <v>394</v>
      </c>
      <c r="N89" s="52" t="s">
        <v>395</v>
      </c>
      <c r="O89" s="52" t="str">
        <f t="shared" si="2"/>
        <v>Colo Colo</v>
      </c>
      <c r="P89" s="52" t="str">
        <f t="shared" si="3"/>
        <v>Visita</v>
      </c>
      <c r="Q89" s="52">
        <v>0</v>
      </c>
      <c r="R89" s="52">
        <v>3</v>
      </c>
      <c r="S89" s="55" t="s">
        <v>397</v>
      </c>
      <c r="T89" s="53">
        <v>46230</v>
      </c>
    </row>
    <row r="90" spans="1:20" ht="12" customHeight="1">
      <c r="A90" s="51" t="s">
        <v>100</v>
      </c>
      <c r="B90" s="52">
        <v>8</v>
      </c>
      <c r="C90" s="53">
        <v>46222</v>
      </c>
      <c r="D90" s="54" t="s">
        <v>408</v>
      </c>
      <c r="E90" s="55" t="s">
        <v>210</v>
      </c>
      <c r="F90" s="55" t="s">
        <v>174</v>
      </c>
      <c r="G90" s="55" t="s">
        <v>170</v>
      </c>
      <c r="H90" s="56">
        <v>1</v>
      </c>
      <c r="I90" s="56">
        <v>2</v>
      </c>
      <c r="J90" s="56">
        <v>2026</v>
      </c>
      <c r="K90" s="52" t="s">
        <v>99</v>
      </c>
      <c r="L90" s="52" t="s">
        <v>137</v>
      </c>
      <c r="M90" s="52" t="s">
        <v>398</v>
      </c>
      <c r="N90" s="52" t="s">
        <v>399</v>
      </c>
      <c r="O90" s="52" t="str">
        <f t="shared" si="2"/>
        <v>Forestal</v>
      </c>
      <c r="P90" s="52" t="str">
        <f t="shared" si="3"/>
        <v>Visita</v>
      </c>
      <c r="Q90" s="52">
        <v>0</v>
      </c>
      <c r="R90" s="52">
        <v>3</v>
      </c>
      <c r="S90" s="55" t="s">
        <v>397</v>
      </c>
      <c r="T90" s="53">
        <v>46230</v>
      </c>
    </row>
    <row r="91" spans="1:20" ht="12" customHeight="1">
      <c r="A91" s="51" t="s">
        <v>100</v>
      </c>
      <c r="B91" s="52">
        <v>8</v>
      </c>
      <c r="C91" s="53">
        <v>46222</v>
      </c>
      <c r="D91" s="54" t="s">
        <v>408</v>
      </c>
      <c r="E91" s="55" t="s">
        <v>210</v>
      </c>
      <c r="F91" s="55" t="s">
        <v>172</v>
      </c>
      <c r="G91" s="55" t="s">
        <v>173</v>
      </c>
      <c r="H91" s="56">
        <v>0</v>
      </c>
      <c r="I91" s="56">
        <v>1</v>
      </c>
      <c r="J91" s="56">
        <v>2026</v>
      </c>
      <c r="K91" s="52" t="s">
        <v>99</v>
      </c>
      <c r="L91" s="52" t="s">
        <v>137</v>
      </c>
      <c r="M91" s="52" t="s">
        <v>401</v>
      </c>
      <c r="N91" s="52" t="s">
        <v>402</v>
      </c>
      <c r="O91" s="52" t="str">
        <f t="shared" si="2"/>
        <v>Jota Montt</v>
      </c>
      <c r="P91" s="52" t="str">
        <f t="shared" si="3"/>
        <v>Visita</v>
      </c>
      <c r="Q91" s="52">
        <v>0</v>
      </c>
      <c r="R91" s="52">
        <v>3</v>
      </c>
      <c r="S91" s="55" t="s">
        <v>397</v>
      </c>
      <c r="T91" s="53">
        <v>46230</v>
      </c>
    </row>
    <row r="92" spans="1:20" ht="12" customHeight="1">
      <c r="A92" s="51" t="s">
        <v>100</v>
      </c>
      <c r="B92" s="52">
        <v>9</v>
      </c>
      <c r="C92" s="53">
        <v>46229</v>
      </c>
      <c r="D92" s="54" t="s">
        <v>408</v>
      </c>
      <c r="E92" s="55" t="s">
        <v>205</v>
      </c>
      <c r="F92" s="55" t="s">
        <v>166</v>
      </c>
      <c r="G92" s="55" t="s">
        <v>175</v>
      </c>
      <c r="H92" s="56">
        <v>0</v>
      </c>
      <c r="I92" s="56">
        <v>0</v>
      </c>
      <c r="J92" s="56">
        <v>2026</v>
      </c>
      <c r="K92" s="52" t="s">
        <v>99</v>
      </c>
      <c r="L92" s="52" t="s">
        <v>137</v>
      </c>
      <c r="M92" s="52" t="s">
        <v>394</v>
      </c>
      <c r="N92" s="52" t="s">
        <v>395</v>
      </c>
      <c r="O92" s="52" t="str">
        <f t="shared" si="2"/>
        <v>Empate</v>
      </c>
      <c r="P92" s="52" t="str">
        <f t="shared" si="3"/>
        <v>Empate</v>
      </c>
      <c r="Q92" s="52">
        <v>1</v>
      </c>
      <c r="R92" s="52">
        <v>1</v>
      </c>
      <c r="S92" s="55" t="s">
        <v>397</v>
      </c>
      <c r="T92" s="53">
        <v>46230</v>
      </c>
    </row>
    <row r="93" spans="1:20" ht="12" customHeight="1">
      <c r="A93" s="51" t="s">
        <v>100</v>
      </c>
      <c r="B93" s="52">
        <v>9</v>
      </c>
      <c r="C93" s="53">
        <v>46229</v>
      </c>
      <c r="D93" s="54" t="s">
        <v>408</v>
      </c>
      <c r="E93" s="55" t="s">
        <v>210</v>
      </c>
      <c r="F93" s="55" t="s">
        <v>174</v>
      </c>
      <c r="G93" s="55" t="s">
        <v>176</v>
      </c>
      <c r="H93" s="56">
        <v>0</v>
      </c>
      <c r="I93" s="56">
        <v>1</v>
      </c>
      <c r="J93" s="56">
        <v>2026</v>
      </c>
      <c r="K93" s="52" t="s">
        <v>99</v>
      </c>
      <c r="L93" s="52" t="s">
        <v>137</v>
      </c>
      <c r="M93" s="52" t="s">
        <v>398</v>
      </c>
      <c r="N93" s="52" t="s">
        <v>399</v>
      </c>
      <c r="O93" s="52" t="str">
        <f t="shared" si="2"/>
        <v>Maestranza</v>
      </c>
      <c r="P93" s="52" t="str">
        <f t="shared" si="3"/>
        <v>Visita</v>
      </c>
      <c r="Q93" s="52">
        <v>0</v>
      </c>
      <c r="R93" s="52">
        <v>3</v>
      </c>
      <c r="S93" s="55" t="s">
        <v>397</v>
      </c>
      <c r="T93" s="53">
        <v>46230</v>
      </c>
    </row>
    <row r="94" spans="1:20" ht="12" customHeight="1">
      <c r="A94" s="51" t="s">
        <v>100</v>
      </c>
      <c r="B94" s="52">
        <v>9</v>
      </c>
      <c r="C94" s="53">
        <v>46229</v>
      </c>
      <c r="D94" s="54" t="s">
        <v>408</v>
      </c>
      <c r="E94" s="55" t="s">
        <v>207</v>
      </c>
      <c r="F94" s="55" t="s">
        <v>169</v>
      </c>
      <c r="G94" s="55" t="s">
        <v>173</v>
      </c>
      <c r="H94" s="56">
        <v>3</v>
      </c>
      <c r="I94" s="56">
        <v>3</v>
      </c>
      <c r="J94" s="56">
        <v>2026</v>
      </c>
      <c r="K94" s="52" t="s">
        <v>99</v>
      </c>
      <c r="L94" s="52" t="s">
        <v>137</v>
      </c>
      <c r="M94" s="52" t="s">
        <v>401</v>
      </c>
      <c r="N94" s="52" t="s">
        <v>402</v>
      </c>
      <c r="O94" s="52" t="str">
        <f t="shared" si="2"/>
        <v>Empate</v>
      </c>
      <c r="P94" s="52" t="str">
        <f t="shared" si="3"/>
        <v>Empate</v>
      </c>
      <c r="Q94" s="52">
        <v>1</v>
      </c>
      <c r="R94" s="52">
        <v>1</v>
      </c>
      <c r="S94" s="55" t="s">
        <v>397</v>
      </c>
      <c r="T94" s="53">
        <v>46230</v>
      </c>
    </row>
    <row r="95" spans="1:20" ht="12" customHeight="1">
      <c r="A95" s="51" t="s">
        <v>100</v>
      </c>
      <c r="B95" s="52">
        <v>9</v>
      </c>
      <c r="C95" s="53">
        <v>46229</v>
      </c>
      <c r="D95" s="54" t="s">
        <v>408</v>
      </c>
      <c r="E95" s="55" t="s">
        <v>210</v>
      </c>
      <c r="F95" s="55" t="s">
        <v>172</v>
      </c>
      <c r="G95" s="55" t="s">
        <v>170</v>
      </c>
      <c r="H95" s="56">
        <v>2</v>
      </c>
      <c r="I95" s="56">
        <v>2</v>
      </c>
      <c r="J95" s="56">
        <v>2026</v>
      </c>
      <c r="K95" s="52" t="s">
        <v>99</v>
      </c>
      <c r="L95" s="52" t="s">
        <v>137</v>
      </c>
      <c r="M95" s="52" t="s">
        <v>395</v>
      </c>
      <c r="N95" s="52" t="s">
        <v>396</v>
      </c>
      <c r="O95" s="52" t="str">
        <f t="shared" si="2"/>
        <v>Empate</v>
      </c>
      <c r="P95" s="52" t="str">
        <f t="shared" si="3"/>
        <v>Empate</v>
      </c>
      <c r="Q95" s="52">
        <v>1</v>
      </c>
      <c r="R95" s="52">
        <v>1</v>
      </c>
      <c r="S95" s="55" t="s">
        <v>397</v>
      </c>
      <c r="T95" s="53">
        <v>46230</v>
      </c>
    </row>
    <row r="96" spans="1:20" ht="12" customHeight="1">
      <c r="A96" s="51" t="s">
        <v>100</v>
      </c>
      <c r="B96" s="52">
        <v>10</v>
      </c>
      <c r="C96" s="53">
        <v>46236</v>
      </c>
      <c r="D96" s="54" t="s">
        <v>408</v>
      </c>
      <c r="E96" s="55" t="s">
        <v>210</v>
      </c>
      <c r="F96" s="55" t="s">
        <v>174</v>
      </c>
      <c r="G96" s="55" t="s">
        <v>166</v>
      </c>
      <c r="H96" s="56"/>
      <c r="I96" s="56"/>
      <c r="J96" s="56">
        <v>2026</v>
      </c>
      <c r="K96" s="52" t="s">
        <v>99</v>
      </c>
      <c r="L96" s="52" t="s">
        <v>88</v>
      </c>
      <c r="M96" s="52" t="s">
        <v>398</v>
      </c>
      <c r="N96" s="52" t="s">
        <v>399</v>
      </c>
      <c r="O96" s="52" t="str">
        <f t="shared" si="2"/>
        <v/>
      </c>
      <c r="P96" s="52" t="str">
        <f t="shared" si="3"/>
        <v/>
      </c>
      <c r="Q96" s="52"/>
      <c r="R96" s="52"/>
      <c r="S96" s="55" t="s">
        <v>407</v>
      </c>
      <c r="T96" s="53">
        <v>46230</v>
      </c>
    </row>
    <row r="97" spans="1:20" ht="12" customHeight="1">
      <c r="A97" s="51" t="s">
        <v>100</v>
      </c>
      <c r="B97" s="52">
        <v>10</v>
      </c>
      <c r="C97" s="53">
        <v>46236</v>
      </c>
      <c r="D97" s="54" t="s">
        <v>408</v>
      </c>
      <c r="E97" s="55" t="s">
        <v>207</v>
      </c>
      <c r="F97" s="55" t="s">
        <v>175</v>
      </c>
      <c r="G97" s="55" t="s">
        <v>173</v>
      </c>
      <c r="H97" s="56"/>
      <c r="I97" s="56"/>
      <c r="J97" s="56">
        <v>2026</v>
      </c>
      <c r="K97" s="52" t="s">
        <v>99</v>
      </c>
      <c r="L97" s="52" t="s">
        <v>88</v>
      </c>
      <c r="M97" s="52" t="s">
        <v>401</v>
      </c>
      <c r="N97" s="52" t="s">
        <v>402</v>
      </c>
      <c r="O97" s="52" t="str">
        <f t="shared" si="2"/>
        <v/>
      </c>
      <c r="P97" s="52" t="str">
        <f t="shared" si="3"/>
        <v/>
      </c>
      <c r="Q97" s="52"/>
      <c r="R97" s="52"/>
      <c r="S97" s="55" t="s">
        <v>407</v>
      </c>
      <c r="T97" s="53">
        <v>46230</v>
      </c>
    </row>
    <row r="98" spans="1:20" ht="12" customHeight="1">
      <c r="A98" s="51" t="s">
        <v>100</v>
      </c>
      <c r="B98" s="52">
        <v>10</v>
      </c>
      <c r="C98" s="53">
        <v>46236</v>
      </c>
      <c r="D98" s="54" t="s">
        <v>408</v>
      </c>
      <c r="E98" s="55" t="s">
        <v>210</v>
      </c>
      <c r="F98" s="55" t="s">
        <v>172</v>
      </c>
      <c r="G98" s="55" t="s">
        <v>176</v>
      </c>
      <c r="H98" s="56"/>
      <c r="I98" s="56"/>
      <c r="J98" s="56">
        <v>2026</v>
      </c>
      <c r="K98" s="52" t="s">
        <v>99</v>
      </c>
      <c r="L98" s="52" t="s">
        <v>88</v>
      </c>
      <c r="M98" s="52" t="s">
        <v>395</v>
      </c>
      <c r="N98" s="52" t="s">
        <v>396</v>
      </c>
      <c r="O98" s="52" t="str">
        <f t="shared" si="2"/>
        <v/>
      </c>
      <c r="P98" s="52" t="str">
        <f t="shared" si="3"/>
        <v/>
      </c>
      <c r="Q98" s="52"/>
      <c r="R98" s="52"/>
      <c r="S98" s="55" t="s">
        <v>407</v>
      </c>
      <c r="T98" s="53">
        <v>46230</v>
      </c>
    </row>
    <row r="99" spans="1:20" ht="12" customHeight="1">
      <c r="A99" s="51" t="s">
        <v>100</v>
      </c>
      <c r="B99" s="52">
        <v>10</v>
      </c>
      <c r="C99" s="53">
        <v>46236</v>
      </c>
      <c r="D99" s="54" t="s">
        <v>408</v>
      </c>
      <c r="E99" s="55" t="s">
        <v>207</v>
      </c>
      <c r="F99" s="55" t="s">
        <v>169</v>
      </c>
      <c r="G99" s="55" t="s">
        <v>170</v>
      </c>
      <c r="H99" s="56"/>
      <c r="I99" s="56"/>
      <c r="J99" s="56">
        <v>2026</v>
      </c>
      <c r="K99" s="52" t="s">
        <v>99</v>
      </c>
      <c r="L99" s="52" t="s">
        <v>88</v>
      </c>
      <c r="M99" s="52" t="s">
        <v>399</v>
      </c>
      <c r="N99" s="52" t="s">
        <v>400</v>
      </c>
      <c r="O99" s="52" t="str">
        <f t="shared" si="2"/>
        <v/>
      </c>
      <c r="P99" s="52" t="str">
        <f t="shared" si="3"/>
        <v/>
      </c>
      <c r="Q99" s="52"/>
      <c r="R99" s="52"/>
      <c r="S99" s="55" t="s">
        <v>407</v>
      </c>
      <c r="T99" s="53">
        <v>46230</v>
      </c>
    </row>
    <row r="100" spans="1:20" ht="12" customHeight="1">
      <c r="A100" s="51" t="s">
        <v>100</v>
      </c>
      <c r="B100" s="52">
        <v>11</v>
      </c>
      <c r="C100" s="53">
        <v>46243</v>
      </c>
      <c r="D100" s="54" t="s">
        <v>408</v>
      </c>
      <c r="E100" s="55" t="s">
        <v>205</v>
      </c>
      <c r="F100" s="55" t="s">
        <v>166</v>
      </c>
      <c r="G100" s="55" t="s">
        <v>173</v>
      </c>
      <c r="H100" s="56"/>
      <c r="I100" s="56"/>
      <c r="J100" s="56">
        <v>2026</v>
      </c>
      <c r="K100" s="52" t="s">
        <v>99</v>
      </c>
      <c r="L100" s="52" t="s">
        <v>88</v>
      </c>
      <c r="M100" s="52" t="s">
        <v>401</v>
      </c>
      <c r="N100" s="52" t="s">
        <v>402</v>
      </c>
      <c r="O100" s="52" t="str">
        <f t="shared" si="2"/>
        <v/>
      </c>
      <c r="P100" s="52" t="str">
        <f t="shared" si="3"/>
        <v/>
      </c>
      <c r="Q100" s="52"/>
      <c r="R100" s="52"/>
      <c r="S100" s="55" t="s">
        <v>407</v>
      </c>
      <c r="T100" s="53">
        <v>46230</v>
      </c>
    </row>
    <row r="101" spans="1:20" ht="12" customHeight="1">
      <c r="A101" s="51" t="s">
        <v>100</v>
      </c>
      <c r="B101" s="52">
        <v>11</v>
      </c>
      <c r="C101" s="53">
        <v>46243</v>
      </c>
      <c r="D101" s="54" t="s">
        <v>408</v>
      </c>
      <c r="E101" s="55" t="s">
        <v>210</v>
      </c>
      <c r="F101" s="55" t="s">
        <v>172</v>
      </c>
      <c r="G101" s="55" t="s">
        <v>174</v>
      </c>
      <c r="H101" s="56"/>
      <c r="I101" s="56"/>
      <c r="J101" s="56">
        <v>2026</v>
      </c>
      <c r="K101" s="52" t="s">
        <v>99</v>
      </c>
      <c r="L101" s="52" t="s">
        <v>88</v>
      </c>
      <c r="M101" s="52" t="s">
        <v>395</v>
      </c>
      <c r="N101" s="52" t="s">
        <v>396</v>
      </c>
      <c r="O101" s="52" t="str">
        <f t="shared" si="2"/>
        <v/>
      </c>
      <c r="P101" s="52" t="str">
        <f t="shared" si="3"/>
        <v/>
      </c>
      <c r="Q101" s="52"/>
      <c r="R101" s="52"/>
      <c r="S101" s="55" t="s">
        <v>407</v>
      </c>
      <c r="T101" s="53">
        <v>46230</v>
      </c>
    </row>
    <row r="102" spans="1:20" ht="12" customHeight="1">
      <c r="A102" s="51" t="s">
        <v>100</v>
      </c>
      <c r="B102" s="52">
        <v>11</v>
      </c>
      <c r="C102" s="53">
        <v>46243</v>
      </c>
      <c r="D102" s="54" t="s">
        <v>408</v>
      </c>
      <c r="E102" s="55" t="s">
        <v>207</v>
      </c>
      <c r="F102" s="55" t="s">
        <v>175</v>
      </c>
      <c r="G102" s="55" t="s">
        <v>170</v>
      </c>
      <c r="H102" s="56"/>
      <c r="I102" s="56"/>
      <c r="J102" s="56">
        <v>2026</v>
      </c>
      <c r="K102" s="52" t="s">
        <v>99</v>
      </c>
      <c r="L102" s="52" t="s">
        <v>88</v>
      </c>
      <c r="M102" s="52" t="s">
        <v>399</v>
      </c>
      <c r="N102" s="52" t="s">
        <v>400</v>
      </c>
      <c r="O102" s="52" t="str">
        <f t="shared" si="2"/>
        <v/>
      </c>
      <c r="P102" s="52" t="str">
        <f t="shared" si="3"/>
        <v/>
      </c>
      <c r="Q102" s="52"/>
      <c r="R102" s="52"/>
      <c r="S102" s="55" t="s">
        <v>407</v>
      </c>
      <c r="T102" s="53">
        <v>46230</v>
      </c>
    </row>
    <row r="103" spans="1:20" ht="12" customHeight="1">
      <c r="A103" s="51" t="s">
        <v>100</v>
      </c>
      <c r="B103" s="52">
        <v>11</v>
      </c>
      <c r="C103" s="53">
        <v>46243</v>
      </c>
      <c r="D103" s="54" t="s">
        <v>408</v>
      </c>
      <c r="E103" s="55" t="s">
        <v>207</v>
      </c>
      <c r="F103" s="55" t="s">
        <v>169</v>
      </c>
      <c r="G103" s="55" t="s">
        <v>176</v>
      </c>
      <c r="H103" s="56"/>
      <c r="I103" s="56"/>
      <c r="J103" s="56">
        <v>2026</v>
      </c>
      <c r="K103" s="52" t="s">
        <v>99</v>
      </c>
      <c r="L103" s="52" t="s">
        <v>88</v>
      </c>
      <c r="M103" s="52" t="s">
        <v>402</v>
      </c>
      <c r="N103" s="52" t="s">
        <v>403</v>
      </c>
      <c r="O103" s="52" t="str">
        <f t="shared" si="2"/>
        <v/>
      </c>
      <c r="P103" s="52" t="str">
        <f t="shared" si="3"/>
        <v/>
      </c>
      <c r="Q103" s="52"/>
      <c r="R103" s="52"/>
      <c r="S103" s="55" t="s">
        <v>407</v>
      </c>
      <c r="T103" s="53">
        <v>46230</v>
      </c>
    </row>
    <row r="104" spans="1:20" ht="12" customHeight="1">
      <c r="A104" s="51" t="s">
        <v>100</v>
      </c>
      <c r="B104" s="52">
        <v>12</v>
      </c>
      <c r="C104" s="53">
        <v>46250</v>
      </c>
      <c r="D104" s="54" t="s">
        <v>408</v>
      </c>
      <c r="E104" s="55" t="s">
        <v>210</v>
      </c>
      <c r="F104" s="55" t="s">
        <v>172</v>
      </c>
      <c r="G104" s="55" t="s">
        <v>166</v>
      </c>
      <c r="H104" s="56"/>
      <c r="I104" s="56"/>
      <c r="J104" s="56">
        <v>2026</v>
      </c>
      <c r="K104" s="52" t="s">
        <v>99</v>
      </c>
      <c r="L104" s="52" t="s">
        <v>88</v>
      </c>
      <c r="M104" s="52" t="s">
        <v>395</v>
      </c>
      <c r="N104" s="52" t="s">
        <v>396</v>
      </c>
      <c r="O104" s="52" t="str">
        <f t="shared" si="2"/>
        <v/>
      </c>
      <c r="P104" s="52" t="str">
        <f t="shared" si="3"/>
        <v/>
      </c>
      <c r="Q104" s="52"/>
      <c r="R104" s="52"/>
      <c r="S104" s="55" t="s">
        <v>407</v>
      </c>
      <c r="T104" s="53">
        <v>46230</v>
      </c>
    </row>
    <row r="105" spans="1:20" ht="12" customHeight="1">
      <c r="A105" s="51" t="s">
        <v>100</v>
      </c>
      <c r="B105" s="52">
        <v>12</v>
      </c>
      <c r="C105" s="53">
        <v>46250</v>
      </c>
      <c r="D105" s="54" t="s">
        <v>408</v>
      </c>
      <c r="E105" s="55" t="s">
        <v>205</v>
      </c>
      <c r="F105" s="55" t="s">
        <v>173</v>
      </c>
      <c r="G105" s="55" t="s">
        <v>170</v>
      </c>
      <c r="H105" s="56"/>
      <c r="I105" s="56"/>
      <c r="J105" s="56">
        <v>2026</v>
      </c>
      <c r="K105" s="52" t="s">
        <v>99</v>
      </c>
      <c r="L105" s="52" t="s">
        <v>88</v>
      </c>
      <c r="M105" s="52" t="s">
        <v>399</v>
      </c>
      <c r="N105" s="52" t="s">
        <v>400</v>
      </c>
      <c r="O105" s="52" t="str">
        <f t="shared" si="2"/>
        <v/>
      </c>
      <c r="P105" s="52" t="str">
        <f t="shared" si="3"/>
        <v/>
      </c>
      <c r="Q105" s="52"/>
      <c r="R105" s="52"/>
      <c r="S105" s="55" t="s">
        <v>407</v>
      </c>
      <c r="T105" s="53">
        <v>46230</v>
      </c>
    </row>
    <row r="106" spans="1:20" ht="12" customHeight="1">
      <c r="A106" s="51" t="s">
        <v>100</v>
      </c>
      <c r="B106" s="52">
        <v>12</v>
      </c>
      <c r="C106" s="53">
        <v>46250</v>
      </c>
      <c r="D106" s="54" t="s">
        <v>408</v>
      </c>
      <c r="E106" s="55" t="s">
        <v>207</v>
      </c>
      <c r="F106" s="55" t="s">
        <v>169</v>
      </c>
      <c r="G106" s="55" t="s">
        <v>174</v>
      </c>
      <c r="H106" s="56"/>
      <c r="I106" s="56"/>
      <c r="J106" s="56">
        <v>2026</v>
      </c>
      <c r="K106" s="52" t="s">
        <v>99</v>
      </c>
      <c r="L106" s="52" t="s">
        <v>88</v>
      </c>
      <c r="M106" s="52" t="s">
        <v>402</v>
      </c>
      <c r="N106" s="52" t="s">
        <v>403</v>
      </c>
      <c r="O106" s="52" t="str">
        <f t="shared" si="2"/>
        <v/>
      </c>
      <c r="P106" s="52" t="str">
        <f t="shared" si="3"/>
        <v/>
      </c>
      <c r="Q106" s="52"/>
      <c r="R106" s="52"/>
      <c r="S106" s="55" t="s">
        <v>407</v>
      </c>
      <c r="T106" s="53">
        <v>46230</v>
      </c>
    </row>
    <row r="107" spans="1:20" ht="12" customHeight="1">
      <c r="A107" s="51" t="s">
        <v>100</v>
      </c>
      <c r="B107" s="52">
        <v>12</v>
      </c>
      <c r="C107" s="53">
        <v>46250</v>
      </c>
      <c r="D107" s="54" t="s">
        <v>408</v>
      </c>
      <c r="E107" s="55" t="s">
        <v>207</v>
      </c>
      <c r="F107" s="55" t="s">
        <v>175</v>
      </c>
      <c r="G107" s="55" t="s">
        <v>176</v>
      </c>
      <c r="H107" s="56"/>
      <c r="I107" s="56"/>
      <c r="J107" s="56">
        <v>2026</v>
      </c>
      <c r="K107" s="52" t="s">
        <v>99</v>
      </c>
      <c r="L107" s="52" t="s">
        <v>88</v>
      </c>
      <c r="M107" s="52" t="s">
        <v>396</v>
      </c>
      <c r="N107" s="52" t="s">
        <v>404</v>
      </c>
      <c r="O107" s="52" t="str">
        <f t="shared" si="2"/>
        <v/>
      </c>
      <c r="P107" s="52" t="str">
        <f t="shared" si="3"/>
        <v/>
      </c>
      <c r="Q107" s="52"/>
      <c r="R107" s="52"/>
      <c r="S107" s="55" t="s">
        <v>407</v>
      </c>
      <c r="T107" s="53">
        <v>46230</v>
      </c>
    </row>
    <row r="108" spans="1:20" ht="12" customHeight="1">
      <c r="A108" s="51" t="s">
        <v>100</v>
      </c>
      <c r="B108" s="52">
        <v>13</v>
      </c>
      <c r="C108" s="53">
        <v>46257</v>
      </c>
      <c r="D108" s="54" t="s">
        <v>408</v>
      </c>
      <c r="E108" s="55" t="s">
        <v>205</v>
      </c>
      <c r="F108" s="55" t="s">
        <v>166</v>
      </c>
      <c r="G108" s="55" t="s">
        <v>170</v>
      </c>
      <c r="H108" s="56"/>
      <c r="I108" s="56"/>
      <c r="J108" s="56">
        <v>2026</v>
      </c>
      <c r="K108" s="52" t="s">
        <v>99</v>
      </c>
      <c r="L108" s="52" t="s">
        <v>88</v>
      </c>
      <c r="M108" s="52" t="s">
        <v>399</v>
      </c>
      <c r="N108" s="52" t="s">
        <v>400</v>
      </c>
      <c r="O108" s="52" t="str">
        <f t="shared" si="2"/>
        <v/>
      </c>
      <c r="P108" s="52" t="str">
        <f t="shared" si="3"/>
        <v/>
      </c>
      <c r="Q108" s="52"/>
      <c r="R108" s="52"/>
      <c r="S108" s="55" t="s">
        <v>407</v>
      </c>
      <c r="T108" s="53">
        <v>46230</v>
      </c>
    </row>
    <row r="109" spans="1:20" ht="12" customHeight="1">
      <c r="A109" s="51" t="s">
        <v>100</v>
      </c>
      <c r="B109" s="52">
        <v>13</v>
      </c>
      <c r="C109" s="53">
        <v>46257</v>
      </c>
      <c r="D109" s="54" t="s">
        <v>408</v>
      </c>
      <c r="E109" s="55" t="s">
        <v>207</v>
      </c>
      <c r="F109" s="55" t="s">
        <v>169</v>
      </c>
      <c r="G109" s="55" t="s">
        <v>172</v>
      </c>
      <c r="H109" s="56"/>
      <c r="I109" s="56"/>
      <c r="J109" s="56">
        <v>2026</v>
      </c>
      <c r="K109" s="52" t="s">
        <v>99</v>
      </c>
      <c r="L109" s="52" t="s">
        <v>88</v>
      </c>
      <c r="M109" s="52" t="s">
        <v>402</v>
      </c>
      <c r="N109" s="52" t="s">
        <v>403</v>
      </c>
      <c r="O109" s="52" t="str">
        <f t="shared" si="2"/>
        <v/>
      </c>
      <c r="P109" s="52" t="str">
        <f t="shared" si="3"/>
        <v/>
      </c>
      <c r="Q109" s="52"/>
      <c r="R109" s="52"/>
      <c r="S109" s="55" t="s">
        <v>407</v>
      </c>
      <c r="T109" s="53">
        <v>46230</v>
      </c>
    </row>
    <row r="110" spans="1:20" ht="12" customHeight="1">
      <c r="A110" s="51" t="s">
        <v>100</v>
      </c>
      <c r="B110" s="52">
        <v>13</v>
      </c>
      <c r="C110" s="53">
        <v>46257</v>
      </c>
      <c r="D110" s="54" t="s">
        <v>408</v>
      </c>
      <c r="E110" s="55" t="s">
        <v>205</v>
      </c>
      <c r="F110" s="55" t="s">
        <v>173</v>
      </c>
      <c r="G110" s="55" t="s">
        <v>176</v>
      </c>
      <c r="H110" s="56"/>
      <c r="I110" s="56"/>
      <c r="J110" s="56">
        <v>2026</v>
      </c>
      <c r="K110" s="52" t="s">
        <v>99</v>
      </c>
      <c r="L110" s="52" t="s">
        <v>88</v>
      </c>
      <c r="M110" s="52" t="s">
        <v>396</v>
      </c>
      <c r="N110" s="52" t="s">
        <v>404</v>
      </c>
      <c r="O110" s="52" t="str">
        <f t="shared" si="2"/>
        <v/>
      </c>
      <c r="P110" s="52" t="str">
        <f t="shared" si="3"/>
        <v/>
      </c>
      <c r="Q110" s="52"/>
      <c r="R110" s="52"/>
      <c r="S110" s="55" t="s">
        <v>407</v>
      </c>
      <c r="T110" s="53">
        <v>46230</v>
      </c>
    </row>
    <row r="111" spans="1:20" ht="12" customHeight="1">
      <c r="A111" s="51" t="s">
        <v>100</v>
      </c>
      <c r="B111" s="52">
        <v>13</v>
      </c>
      <c r="C111" s="53">
        <v>46257</v>
      </c>
      <c r="D111" s="54" t="s">
        <v>408</v>
      </c>
      <c r="E111" s="55" t="s">
        <v>207</v>
      </c>
      <c r="F111" s="55" t="s">
        <v>175</v>
      </c>
      <c r="G111" s="55" t="s">
        <v>174</v>
      </c>
      <c r="H111" s="56"/>
      <c r="I111" s="56"/>
      <c r="J111" s="56">
        <v>2026</v>
      </c>
      <c r="K111" s="52" t="s">
        <v>99</v>
      </c>
      <c r="L111" s="52" t="s">
        <v>88</v>
      </c>
      <c r="M111" s="52" t="s">
        <v>400</v>
      </c>
      <c r="N111" s="52" t="s">
        <v>405</v>
      </c>
      <c r="O111" s="52" t="str">
        <f t="shared" si="2"/>
        <v/>
      </c>
      <c r="P111" s="52" t="str">
        <f t="shared" si="3"/>
        <v/>
      </c>
      <c r="Q111" s="52"/>
      <c r="R111" s="52"/>
      <c r="S111" s="55" t="s">
        <v>407</v>
      </c>
      <c r="T111" s="53">
        <v>46230</v>
      </c>
    </row>
    <row r="112" spans="1:20" ht="12" customHeight="1">
      <c r="A112" s="51" t="s">
        <v>100</v>
      </c>
      <c r="B112" s="52">
        <v>14</v>
      </c>
      <c r="C112" s="53">
        <v>46264</v>
      </c>
      <c r="D112" s="54" t="s">
        <v>408</v>
      </c>
      <c r="E112" s="55" t="s">
        <v>207</v>
      </c>
      <c r="F112" s="55" t="s">
        <v>169</v>
      </c>
      <c r="G112" s="55" t="s">
        <v>166</v>
      </c>
      <c r="H112" s="56"/>
      <c r="I112" s="56"/>
      <c r="J112" s="56">
        <v>2026</v>
      </c>
      <c r="K112" s="52" t="s">
        <v>99</v>
      </c>
      <c r="L112" s="52" t="s">
        <v>88</v>
      </c>
      <c r="M112" s="52" t="s">
        <v>402</v>
      </c>
      <c r="N112" s="52" t="s">
        <v>403</v>
      </c>
      <c r="O112" s="52" t="str">
        <f t="shared" si="2"/>
        <v/>
      </c>
      <c r="P112" s="52" t="str">
        <f t="shared" si="3"/>
        <v/>
      </c>
      <c r="Q112" s="52"/>
      <c r="R112" s="52"/>
      <c r="S112" s="55" t="s">
        <v>407</v>
      </c>
      <c r="T112" s="53">
        <v>46230</v>
      </c>
    </row>
    <row r="113" spans="1:20" ht="12" customHeight="1">
      <c r="A113" s="51" t="s">
        <v>100</v>
      </c>
      <c r="B113" s="52">
        <v>14</v>
      </c>
      <c r="C113" s="53">
        <v>46264</v>
      </c>
      <c r="D113" s="54" t="s">
        <v>408</v>
      </c>
      <c r="E113" s="55" t="s">
        <v>171</v>
      </c>
      <c r="F113" s="55" t="s">
        <v>170</v>
      </c>
      <c r="G113" s="55" t="s">
        <v>176</v>
      </c>
      <c r="H113" s="56"/>
      <c r="I113" s="56"/>
      <c r="J113" s="56">
        <v>2026</v>
      </c>
      <c r="K113" s="52" t="s">
        <v>99</v>
      </c>
      <c r="L113" s="52" t="s">
        <v>88</v>
      </c>
      <c r="M113" s="52" t="s">
        <v>396</v>
      </c>
      <c r="N113" s="52" t="s">
        <v>404</v>
      </c>
      <c r="O113" s="52" t="str">
        <f t="shared" si="2"/>
        <v/>
      </c>
      <c r="P113" s="52" t="str">
        <f t="shared" si="3"/>
        <v/>
      </c>
      <c r="Q113" s="52"/>
      <c r="R113" s="52"/>
      <c r="S113" s="55" t="s">
        <v>407</v>
      </c>
      <c r="T113" s="53">
        <v>46230</v>
      </c>
    </row>
    <row r="114" spans="1:20" ht="12" customHeight="1">
      <c r="A114" s="51" t="s">
        <v>100</v>
      </c>
      <c r="B114" s="52">
        <v>14</v>
      </c>
      <c r="C114" s="53">
        <v>46264</v>
      </c>
      <c r="D114" s="54" t="s">
        <v>408</v>
      </c>
      <c r="E114" s="55" t="s">
        <v>207</v>
      </c>
      <c r="F114" s="55" t="s">
        <v>175</v>
      </c>
      <c r="G114" s="55" t="s">
        <v>172</v>
      </c>
      <c r="H114" s="56"/>
      <c r="I114" s="56"/>
      <c r="J114" s="56">
        <v>2026</v>
      </c>
      <c r="K114" s="52" t="s">
        <v>99</v>
      </c>
      <c r="L114" s="52" t="s">
        <v>88</v>
      </c>
      <c r="M114" s="52" t="s">
        <v>400</v>
      </c>
      <c r="N114" s="52" t="s">
        <v>405</v>
      </c>
      <c r="O114" s="52" t="str">
        <f t="shared" si="2"/>
        <v/>
      </c>
      <c r="P114" s="52" t="str">
        <f t="shared" si="3"/>
        <v/>
      </c>
      <c r="Q114" s="52"/>
      <c r="R114" s="52"/>
      <c r="S114" s="55" t="s">
        <v>407</v>
      </c>
      <c r="T114" s="53">
        <v>46230</v>
      </c>
    </row>
    <row r="115" spans="1:20" ht="12" customHeight="1">
      <c r="A115" s="51" t="s">
        <v>100</v>
      </c>
      <c r="B115" s="52">
        <v>14</v>
      </c>
      <c r="C115" s="53">
        <v>46264</v>
      </c>
      <c r="D115" s="54" t="s">
        <v>408</v>
      </c>
      <c r="E115" s="55" t="s">
        <v>205</v>
      </c>
      <c r="F115" s="55" t="s">
        <v>173</v>
      </c>
      <c r="G115" s="55" t="s">
        <v>174</v>
      </c>
      <c r="H115" s="56"/>
      <c r="I115" s="56"/>
      <c r="J115" s="56">
        <v>2026</v>
      </c>
      <c r="K115" s="52" t="s">
        <v>99</v>
      </c>
      <c r="L115" s="52" t="s">
        <v>88</v>
      </c>
      <c r="M115" s="52" t="s">
        <v>403</v>
      </c>
      <c r="N115" s="52" t="s">
        <v>406</v>
      </c>
      <c r="O115" s="52" t="str">
        <f t="shared" si="2"/>
        <v/>
      </c>
      <c r="P115" s="52" t="str">
        <f t="shared" si="3"/>
        <v/>
      </c>
      <c r="Q115" s="52"/>
      <c r="R115" s="52"/>
      <c r="S115" s="55" t="s">
        <v>407</v>
      </c>
      <c r="T115" s="53">
        <v>46230</v>
      </c>
    </row>
    <row r="116" spans="1:20" ht="12" customHeight="1">
      <c r="A116" s="51" t="s">
        <v>113</v>
      </c>
      <c r="B116" s="52">
        <v>1</v>
      </c>
      <c r="C116" s="53">
        <v>46173</v>
      </c>
      <c r="D116" s="54" t="s">
        <v>409</v>
      </c>
      <c r="E116" s="55" t="s">
        <v>205</v>
      </c>
      <c r="F116" s="55" t="s">
        <v>166</v>
      </c>
      <c r="G116" s="55" t="s">
        <v>176</v>
      </c>
      <c r="H116" s="56">
        <v>0</v>
      </c>
      <c r="I116" s="56">
        <v>1</v>
      </c>
      <c r="J116" s="56">
        <v>2026</v>
      </c>
      <c r="K116" s="52" t="s">
        <v>99</v>
      </c>
      <c r="L116" s="52" t="s">
        <v>137</v>
      </c>
      <c r="M116" s="52" t="s">
        <v>403</v>
      </c>
      <c r="N116" s="52" t="s">
        <v>406</v>
      </c>
      <c r="O116" s="52" t="str">
        <f t="shared" si="2"/>
        <v>Maestranza</v>
      </c>
      <c r="P116" s="52" t="str">
        <f t="shared" si="3"/>
        <v>Visita</v>
      </c>
      <c r="Q116" s="52">
        <v>0</v>
      </c>
      <c r="R116" s="52">
        <v>3</v>
      </c>
      <c r="S116" s="55" t="s">
        <v>397</v>
      </c>
      <c r="T116" s="53">
        <v>46230</v>
      </c>
    </row>
    <row r="117" spans="1:20" ht="12" customHeight="1">
      <c r="A117" s="51" t="s">
        <v>113</v>
      </c>
      <c r="B117" s="52">
        <v>1</v>
      </c>
      <c r="C117" s="53">
        <v>46173</v>
      </c>
      <c r="D117" s="54" t="s">
        <v>409</v>
      </c>
      <c r="E117" s="55" t="s">
        <v>207</v>
      </c>
      <c r="F117" s="55" t="s">
        <v>175</v>
      </c>
      <c r="G117" s="55" t="s">
        <v>169</v>
      </c>
      <c r="H117" s="56">
        <v>1</v>
      </c>
      <c r="I117" s="56">
        <v>0</v>
      </c>
      <c r="J117" s="56">
        <v>2026</v>
      </c>
      <c r="K117" s="52" t="s">
        <v>99</v>
      </c>
      <c r="L117" s="52" t="s">
        <v>137</v>
      </c>
      <c r="M117" s="52" t="s">
        <v>404</v>
      </c>
      <c r="N117" s="52" t="s">
        <v>394</v>
      </c>
      <c r="O117" s="52" t="str">
        <f t="shared" si="2"/>
        <v>Colo Colo</v>
      </c>
      <c r="P117" s="52" t="str">
        <f t="shared" si="3"/>
        <v>Local</v>
      </c>
      <c r="Q117" s="52">
        <v>3</v>
      </c>
      <c r="R117" s="52">
        <v>0</v>
      </c>
      <c r="S117" s="55" t="s">
        <v>397</v>
      </c>
      <c r="T117" s="53">
        <v>46230</v>
      </c>
    </row>
    <row r="118" spans="1:20" ht="12" customHeight="1">
      <c r="A118" s="51" t="s">
        <v>113</v>
      </c>
      <c r="B118" s="52">
        <v>1</v>
      </c>
      <c r="C118" s="53">
        <v>46173</v>
      </c>
      <c r="D118" s="54" t="s">
        <v>409</v>
      </c>
      <c r="E118" s="55" t="s">
        <v>171</v>
      </c>
      <c r="F118" s="55" t="s">
        <v>170</v>
      </c>
      <c r="G118" s="55" t="s">
        <v>174</v>
      </c>
      <c r="H118" s="56">
        <v>0</v>
      </c>
      <c r="I118" s="56">
        <v>2</v>
      </c>
      <c r="J118" s="56">
        <v>2026</v>
      </c>
      <c r="K118" s="52" t="s">
        <v>99</v>
      </c>
      <c r="L118" s="52" t="s">
        <v>137</v>
      </c>
      <c r="M118" s="52" t="s">
        <v>405</v>
      </c>
      <c r="N118" s="52" t="s">
        <v>398</v>
      </c>
      <c r="O118" s="52" t="str">
        <f t="shared" si="2"/>
        <v>Inca</v>
      </c>
      <c r="P118" s="52" t="str">
        <f t="shared" si="3"/>
        <v>Visita</v>
      </c>
      <c r="Q118" s="52">
        <v>0</v>
      </c>
      <c r="R118" s="52">
        <v>3</v>
      </c>
      <c r="S118" s="55" t="s">
        <v>397</v>
      </c>
      <c r="T118" s="53">
        <v>46230</v>
      </c>
    </row>
    <row r="119" spans="1:20" ht="12" customHeight="1">
      <c r="A119" s="51" t="s">
        <v>113</v>
      </c>
      <c r="B119" s="52">
        <v>1</v>
      </c>
      <c r="C119" s="53">
        <v>46173</v>
      </c>
      <c r="D119" s="54" t="s">
        <v>409</v>
      </c>
      <c r="E119" s="55" t="s">
        <v>205</v>
      </c>
      <c r="F119" s="55" t="s">
        <v>173</v>
      </c>
      <c r="G119" s="55" t="s">
        <v>172</v>
      </c>
      <c r="H119" s="56">
        <v>3</v>
      </c>
      <c r="I119" s="56">
        <v>3</v>
      </c>
      <c r="J119" s="56">
        <v>2026</v>
      </c>
      <c r="K119" s="52" t="s">
        <v>99</v>
      </c>
      <c r="L119" s="52" t="s">
        <v>137</v>
      </c>
      <c r="M119" s="52" t="s">
        <v>406</v>
      </c>
      <c r="N119" s="52" t="s">
        <v>401</v>
      </c>
      <c r="O119" s="52" t="str">
        <f t="shared" si="2"/>
        <v>Empate</v>
      </c>
      <c r="P119" s="52" t="str">
        <f t="shared" si="3"/>
        <v>Empate</v>
      </c>
      <c r="Q119" s="52">
        <v>1</v>
      </c>
      <c r="R119" s="52">
        <v>1</v>
      </c>
      <c r="S119" s="55" t="s">
        <v>397</v>
      </c>
      <c r="T119" s="53">
        <v>46230</v>
      </c>
    </row>
    <row r="120" spans="1:20" ht="12" customHeight="1">
      <c r="A120" s="51" t="s">
        <v>113</v>
      </c>
      <c r="B120" s="52">
        <v>2</v>
      </c>
      <c r="C120" s="53">
        <v>46180</v>
      </c>
      <c r="D120" s="54" t="s">
        <v>409</v>
      </c>
      <c r="E120" s="55" t="s">
        <v>207</v>
      </c>
      <c r="F120" s="55" t="s">
        <v>175</v>
      </c>
      <c r="G120" s="55" t="s">
        <v>166</v>
      </c>
      <c r="H120" s="56">
        <v>2</v>
      </c>
      <c r="I120" s="56">
        <v>0</v>
      </c>
      <c r="J120" s="56">
        <v>2026</v>
      </c>
      <c r="K120" s="52" t="s">
        <v>99</v>
      </c>
      <c r="L120" s="52" t="s">
        <v>137</v>
      </c>
      <c r="M120" s="52" t="s">
        <v>404</v>
      </c>
      <c r="N120" s="52" t="s">
        <v>394</v>
      </c>
      <c r="O120" s="52" t="str">
        <f t="shared" si="2"/>
        <v>Colo Colo</v>
      </c>
      <c r="P120" s="52" t="str">
        <f t="shared" si="3"/>
        <v>Local</v>
      </c>
      <c r="Q120" s="52">
        <v>3</v>
      </c>
      <c r="R120" s="52">
        <v>0</v>
      </c>
      <c r="S120" s="55" t="s">
        <v>397</v>
      </c>
      <c r="T120" s="53">
        <v>46230</v>
      </c>
    </row>
    <row r="121" spans="1:20" ht="12" customHeight="1">
      <c r="A121" s="51" t="s">
        <v>113</v>
      </c>
      <c r="B121" s="52">
        <v>2</v>
      </c>
      <c r="C121" s="53">
        <v>46180</v>
      </c>
      <c r="D121" s="54" t="s">
        <v>409</v>
      </c>
      <c r="E121" s="55" t="s">
        <v>210</v>
      </c>
      <c r="F121" s="55" t="s">
        <v>176</v>
      </c>
      <c r="G121" s="55" t="s">
        <v>174</v>
      </c>
      <c r="H121" s="56">
        <v>3</v>
      </c>
      <c r="I121" s="56">
        <v>0</v>
      </c>
      <c r="J121" s="56">
        <v>2026</v>
      </c>
      <c r="K121" s="52" t="s">
        <v>99</v>
      </c>
      <c r="L121" s="52" t="s">
        <v>137</v>
      </c>
      <c r="M121" s="52" t="s">
        <v>405</v>
      </c>
      <c r="N121" s="52" t="s">
        <v>398</v>
      </c>
      <c r="O121" s="52" t="str">
        <f t="shared" si="2"/>
        <v>Maestranza</v>
      </c>
      <c r="P121" s="52" t="str">
        <f t="shared" si="3"/>
        <v>Local</v>
      </c>
      <c r="Q121" s="52">
        <v>3</v>
      </c>
      <c r="R121" s="52">
        <v>0</v>
      </c>
      <c r="S121" s="55" t="s">
        <v>397</v>
      </c>
      <c r="T121" s="53">
        <v>46230</v>
      </c>
    </row>
    <row r="122" spans="1:20" ht="12" customHeight="1">
      <c r="A122" s="51" t="s">
        <v>113</v>
      </c>
      <c r="B122" s="52">
        <v>2</v>
      </c>
      <c r="C122" s="53">
        <v>46180</v>
      </c>
      <c r="D122" s="54" t="s">
        <v>409</v>
      </c>
      <c r="E122" s="55" t="s">
        <v>205</v>
      </c>
      <c r="F122" s="55" t="s">
        <v>173</v>
      </c>
      <c r="G122" s="55" t="s">
        <v>169</v>
      </c>
      <c r="H122" s="56">
        <v>1</v>
      </c>
      <c r="I122" s="56">
        <v>2</v>
      </c>
      <c r="J122" s="56">
        <v>2026</v>
      </c>
      <c r="K122" s="52" t="s">
        <v>99</v>
      </c>
      <c r="L122" s="52" t="s">
        <v>137</v>
      </c>
      <c r="M122" s="52" t="s">
        <v>406</v>
      </c>
      <c r="N122" s="52" t="s">
        <v>401</v>
      </c>
      <c r="O122" s="52" t="str">
        <f t="shared" si="2"/>
        <v>U.J. Lautaro</v>
      </c>
      <c r="P122" s="52" t="str">
        <f t="shared" si="3"/>
        <v>Visita</v>
      </c>
      <c r="Q122" s="52">
        <v>0</v>
      </c>
      <c r="R122" s="52">
        <v>3</v>
      </c>
      <c r="S122" s="55" t="s">
        <v>397</v>
      </c>
      <c r="T122" s="53">
        <v>46230</v>
      </c>
    </row>
    <row r="123" spans="1:20" ht="12" customHeight="1">
      <c r="A123" s="51" t="s">
        <v>113</v>
      </c>
      <c r="B123" s="52">
        <v>2</v>
      </c>
      <c r="C123" s="53">
        <v>46180</v>
      </c>
      <c r="D123" s="54" t="s">
        <v>409</v>
      </c>
      <c r="E123" s="55" t="s">
        <v>171</v>
      </c>
      <c r="F123" s="55" t="s">
        <v>170</v>
      </c>
      <c r="G123" s="55" t="s">
        <v>172</v>
      </c>
      <c r="H123" s="56">
        <v>1</v>
      </c>
      <c r="I123" s="56">
        <v>0</v>
      </c>
      <c r="J123" s="56">
        <v>2026</v>
      </c>
      <c r="K123" s="52" t="s">
        <v>99</v>
      </c>
      <c r="L123" s="52" t="s">
        <v>137</v>
      </c>
      <c r="M123" s="52" t="s">
        <v>394</v>
      </c>
      <c r="N123" s="52" t="s">
        <v>395</v>
      </c>
      <c r="O123" s="52" t="str">
        <f t="shared" si="2"/>
        <v>Forestal</v>
      </c>
      <c r="P123" s="52" t="str">
        <f t="shared" si="3"/>
        <v>Local</v>
      </c>
      <c r="Q123" s="52">
        <v>3</v>
      </c>
      <c r="R123" s="52">
        <v>0</v>
      </c>
      <c r="S123" s="55" t="s">
        <v>397</v>
      </c>
      <c r="T123" s="53">
        <v>46230</v>
      </c>
    </row>
    <row r="124" spans="1:20" ht="12" customHeight="1">
      <c r="A124" s="51" t="s">
        <v>113</v>
      </c>
      <c r="B124" s="52">
        <v>3</v>
      </c>
      <c r="C124" s="53">
        <v>46187</v>
      </c>
      <c r="D124" s="54" t="s">
        <v>409</v>
      </c>
      <c r="E124" s="55" t="s">
        <v>205</v>
      </c>
      <c r="F124" s="55" t="s">
        <v>166</v>
      </c>
      <c r="G124" s="55" t="s">
        <v>174</v>
      </c>
      <c r="H124" s="56">
        <v>2</v>
      </c>
      <c r="I124" s="56">
        <v>1</v>
      </c>
      <c r="J124" s="56">
        <v>2026</v>
      </c>
      <c r="K124" s="52" t="s">
        <v>99</v>
      </c>
      <c r="L124" s="52" t="s">
        <v>137</v>
      </c>
      <c r="M124" s="52" t="s">
        <v>405</v>
      </c>
      <c r="N124" s="52" t="s">
        <v>398</v>
      </c>
      <c r="O124" s="52" t="str">
        <f t="shared" si="2"/>
        <v>Villa Alegre</v>
      </c>
      <c r="P124" s="52" t="str">
        <f t="shared" si="3"/>
        <v>Local</v>
      </c>
      <c r="Q124" s="52">
        <v>3</v>
      </c>
      <c r="R124" s="52">
        <v>0</v>
      </c>
      <c r="S124" s="55" t="s">
        <v>397</v>
      </c>
      <c r="T124" s="53">
        <v>46230</v>
      </c>
    </row>
    <row r="125" spans="1:20" ht="12" customHeight="1">
      <c r="A125" s="51" t="s">
        <v>113</v>
      </c>
      <c r="B125" s="52">
        <v>3</v>
      </c>
      <c r="C125" s="53">
        <v>46187</v>
      </c>
      <c r="D125" s="54" t="s">
        <v>409</v>
      </c>
      <c r="E125" s="55" t="s">
        <v>205</v>
      </c>
      <c r="F125" s="55" t="s">
        <v>173</v>
      </c>
      <c r="G125" s="55" t="s">
        <v>175</v>
      </c>
      <c r="H125" s="56">
        <v>2</v>
      </c>
      <c r="I125" s="56">
        <v>2</v>
      </c>
      <c r="J125" s="56">
        <v>2026</v>
      </c>
      <c r="K125" s="52" t="s">
        <v>99</v>
      </c>
      <c r="L125" s="52" t="s">
        <v>137</v>
      </c>
      <c r="M125" s="52" t="s">
        <v>406</v>
      </c>
      <c r="N125" s="52" t="s">
        <v>401</v>
      </c>
      <c r="O125" s="52" t="str">
        <f t="shared" si="2"/>
        <v>Empate</v>
      </c>
      <c r="P125" s="52" t="str">
        <f t="shared" si="3"/>
        <v>Empate</v>
      </c>
      <c r="Q125" s="52">
        <v>1</v>
      </c>
      <c r="R125" s="52">
        <v>1</v>
      </c>
      <c r="S125" s="55" t="s">
        <v>397</v>
      </c>
      <c r="T125" s="53">
        <v>46230</v>
      </c>
    </row>
    <row r="126" spans="1:20" ht="12" customHeight="1">
      <c r="A126" s="51" t="s">
        <v>113</v>
      </c>
      <c r="B126" s="52">
        <v>3</v>
      </c>
      <c r="C126" s="53">
        <v>46187</v>
      </c>
      <c r="D126" s="54" t="s">
        <v>409</v>
      </c>
      <c r="E126" s="55" t="s">
        <v>210</v>
      </c>
      <c r="F126" s="55" t="s">
        <v>176</v>
      </c>
      <c r="G126" s="55" t="s">
        <v>172</v>
      </c>
      <c r="H126" s="56">
        <v>3</v>
      </c>
      <c r="I126" s="56">
        <v>0</v>
      </c>
      <c r="J126" s="56">
        <v>2026</v>
      </c>
      <c r="K126" s="52" t="s">
        <v>99</v>
      </c>
      <c r="L126" s="52" t="s">
        <v>137</v>
      </c>
      <c r="M126" s="52" t="s">
        <v>394</v>
      </c>
      <c r="N126" s="52" t="s">
        <v>395</v>
      </c>
      <c r="O126" s="52" t="str">
        <f t="shared" si="2"/>
        <v>Maestranza</v>
      </c>
      <c r="P126" s="52" t="str">
        <f t="shared" si="3"/>
        <v>Local</v>
      </c>
      <c r="Q126" s="52">
        <v>3</v>
      </c>
      <c r="R126" s="52">
        <v>0</v>
      </c>
      <c r="S126" s="55" t="s">
        <v>397</v>
      </c>
      <c r="T126" s="53">
        <v>46230</v>
      </c>
    </row>
    <row r="127" spans="1:20" ht="12" customHeight="1">
      <c r="A127" s="51" t="s">
        <v>113</v>
      </c>
      <c r="B127" s="52">
        <v>3</v>
      </c>
      <c r="C127" s="53">
        <v>46187</v>
      </c>
      <c r="D127" s="54" t="s">
        <v>409</v>
      </c>
      <c r="E127" s="55" t="s">
        <v>171</v>
      </c>
      <c r="F127" s="55" t="s">
        <v>170</v>
      </c>
      <c r="G127" s="55" t="s">
        <v>169</v>
      </c>
      <c r="H127" s="56">
        <v>4</v>
      </c>
      <c r="I127" s="56">
        <v>0</v>
      </c>
      <c r="J127" s="56">
        <v>2026</v>
      </c>
      <c r="K127" s="52" t="s">
        <v>99</v>
      </c>
      <c r="L127" s="52" t="s">
        <v>137</v>
      </c>
      <c r="M127" s="52" t="s">
        <v>398</v>
      </c>
      <c r="N127" s="52" t="s">
        <v>399</v>
      </c>
      <c r="O127" s="52" t="str">
        <f t="shared" si="2"/>
        <v>Forestal</v>
      </c>
      <c r="P127" s="52" t="str">
        <f t="shared" si="3"/>
        <v>Local</v>
      </c>
      <c r="Q127" s="52">
        <v>3</v>
      </c>
      <c r="R127" s="52">
        <v>0</v>
      </c>
      <c r="S127" s="55" t="s">
        <v>397</v>
      </c>
      <c r="T127" s="53">
        <v>46230</v>
      </c>
    </row>
    <row r="128" spans="1:20" ht="12" customHeight="1">
      <c r="A128" s="51" t="s">
        <v>113</v>
      </c>
      <c r="B128" s="52">
        <v>4</v>
      </c>
      <c r="C128" s="53">
        <v>46194</v>
      </c>
      <c r="D128" s="54" t="s">
        <v>409</v>
      </c>
      <c r="E128" s="55" t="s">
        <v>205</v>
      </c>
      <c r="F128" s="55" t="s">
        <v>173</v>
      </c>
      <c r="G128" s="55" t="s">
        <v>166</v>
      </c>
      <c r="H128" s="56">
        <v>1</v>
      </c>
      <c r="I128" s="56">
        <v>1</v>
      </c>
      <c r="J128" s="56">
        <v>2026</v>
      </c>
      <c r="K128" s="52" t="s">
        <v>99</v>
      </c>
      <c r="L128" s="52" t="s">
        <v>137</v>
      </c>
      <c r="M128" s="52" t="s">
        <v>406</v>
      </c>
      <c r="N128" s="52" t="s">
        <v>401</v>
      </c>
      <c r="O128" s="52" t="str">
        <f t="shared" si="2"/>
        <v>Empate</v>
      </c>
      <c r="P128" s="52" t="str">
        <f t="shared" si="3"/>
        <v>Empate</v>
      </c>
      <c r="Q128" s="52">
        <v>1</v>
      </c>
      <c r="R128" s="52">
        <v>1</v>
      </c>
      <c r="S128" s="55" t="s">
        <v>397</v>
      </c>
      <c r="T128" s="53">
        <v>46230</v>
      </c>
    </row>
    <row r="129" spans="1:20" ht="12" customHeight="1">
      <c r="A129" s="51" t="s">
        <v>113</v>
      </c>
      <c r="B129" s="52">
        <v>4</v>
      </c>
      <c r="C129" s="53">
        <v>46194</v>
      </c>
      <c r="D129" s="54" t="s">
        <v>409</v>
      </c>
      <c r="E129" s="55" t="s">
        <v>210</v>
      </c>
      <c r="F129" s="55" t="s">
        <v>174</v>
      </c>
      <c r="G129" s="55" t="s">
        <v>172</v>
      </c>
      <c r="H129" s="56">
        <v>2</v>
      </c>
      <c r="I129" s="56">
        <v>2</v>
      </c>
      <c r="J129" s="56">
        <v>2026</v>
      </c>
      <c r="K129" s="52" t="s">
        <v>99</v>
      </c>
      <c r="L129" s="52" t="s">
        <v>137</v>
      </c>
      <c r="M129" s="52" t="s">
        <v>394</v>
      </c>
      <c r="N129" s="52" t="s">
        <v>395</v>
      </c>
      <c r="O129" s="52" t="str">
        <f t="shared" si="2"/>
        <v>Empate</v>
      </c>
      <c r="P129" s="52" t="str">
        <f t="shared" si="3"/>
        <v>Empate</v>
      </c>
      <c r="Q129" s="52">
        <v>1</v>
      </c>
      <c r="R129" s="52">
        <v>1</v>
      </c>
      <c r="S129" s="55" t="s">
        <v>397</v>
      </c>
      <c r="T129" s="53">
        <v>46230</v>
      </c>
    </row>
    <row r="130" spans="1:20" ht="12" customHeight="1">
      <c r="A130" s="51" t="s">
        <v>113</v>
      </c>
      <c r="B130" s="52">
        <v>4</v>
      </c>
      <c r="C130" s="53">
        <v>46194</v>
      </c>
      <c r="D130" s="54" t="s">
        <v>409</v>
      </c>
      <c r="E130" s="55" t="s">
        <v>171</v>
      </c>
      <c r="F130" s="55" t="s">
        <v>170</v>
      </c>
      <c r="G130" s="55" t="s">
        <v>175</v>
      </c>
      <c r="H130" s="56">
        <v>3</v>
      </c>
      <c r="I130" s="56">
        <v>0</v>
      </c>
      <c r="J130" s="56">
        <v>2026</v>
      </c>
      <c r="K130" s="52" t="s">
        <v>99</v>
      </c>
      <c r="L130" s="52" t="s">
        <v>137</v>
      </c>
      <c r="M130" s="52" t="s">
        <v>398</v>
      </c>
      <c r="N130" s="52" t="s">
        <v>399</v>
      </c>
      <c r="O130" s="52" t="str">
        <f t="shared" si="2"/>
        <v>Forestal</v>
      </c>
      <c r="P130" s="52" t="str">
        <f t="shared" si="3"/>
        <v>Local</v>
      </c>
      <c r="Q130" s="52">
        <v>3</v>
      </c>
      <c r="R130" s="52">
        <v>0</v>
      </c>
      <c r="S130" s="55" t="s">
        <v>397</v>
      </c>
      <c r="T130" s="53">
        <v>46230</v>
      </c>
    </row>
    <row r="131" spans="1:20" ht="12" customHeight="1">
      <c r="A131" s="51" t="s">
        <v>113</v>
      </c>
      <c r="B131" s="52">
        <v>4</v>
      </c>
      <c r="C131" s="53">
        <v>46194</v>
      </c>
      <c r="D131" s="54" t="s">
        <v>409</v>
      </c>
      <c r="E131" s="55" t="s">
        <v>210</v>
      </c>
      <c r="F131" s="55" t="s">
        <v>176</v>
      </c>
      <c r="G131" s="55" t="s">
        <v>169</v>
      </c>
      <c r="H131" s="56">
        <v>4</v>
      </c>
      <c r="I131" s="56">
        <v>1</v>
      </c>
      <c r="J131" s="56">
        <v>2026</v>
      </c>
      <c r="K131" s="52" t="s">
        <v>99</v>
      </c>
      <c r="L131" s="52" t="s">
        <v>137</v>
      </c>
      <c r="M131" s="52" t="s">
        <v>401</v>
      </c>
      <c r="N131" s="52" t="s">
        <v>402</v>
      </c>
      <c r="O131" s="52" t="str">
        <f t="shared" si="2"/>
        <v>Maestranza</v>
      </c>
      <c r="P131" s="52" t="str">
        <f t="shared" si="3"/>
        <v>Local</v>
      </c>
      <c r="Q131" s="52">
        <v>3</v>
      </c>
      <c r="R131" s="52">
        <v>0</v>
      </c>
      <c r="S131" s="55" t="s">
        <v>397</v>
      </c>
      <c r="T131" s="53">
        <v>46230</v>
      </c>
    </row>
    <row r="132" spans="1:20" ht="12" customHeight="1">
      <c r="A132" s="51" t="s">
        <v>113</v>
      </c>
      <c r="B132" s="52">
        <v>5</v>
      </c>
      <c r="C132" s="53">
        <v>46201</v>
      </c>
      <c r="D132" s="54" t="s">
        <v>409</v>
      </c>
      <c r="E132" s="55" t="s">
        <v>205</v>
      </c>
      <c r="F132" s="55" t="s">
        <v>166</v>
      </c>
      <c r="G132" s="55" t="s">
        <v>172</v>
      </c>
      <c r="H132" s="56">
        <v>2</v>
      </c>
      <c r="I132" s="56">
        <v>1</v>
      </c>
      <c r="J132" s="56">
        <v>2026</v>
      </c>
      <c r="K132" s="52" t="s">
        <v>99</v>
      </c>
      <c r="L132" s="52" t="s">
        <v>137</v>
      </c>
      <c r="M132" s="52" t="s">
        <v>394</v>
      </c>
      <c r="N132" s="52" t="s">
        <v>395</v>
      </c>
      <c r="O132" s="52" t="str">
        <f t="shared" ref="O132:O195" si="4">IF(OR(L132&lt;&gt;"Finalizado",H132="",I132=""),"",IF(H132&gt;I132,F132,IF(I132&gt;H132,G132,"Empate")))</f>
        <v>Villa Alegre</v>
      </c>
      <c r="P132" s="52" t="str">
        <f t="shared" ref="P132:P195" si="5">IF(OR(L132&lt;&gt;"Finalizado",H132="",I132=""),"",IF(H132=I132,"Empate",IF(H132&gt;I132,"Local","Visita")))</f>
        <v>Local</v>
      </c>
      <c r="Q132" s="52">
        <v>3</v>
      </c>
      <c r="R132" s="52">
        <v>0</v>
      </c>
      <c r="S132" s="55" t="s">
        <v>397</v>
      </c>
      <c r="T132" s="53">
        <v>46230</v>
      </c>
    </row>
    <row r="133" spans="1:20" ht="12" customHeight="1">
      <c r="A133" s="51" t="s">
        <v>113</v>
      </c>
      <c r="B133" s="52">
        <v>5</v>
      </c>
      <c r="C133" s="53">
        <v>46201</v>
      </c>
      <c r="D133" s="54" t="s">
        <v>409</v>
      </c>
      <c r="E133" s="55" t="s">
        <v>171</v>
      </c>
      <c r="F133" s="55" t="s">
        <v>170</v>
      </c>
      <c r="G133" s="55" t="s">
        <v>173</v>
      </c>
      <c r="H133" s="56">
        <v>2</v>
      </c>
      <c r="I133" s="56">
        <v>0</v>
      </c>
      <c r="J133" s="56">
        <v>2026</v>
      </c>
      <c r="K133" s="52" t="s">
        <v>99</v>
      </c>
      <c r="L133" s="52" t="s">
        <v>137</v>
      </c>
      <c r="M133" s="52" t="s">
        <v>398</v>
      </c>
      <c r="N133" s="52" t="s">
        <v>399</v>
      </c>
      <c r="O133" s="52" t="str">
        <f t="shared" si="4"/>
        <v>Forestal</v>
      </c>
      <c r="P133" s="52" t="str">
        <f t="shared" si="5"/>
        <v>Local</v>
      </c>
      <c r="Q133" s="52">
        <v>3</v>
      </c>
      <c r="R133" s="52">
        <v>0</v>
      </c>
      <c r="S133" s="55" t="s">
        <v>397</v>
      </c>
      <c r="T133" s="53">
        <v>46230</v>
      </c>
    </row>
    <row r="134" spans="1:20" ht="12" customHeight="1">
      <c r="A134" s="51" t="s">
        <v>113</v>
      </c>
      <c r="B134" s="52">
        <v>5</v>
      </c>
      <c r="C134" s="53">
        <v>46201</v>
      </c>
      <c r="D134" s="54" t="s">
        <v>409</v>
      </c>
      <c r="E134" s="55" t="s">
        <v>210</v>
      </c>
      <c r="F134" s="55" t="s">
        <v>174</v>
      </c>
      <c r="G134" s="55" t="s">
        <v>169</v>
      </c>
      <c r="H134" s="56">
        <v>3</v>
      </c>
      <c r="I134" s="56">
        <v>2</v>
      </c>
      <c r="J134" s="56">
        <v>2026</v>
      </c>
      <c r="K134" s="52" t="s">
        <v>99</v>
      </c>
      <c r="L134" s="52" t="s">
        <v>137</v>
      </c>
      <c r="M134" s="52" t="s">
        <v>401</v>
      </c>
      <c r="N134" s="52" t="s">
        <v>402</v>
      </c>
      <c r="O134" s="52" t="str">
        <f t="shared" si="4"/>
        <v>Inca</v>
      </c>
      <c r="P134" s="52" t="str">
        <f t="shared" si="5"/>
        <v>Local</v>
      </c>
      <c r="Q134" s="52">
        <v>3</v>
      </c>
      <c r="R134" s="52">
        <v>0</v>
      </c>
      <c r="S134" s="55" t="s">
        <v>397</v>
      </c>
      <c r="T134" s="53">
        <v>46230</v>
      </c>
    </row>
    <row r="135" spans="1:20" ht="12" customHeight="1">
      <c r="A135" s="51" t="s">
        <v>113</v>
      </c>
      <c r="B135" s="52">
        <v>5</v>
      </c>
      <c r="C135" s="53">
        <v>46201</v>
      </c>
      <c r="D135" s="54" t="s">
        <v>409</v>
      </c>
      <c r="E135" s="55" t="s">
        <v>210</v>
      </c>
      <c r="F135" s="55" t="s">
        <v>176</v>
      </c>
      <c r="G135" s="55" t="s">
        <v>175</v>
      </c>
      <c r="H135" s="56">
        <v>1</v>
      </c>
      <c r="I135" s="56">
        <v>0</v>
      </c>
      <c r="J135" s="56">
        <v>2026</v>
      </c>
      <c r="K135" s="52" t="s">
        <v>99</v>
      </c>
      <c r="L135" s="52" t="s">
        <v>137</v>
      </c>
      <c r="M135" s="52" t="s">
        <v>395</v>
      </c>
      <c r="N135" s="52" t="s">
        <v>396</v>
      </c>
      <c r="O135" s="52" t="str">
        <f t="shared" si="4"/>
        <v>Maestranza</v>
      </c>
      <c r="P135" s="52" t="str">
        <f t="shared" si="5"/>
        <v>Local</v>
      </c>
      <c r="Q135" s="52">
        <v>3</v>
      </c>
      <c r="R135" s="52">
        <v>0</v>
      </c>
      <c r="S135" s="55" t="s">
        <v>397</v>
      </c>
      <c r="T135" s="53">
        <v>46230</v>
      </c>
    </row>
    <row r="136" spans="1:20" ht="12" customHeight="1">
      <c r="A136" s="51" t="s">
        <v>113</v>
      </c>
      <c r="B136" s="52">
        <v>6</v>
      </c>
      <c r="C136" s="53">
        <v>46208</v>
      </c>
      <c r="D136" s="54" t="s">
        <v>409</v>
      </c>
      <c r="E136" s="55" t="s">
        <v>171</v>
      </c>
      <c r="F136" s="55" t="s">
        <v>170</v>
      </c>
      <c r="G136" s="55" t="s">
        <v>166</v>
      </c>
      <c r="H136" s="56">
        <v>2</v>
      </c>
      <c r="I136" s="56">
        <v>1</v>
      </c>
      <c r="J136" s="56">
        <v>2026</v>
      </c>
      <c r="K136" s="52" t="s">
        <v>99</v>
      </c>
      <c r="L136" s="52" t="s">
        <v>137</v>
      </c>
      <c r="M136" s="52" t="s">
        <v>398</v>
      </c>
      <c r="N136" s="52" t="s">
        <v>399</v>
      </c>
      <c r="O136" s="52" t="str">
        <f t="shared" si="4"/>
        <v>Forestal</v>
      </c>
      <c r="P136" s="52" t="str">
        <f t="shared" si="5"/>
        <v>Local</v>
      </c>
      <c r="Q136" s="52">
        <v>3</v>
      </c>
      <c r="R136" s="52">
        <v>0</v>
      </c>
      <c r="S136" s="55" t="s">
        <v>397</v>
      </c>
      <c r="T136" s="53">
        <v>46230</v>
      </c>
    </row>
    <row r="137" spans="1:20" ht="12" customHeight="1">
      <c r="A137" s="51" t="s">
        <v>113</v>
      </c>
      <c r="B137" s="52">
        <v>6</v>
      </c>
      <c r="C137" s="53">
        <v>46208</v>
      </c>
      <c r="D137" s="54" t="s">
        <v>409</v>
      </c>
      <c r="E137" s="55" t="s">
        <v>210</v>
      </c>
      <c r="F137" s="55" t="s">
        <v>172</v>
      </c>
      <c r="G137" s="55" t="s">
        <v>169</v>
      </c>
      <c r="H137" s="56">
        <v>1</v>
      </c>
      <c r="I137" s="56">
        <v>1</v>
      </c>
      <c r="J137" s="56">
        <v>2026</v>
      </c>
      <c r="K137" s="52" t="s">
        <v>99</v>
      </c>
      <c r="L137" s="52" t="s">
        <v>137</v>
      </c>
      <c r="M137" s="52" t="s">
        <v>401</v>
      </c>
      <c r="N137" s="52" t="s">
        <v>402</v>
      </c>
      <c r="O137" s="52" t="str">
        <f t="shared" si="4"/>
        <v>Empate</v>
      </c>
      <c r="P137" s="52" t="str">
        <f t="shared" si="5"/>
        <v>Empate</v>
      </c>
      <c r="Q137" s="52">
        <v>1</v>
      </c>
      <c r="R137" s="52">
        <v>1</v>
      </c>
      <c r="S137" s="55" t="s">
        <v>397</v>
      </c>
      <c r="T137" s="53">
        <v>46230</v>
      </c>
    </row>
    <row r="138" spans="1:20" ht="12" customHeight="1">
      <c r="A138" s="51" t="s">
        <v>113</v>
      </c>
      <c r="B138" s="52">
        <v>6</v>
      </c>
      <c r="C138" s="53">
        <v>46208</v>
      </c>
      <c r="D138" s="54" t="s">
        <v>409</v>
      </c>
      <c r="E138" s="55" t="s">
        <v>210</v>
      </c>
      <c r="F138" s="55" t="s">
        <v>176</v>
      </c>
      <c r="G138" s="55" t="s">
        <v>173</v>
      </c>
      <c r="H138" s="56">
        <v>2</v>
      </c>
      <c r="I138" s="56">
        <v>0</v>
      </c>
      <c r="J138" s="56">
        <v>2026</v>
      </c>
      <c r="K138" s="52" t="s">
        <v>99</v>
      </c>
      <c r="L138" s="52" t="s">
        <v>137</v>
      </c>
      <c r="M138" s="52" t="s">
        <v>395</v>
      </c>
      <c r="N138" s="52" t="s">
        <v>396</v>
      </c>
      <c r="O138" s="52" t="str">
        <f t="shared" si="4"/>
        <v>Maestranza</v>
      </c>
      <c r="P138" s="52" t="str">
        <f t="shared" si="5"/>
        <v>Local</v>
      </c>
      <c r="Q138" s="52">
        <v>3</v>
      </c>
      <c r="R138" s="52">
        <v>0</v>
      </c>
      <c r="S138" s="55" t="s">
        <v>397</v>
      </c>
      <c r="T138" s="53">
        <v>46230</v>
      </c>
    </row>
    <row r="139" spans="1:20" ht="12" customHeight="1">
      <c r="A139" s="51" t="s">
        <v>113</v>
      </c>
      <c r="B139" s="52">
        <v>6</v>
      </c>
      <c r="C139" s="53">
        <v>46208</v>
      </c>
      <c r="D139" s="54" t="s">
        <v>409</v>
      </c>
      <c r="E139" s="55" t="s">
        <v>210</v>
      </c>
      <c r="F139" s="55" t="s">
        <v>174</v>
      </c>
      <c r="G139" s="55" t="s">
        <v>175</v>
      </c>
      <c r="H139" s="56">
        <v>1</v>
      </c>
      <c r="I139" s="56">
        <v>1</v>
      </c>
      <c r="J139" s="56">
        <v>2026</v>
      </c>
      <c r="K139" s="52" t="s">
        <v>99</v>
      </c>
      <c r="L139" s="52" t="s">
        <v>137</v>
      </c>
      <c r="M139" s="52" t="s">
        <v>399</v>
      </c>
      <c r="N139" s="52" t="s">
        <v>400</v>
      </c>
      <c r="O139" s="52" t="str">
        <f t="shared" si="4"/>
        <v>Empate</v>
      </c>
      <c r="P139" s="52" t="str">
        <f t="shared" si="5"/>
        <v>Empate</v>
      </c>
      <c r="Q139" s="52">
        <v>1</v>
      </c>
      <c r="R139" s="52">
        <v>1</v>
      </c>
      <c r="S139" s="55" t="s">
        <v>397</v>
      </c>
      <c r="T139" s="53">
        <v>46230</v>
      </c>
    </row>
    <row r="140" spans="1:20" ht="12" customHeight="1">
      <c r="A140" s="51" t="s">
        <v>113</v>
      </c>
      <c r="B140" s="52">
        <v>7</v>
      </c>
      <c r="C140" s="53">
        <v>46215</v>
      </c>
      <c r="D140" s="54" t="s">
        <v>409</v>
      </c>
      <c r="E140" s="55" t="s">
        <v>205</v>
      </c>
      <c r="F140" s="55" t="s">
        <v>166</v>
      </c>
      <c r="G140" s="55" t="s">
        <v>169</v>
      </c>
      <c r="H140" s="56">
        <v>1</v>
      </c>
      <c r="I140" s="56">
        <v>0</v>
      </c>
      <c r="J140" s="56">
        <v>2026</v>
      </c>
      <c r="K140" s="52" t="s">
        <v>99</v>
      </c>
      <c r="L140" s="52" t="s">
        <v>137</v>
      </c>
      <c r="M140" s="52" t="s">
        <v>401</v>
      </c>
      <c r="N140" s="52" t="s">
        <v>402</v>
      </c>
      <c r="O140" s="52" t="str">
        <f t="shared" si="4"/>
        <v>Villa Alegre</v>
      </c>
      <c r="P140" s="52" t="str">
        <f t="shared" si="5"/>
        <v>Local</v>
      </c>
      <c r="Q140" s="52">
        <v>3</v>
      </c>
      <c r="R140" s="52">
        <v>0</v>
      </c>
      <c r="S140" s="55" t="s">
        <v>397</v>
      </c>
      <c r="T140" s="53">
        <v>46230</v>
      </c>
    </row>
    <row r="141" spans="1:20" ht="12" customHeight="1">
      <c r="A141" s="51" t="s">
        <v>113</v>
      </c>
      <c r="B141" s="52">
        <v>7</v>
      </c>
      <c r="C141" s="53">
        <v>46215</v>
      </c>
      <c r="D141" s="54" t="s">
        <v>409</v>
      </c>
      <c r="E141" s="55" t="s">
        <v>210</v>
      </c>
      <c r="F141" s="55" t="s">
        <v>176</v>
      </c>
      <c r="G141" s="55" t="s">
        <v>170</v>
      </c>
      <c r="H141" s="56">
        <v>1</v>
      </c>
      <c r="I141" s="56">
        <v>0</v>
      </c>
      <c r="J141" s="56">
        <v>2026</v>
      </c>
      <c r="K141" s="52" t="s">
        <v>99</v>
      </c>
      <c r="L141" s="52" t="s">
        <v>137</v>
      </c>
      <c r="M141" s="52" t="s">
        <v>395</v>
      </c>
      <c r="N141" s="52" t="s">
        <v>396</v>
      </c>
      <c r="O141" s="52" t="str">
        <f t="shared" si="4"/>
        <v>Maestranza</v>
      </c>
      <c r="P141" s="52" t="str">
        <f t="shared" si="5"/>
        <v>Local</v>
      </c>
      <c r="Q141" s="52">
        <v>3</v>
      </c>
      <c r="R141" s="52">
        <v>0</v>
      </c>
      <c r="S141" s="55" t="s">
        <v>397</v>
      </c>
      <c r="T141" s="53">
        <v>46230</v>
      </c>
    </row>
    <row r="142" spans="1:20" ht="12" customHeight="1">
      <c r="A142" s="51" t="s">
        <v>113</v>
      </c>
      <c r="B142" s="52">
        <v>7</v>
      </c>
      <c r="C142" s="53">
        <v>46215</v>
      </c>
      <c r="D142" s="54" t="s">
        <v>409</v>
      </c>
      <c r="E142" s="55" t="s">
        <v>210</v>
      </c>
      <c r="F142" s="55" t="s">
        <v>172</v>
      </c>
      <c r="G142" s="55" t="s">
        <v>175</v>
      </c>
      <c r="H142" s="56">
        <v>2</v>
      </c>
      <c r="I142" s="56">
        <v>1</v>
      </c>
      <c r="J142" s="56">
        <v>2026</v>
      </c>
      <c r="K142" s="52" t="s">
        <v>99</v>
      </c>
      <c r="L142" s="52" t="s">
        <v>137</v>
      </c>
      <c r="M142" s="52" t="s">
        <v>399</v>
      </c>
      <c r="N142" s="52" t="s">
        <v>400</v>
      </c>
      <c r="O142" s="52" t="str">
        <f t="shared" si="4"/>
        <v>Grinvasul</v>
      </c>
      <c r="P142" s="52" t="str">
        <f t="shared" si="5"/>
        <v>Local</v>
      </c>
      <c r="Q142" s="52">
        <v>3</v>
      </c>
      <c r="R142" s="52">
        <v>0</v>
      </c>
      <c r="S142" s="55" t="s">
        <v>397</v>
      </c>
      <c r="T142" s="53">
        <v>46230</v>
      </c>
    </row>
    <row r="143" spans="1:20" ht="12" customHeight="1">
      <c r="A143" s="51" t="s">
        <v>113</v>
      </c>
      <c r="B143" s="52">
        <v>7</v>
      </c>
      <c r="C143" s="53">
        <v>46215</v>
      </c>
      <c r="D143" s="54" t="s">
        <v>409</v>
      </c>
      <c r="E143" s="55" t="s">
        <v>210</v>
      </c>
      <c r="F143" s="55" t="s">
        <v>174</v>
      </c>
      <c r="G143" s="55" t="s">
        <v>173</v>
      </c>
      <c r="H143" s="56">
        <v>1</v>
      </c>
      <c r="I143" s="56">
        <v>0</v>
      </c>
      <c r="J143" s="56">
        <v>2026</v>
      </c>
      <c r="K143" s="52" t="s">
        <v>99</v>
      </c>
      <c r="L143" s="52" t="s">
        <v>137</v>
      </c>
      <c r="M143" s="52" t="s">
        <v>402</v>
      </c>
      <c r="N143" s="52" t="s">
        <v>403</v>
      </c>
      <c r="O143" s="52" t="str">
        <f t="shared" si="4"/>
        <v>Inca</v>
      </c>
      <c r="P143" s="52" t="str">
        <f t="shared" si="5"/>
        <v>Local</v>
      </c>
      <c r="Q143" s="52">
        <v>3</v>
      </c>
      <c r="R143" s="52">
        <v>0</v>
      </c>
      <c r="S143" s="55" t="s">
        <v>397</v>
      </c>
      <c r="T143" s="53">
        <v>46230</v>
      </c>
    </row>
    <row r="144" spans="1:20" ht="12" customHeight="1">
      <c r="A144" s="51" t="s">
        <v>113</v>
      </c>
      <c r="B144" s="52">
        <v>8</v>
      </c>
      <c r="C144" s="53">
        <v>46222</v>
      </c>
      <c r="D144" s="54" t="s">
        <v>409</v>
      </c>
      <c r="E144" s="55" t="s">
        <v>210</v>
      </c>
      <c r="F144" s="55" t="s">
        <v>176</v>
      </c>
      <c r="G144" s="55" t="s">
        <v>166</v>
      </c>
      <c r="H144" s="56">
        <v>1</v>
      </c>
      <c r="I144" s="56">
        <v>0</v>
      </c>
      <c r="J144" s="56">
        <v>2026</v>
      </c>
      <c r="K144" s="52" t="s">
        <v>99</v>
      </c>
      <c r="L144" s="52" t="s">
        <v>137</v>
      </c>
      <c r="M144" s="52" t="s">
        <v>395</v>
      </c>
      <c r="N144" s="52" t="s">
        <v>396</v>
      </c>
      <c r="O144" s="52" t="str">
        <f t="shared" si="4"/>
        <v>Maestranza</v>
      </c>
      <c r="P144" s="52" t="str">
        <f t="shared" si="5"/>
        <v>Local</v>
      </c>
      <c r="Q144" s="52">
        <v>3</v>
      </c>
      <c r="R144" s="52">
        <v>0</v>
      </c>
      <c r="S144" s="55" t="s">
        <v>397</v>
      </c>
      <c r="T144" s="53">
        <v>46230</v>
      </c>
    </row>
    <row r="145" spans="1:20" ht="12" customHeight="1">
      <c r="A145" s="51" t="s">
        <v>113</v>
      </c>
      <c r="B145" s="52">
        <v>8</v>
      </c>
      <c r="C145" s="53">
        <v>46222</v>
      </c>
      <c r="D145" s="54" t="s">
        <v>409</v>
      </c>
      <c r="E145" s="55" t="s">
        <v>207</v>
      </c>
      <c r="F145" s="55" t="s">
        <v>169</v>
      </c>
      <c r="G145" s="55" t="s">
        <v>175</v>
      </c>
      <c r="H145" s="56">
        <v>1</v>
      </c>
      <c r="I145" s="56">
        <v>0</v>
      </c>
      <c r="J145" s="56">
        <v>2026</v>
      </c>
      <c r="K145" s="52" t="s">
        <v>99</v>
      </c>
      <c r="L145" s="52" t="s">
        <v>137</v>
      </c>
      <c r="M145" s="52" t="s">
        <v>399</v>
      </c>
      <c r="N145" s="52" t="s">
        <v>400</v>
      </c>
      <c r="O145" s="52" t="str">
        <f t="shared" si="4"/>
        <v>U.J. Lautaro</v>
      </c>
      <c r="P145" s="52" t="str">
        <f t="shared" si="5"/>
        <v>Local</v>
      </c>
      <c r="Q145" s="52">
        <v>3</v>
      </c>
      <c r="R145" s="52">
        <v>0</v>
      </c>
      <c r="S145" s="55" t="s">
        <v>397</v>
      </c>
      <c r="T145" s="53">
        <v>46230</v>
      </c>
    </row>
    <row r="146" spans="1:20" ht="12" customHeight="1">
      <c r="A146" s="51" t="s">
        <v>113</v>
      </c>
      <c r="B146" s="52">
        <v>8</v>
      </c>
      <c r="C146" s="53">
        <v>46222</v>
      </c>
      <c r="D146" s="54" t="s">
        <v>409</v>
      </c>
      <c r="E146" s="55" t="s">
        <v>210</v>
      </c>
      <c r="F146" s="55" t="s">
        <v>174</v>
      </c>
      <c r="G146" s="55" t="s">
        <v>170</v>
      </c>
      <c r="H146" s="56">
        <v>0</v>
      </c>
      <c r="I146" s="56">
        <v>1</v>
      </c>
      <c r="J146" s="56">
        <v>2026</v>
      </c>
      <c r="K146" s="52" t="s">
        <v>99</v>
      </c>
      <c r="L146" s="52" t="s">
        <v>137</v>
      </c>
      <c r="M146" s="52" t="s">
        <v>402</v>
      </c>
      <c r="N146" s="52" t="s">
        <v>403</v>
      </c>
      <c r="O146" s="52" t="str">
        <f t="shared" si="4"/>
        <v>Forestal</v>
      </c>
      <c r="P146" s="52" t="str">
        <f t="shared" si="5"/>
        <v>Visita</v>
      </c>
      <c r="Q146" s="52">
        <v>0</v>
      </c>
      <c r="R146" s="52">
        <v>3</v>
      </c>
      <c r="S146" s="55" t="s">
        <v>397</v>
      </c>
      <c r="T146" s="53">
        <v>46230</v>
      </c>
    </row>
    <row r="147" spans="1:20" ht="12" customHeight="1">
      <c r="A147" s="51" t="s">
        <v>113</v>
      </c>
      <c r="B147" s="52">
        <v>8</v>
      </c>
      <c r="C147" s="53">
        <v>46222</v>
      </c>
      <c r="D147" s="54" t="s">
        <v>409</v>
      </c>
      <c r="E147" s="55" t="s">
        <v>210</v>
      </c>
      <c r="F147" s="55" t="s">
        <v>172</v>
      </c>
      <c r="G147" s="55" t="s">
        <v>173</v>
      </c>
      <c r="H147" s="56">
        <v>1</v>
      </c>
      <c r="I147" s="56">
        <v>0</v>
      </c>
      <c r="J147" s="56">
        <v>2026</v>
      </c>
      <c r="K147" s="52" t="s">
        <v>99</v>
      </c>
      <c r="L147" s="52" t="s">
        <v>137</v>
      </c>
      <c r="M147" s="52" t="s">
        <v>396</v>
      </c>
      <c r="N147" s="52" t="s">
        <v>404</v>
      </c>
      <c r="O147" s="52" t="str">
        <f t="shared" si="4"/>
        <v>Grinvasul</v>
      </c>
      <c r="P147" s="52" t="str">
        <f t="shared" si="5"/>
        <v>Local</v>
      </c>
      <c r="Q147" s="52">
        <v>3</v>
      </c>
      <c r="R147" s="52">
        <v>0</v>
      </c>
      <c r="S147" s="55" t="s">
        <v>397</v>
      </c>
      <c r="T147" s="53">
        <v>46230</v>
      </c>
    </row>
    <row r="148" spans="1:20" ht="12" customHeight="1">
      <c r="A148" s="51" t="s">
        <v>113</v>
      </c>
      <c r="B148" s="52">
        <v>9</v>
      </c>
      <c r="C148" s="53">
        <v>46229</v>
      </c>
      <c r="D148" s="54" t="s">
        <v>409</v>
      </c>
      <c r="E148" s="55" t="s">
        <v>205</v>
      </c>
      <c r="F148" s="55" t="s">
        <v>166</v>
      </c>
      <c r="G148" s="55" t="s">
        <v>175</v>
      </c>
      <c r="H148" s="56">
        <v>1</v>
      </c>
      <c r="I148" s="56">
        <v>0</v>
      </c>
      <c r="J148" s="56">
        <v>2026</v>
      </c>
      <c r="K148" s="52" t="s">
        <v>99</v>
      </c>
      <c r="L148" s="52" t="s">
        <v>137</v>
      </c>
      <c r="M148" s="52" t="s">
        <v>399</v>
      </c>
      <c r="N148" s="52" t="s">
        <v>400</v>
      </c>
      <c r="O148" s="52" t="str">
        <f t="shared" si="4"/>
        <v>Villa Alegre</v>
      </c>
      <c r="P148" s="52" t="str">
        <f t="shared" si="5"/>
        <v>Local</v>
      </c>
      <c r="Q148" s="52">
        <v>3</v>
      </c>
      <c r="R148" s="52">
        <v>0</v>
      </c>
      <c r="S148" s="55" t="s">
        <v>397</v>
      </c>
      <c r="T148" s="53">
        <v>46230</v>
      </c>
    </row>
    <row r="149" spans="1:20" ht="12" customHeight="1">
      <c r="A149" s="51" t="s">
        <v>113</v>
      </c>
      <c r="B149" s="52">
        <v>9</v>
      </c>
      <c r="C149" s="53">
        <v>46229</v>
      </c>
      <c r="D149" s="54" t="s">
        <v>409</v>
      </c>
      <c r="E149" s="55" t="s">
        <v>210</v>
      </c>
      <c r="F149" s="55" t="s">
        <v>174</v>
      </c>
      <c r="G149" s="55" t="s">
        <v>176</v>
      </c>
      <c r="H149" s="56">
        <v>2</v>
      </c>
      <c r="I149" s="56">
        <v>0</v>
      </c>
      <c r="J149" s="56">
        <v>2026</v>
      </c>
      <c r="K149" s="52" t="s">
        <v>99</v>
      </c>
      <c r="L149" s="52" t="s">
        <v>137</v>
      </c>
      <c r="M149" s="52" t="s">
        <v>402</v>
      </c>
      <c r="N149" s="52" t="s">
        <v>403</v>
      </c>
      <c r="O149" s="52" t="str">
        <f t="shared" si="4"/>
        <v>Inca</v>
      </c>
      <c r="P149" s="52" t="str">
        <f t="shared" si="5"/>
        <v>Local</v>
      </c>
      <c r="Q149" s="52">
        <v>3</v>
      </c>
      <c r="R149" s="52">
        <v>0</v>
      </c>
      <c r="S149" s="55" t="s">
        <v>397</v>
      </c>
      <c r="T149" s="53">
        <v>46230</v>
      </c>
    </row>
    <row r="150" spans="1:20" ht="12" customHeight="1">
      <c r="A150" s="51" t="s">
        <v>113</v>
      </c>
      <c r="B150" s="52">
        <v>9</v>
      </c>
      <c r="C150" s="53">
        <v>46229</v>
      </c>
      <c r="D150" s="54" t="s">
        <v>409</v>
      </c>
      <c r="E150" s="55" t="s">
        <v>207</v>
      </c>
      <c r="F150" s="55" t="s">
        <v>169</v>
      </c>
      <c r="G150" s="55" t="s">
        <v>173</v>
      </c>
      <c r="H150" s="56">
        <v>1</v>
      </c>
      <c r="I150" s="56">
        <v>2</v>
      </c>
      <c r="J150" s="56">
        <v>2026</v>
      </c>
      <c r="K150" s="52" t="s">
        <v>99</v>
      </c>
      <c r="L150" s="52" t="s">
        <v>137</v>
      </c>
      <c r="M150" s="52" t="s">
        <v>396</v>
      </c>
      <c r="N150" s="52" t="s">
        <v>404</v>
      </c>
      <c r="O150" s="52" t="str">
        <f t="shared" si="4"/>
        <v>Jota Montt</v>
      </c>
      <c r="P150" s="52" t="str">
        <f t="shared" si="5"/>
        <v>Visita</v>
      </c>
      <c r="Q150" s="52">
        <v>0</v>
      </c>
      <c r="R150" s="52">
        <v>3</v>
      </c>
      <c r="S150" s="55" t="s">
        <v>397</v>
      </c>
      <c r="T150" s="53">
        <v>46230</v>
      </c>
    </row>
    <row r="151" spans="1:20" ht="12" customHeight="1">
      <c r="A151" s="51" t="s">
        <v>113</v>
      </c>
      <c r="B151" s="52">
        <v>9</v>
      </c>
      <c r="C151" s="53">
        <v>46229</v>
      </c>
      <c r="D151" s="54" t="s">
        <v>409</v>
      </c>
      <c r="E151" s="55" t="s">
        <v>210</v>
      </c>
      <c r="F151" s="55" t="s">
        <v>172</v>
      </c>
      <c r="G151" s="55" t="s">
        <v>170</v>
      </c>
      <c r="H151" s="56">
        <v>1</v>
      </c>
      <c r="I151" s="56">
        <v>0</v>
      </c>
      <c r="J151" s="56">
        <v>2026</v>
      </c>
      <c r="K151" s="52" t="s">
        <v>99</v>
      </c>
      <c r="L151" s="52" t="s">
        <v>137</v>
      </c>
      <c r="M151" s="52" t="s">
        <v>400</v>
      </c>
      <c r="N151" s="52" t="s">
        <v>405</v>
      </c>
      <c r="O151" s="52" t="str">
        <f t="shared" si="4"/>
        <v>Grinvasul</v>
      </c>
      <c r="P151" s="52" t="str">
        <f t="shared" si="5"/>
        <v>Local</v>
      </c>
      <c r="Q151" s="52">
        <v>3</v>
      </c>
      <c r="R151" s="52">
        <v>0</v>
      </c>
      <c r="S151" s="55" t="s">
        <v>397</v>
      </c>
      <c r="T151" s="53">
        <v>46230</v>
      </c>
    </row>
    <row r="152" spans="1:20" ht="12" customHeight="1">
      <c r="A152" s="51" t="s">
        <v>113</v>
      </c>
      <c r="B152" s="52">
        <v>10</v>
      </c>
      <c r="C152" s="53">
        <v>46236</v>
      </c>
      <c r="D152" s="54" t="s">
        <v>409</v>
      </c>
      <c r="E152" s="55" t="s">
        <v>210</v>
      </c>
      <c r="F152" s="55" t="s">
        <v>174</v>
      </c>
      <c r="G152" s="55" t="s">
        <v>166</v>
      </c>
      <c r="H152" s="56"/>
      <c r="I152" s="56"/>
      <c r="J152" s="56">
        <v>2026</v>
      </c>
      <c r="K152" s="52" t="s">
        <v>99</v>
      </c>
      <c r="L152" s="52" t="s">
        <v>88</v>
      </c>
      <c r="M152" s="52" t="s">
        <v>402</v>
      </c>
      <c r="N152" s="52" t="s">
        <v>403</v>
      </c>
      <c r="O152" s="52" t="str">
        <f t="shared" si="4"/>
        <v/>
      </c>
      <c r="P152" s="52" t="str">
        <f t="shared" si="5"/>
        <v/>
      </c>
      <c r="Q152" s="52"/>
      <c r="R152" s="52"/>
      <c r="S152" s="55" t="s">
        <v>407</v>
      </c>
      <c r="T152" s="53">
        <v>46230</v>
      </c>
    </row>
    <row r="153" spans="1:20" ht="12" customHeight="1">
      <c r="A153" s="51" t="s">
        <v>113</v>
      </c>
      <c r="B153" s="52">
        <v>10</v>
      </c>
      <c r="C153" s="53">
        <v>46236</v>
      </c>
      <c r="D153" s="54" t="s">
        <v>409</v>
      </c>
      <c r="E153" s="55" t="s">
        <v>207</v>
      </c>
      <c r="F153" s="55" t="s">
        <v>175</v>
      </c>
      <c r="G153" s="55" t="s">
        <v>173</v>
      </c>
      <c r="H153" s="56"/>
      <c r="I153" s="56"/>
      <c r="J153" s="56">
        <v>2026</v>
      </c>
      <c r="K153" s="52" t="s">
        <v>99</v>
      </c>
      <c r="L153" s="52" t="s">
        <v>88</v>
      </c>
      <c r="M153" s="52" t="s">
        <v>396</v>
      </c>
      <c r="N153" s="52" t="s">
        <v>404</v>
      </c>
      <c r="O153" s="52" t="str">
        <f t="shared" si="4"/>
        <v/>
      </c>
      <c r="P153" s="52" t="str">
        <f t="shared" si="5"/>
        <v/>
      </c>
      <c r="Q153" s="52"/>
      <c r="R153" s="52"/>
      <c r="S153" s="55" t="s">
        <v>407</v>
      </c>
      <c r="T153" s="53">
        <v>46230</v>
      </c>
    </row>
    <row r="154" spans="1:20" ht="12" customHeight="1">
      <c r="A154" s="51" t="s">
        <v>113</v>
      </c>
      <c r="B154" s="52">
        <v>10</v>
      </c>
      <c r="C154" s="53">
        <v>46236</v>
      </c>
      <c r="D154" s="54" t="s">
        <v>409</v>
      </c>
      <c r="E154" s="55" t="s">
        <v>210</v>
      </c>
      <c r="F154" s="55" t="s">
        <v>172</v>
      </c>
      <c r="G154" s="55" t="s">
        <v>176</v>
      </c>
      <c r="H154" s="56"/>
      <c r="I154" s="56"/>
      <c r="J154" s="56">
        <v>2026</v>
      </c>
      <c r="K154" s="52" t="s">
        <v>99</v>
      </c>
      <c r="L154" s="52" t="s">
        <v>88</v>
      </c>
      <c r="M154" s="52" t="s">
        <v>400</v>
      </c>
      <c r="N154" s="52" t="s">
        <v>405</v>
      </c>
      <c r="O154" s="52" t="str">
        <f t="shared" si="4"/>
        <v/>
      </c>
      <c r="P154" s="52" t="str">
        <f t="shared" si="5"/>
        <v/>
      </c>
      <c r="Q154" s="52"/>
      <c r="R154" s="52"/>
      <c r="S154" s="55" t="s">
        <v>407</v>
      </c>
      <c r="T154" s="53">
        <v>46230</v>
      </c>
    </row>
    <row r="155" spans="1:20" ht="12" customHeight="1">
      <c r="A155" s="51" t="s">
        <v>113</v>
      </c>
      <c r="B155" s="52">
        <v>10</v>
      </c>
      <c r="C155" s="53">
        <v>46236</v>
      </c>
      <c r="D155" s="54" t="s">
        <v>409</v>
      </c>
      <c r="E155" s="55" t="s">
        <v>207</v>
      </c>
      <c r="F155" s="55" t="s">
        <v>169</v>
      </c>
      <c r="G155" s="55" t="s">
        <v>170</v>
      </c>
      <c r="H155" s="56"/>
      <c r="I155" s="56"/>
      <c r="J155" s="56">
        <v>2026</v>
      </c>
      <c r="K155" s="52" t="s">
        <v>99</v>
      </c>
      <c r="L155" s="52" t="s">
        <v>88</v>
      </c>
      <c r="M155" s="52" t="s">
        <v>403</v>
      </c>
      <c r="N155" s="52" t="s">
        <v>406</v>
      </c>
      <c r="O155" s="52" t="str">
        <f t="shared" si="4"/>
        <v/>
      </c>
      <c r="P155" s="52" t="str">
        <f t="shared" si="5"/>
        <v/>
      </c>
      <c r="Q155" s="52"/>
      <c r="R155" s="52"/>
      <c r="S155" s="55" t="s">
        <v>407</v>
      </c>
      <c r="T155" s="53">
        <v>46230</v>
      </c>
    </row>
    <row r="156" spans="1:20" ht="12" customHeight="1">
      <c r="A156" s="51" t="s">
        <v>113</v>
      </c>
      <c r="B156" s="52">
        <v>11</v>
      </c>
      <c r="C156" s="53">
        <v>46243</v>
      </c>
      <c r="D156" s="54" t="s">
        <v>409</v>
      </c>
      <c r="E156" s="55" t="s">
        <v>205</v>
      </c>
      <c r="F156" s="55" t="s">
        <v>166</v>
      </c>
      <c r="G156" s="55" t="s">
        <v>173</v>
      </c>
      <c r="H156" s="56"/>
      <c r="I156" s="56"/>
      <c r="J156" s="56">
        <v>2026</v>
      </c>
      <c r="K156" s="52" t="s">
        <v>99</v>
      </c>
      <c r="L156" s="52" t="s">
        <v>88</v>
      </c>
      <c r="M156" s="52" t="s">
        <v>396</v>
      </c>
      <c r="N156" s="52" t="s">
        <v>404</v>
      </c>
      <c r="O156" s="52" t="str">
        <f t="shared" si="4"/>
        <v/>
      </c>
      <c r="P156" s="52" t="str">
        <f t="shared" si="5"/>
        <v/>
      </c>
      <c r="Q156" s="52"/>
      <c r="R156" s="52"/>
      <c r="S156" s="55" t="s">
        <v>407</v>
      </c>
      <c r="T156" s="53">
        <v>46230</v>
      </c>
    </row>
    <row r="157" spans="1:20" ht="12" customHeight="1">
      <c r="A157" s="51" t="s">
        <v>113</v>
      </c>
      <c r="B157" s="52">
        <v>11</v>
      </c>
      <c r="C157" s="53">
        <v>46243</v>
      </c>
      <c r="D157" s="54" t="s">
        <v>409</v>
      </c>
      <c r="E157" s="55" t="s">
        <v>210</v>
      </c>
      <c r="F157" s="55" t="s">
        <v>172</v>
      </c>
      <c r="G157" s="55" t="s">
        <v>174</v>
      </c>
      <c r="H157" s="56"/>
      <c r="I157" s="56"/>
      <c r="J157" s="56">
        <v>2026</v>
      </c>
      <c r="K157" s="52" t="s">
        <v>99</v>
      </c>
      <c r="L157" s="52" t="s">
        <v>88</v>
      </c>
      <c r="M157" s="52" t="s">
        <v>400</v>
      </c>
      <c r="N157" s="52" t="s">
        <v>405</v>
      </c>
      <c r="O157" s="52" t="str">
        <f t="shared" si="4"/>
        <v/>
      </c>
      <c r="P157" s="52" t="str">
        <f t="shared" si="5"/>
        <v/>
      </c>
      <c r="Q157" s="52"/>
      <c r="R157" s="52"/>
      <c r="S157" s="55" t="s">
        <v>407</v>
      </c>
      <c r="T157" s="53">
        <v>46230</v>
      </c>
    </row>
    <row r="158" spans="1:20" ht="12" customHeight="1">
      <c r="A158" s="51" t="s">
        <v>113</v>
      </c>
      <c r="B158" s="52">
        <v>11</v>
      </c>
      <c r="C158" s="53">
        <v>46243</v>
      </c>
      <c r="D158" s="54" t="s">
        <v>409</v>
      </c>
      <c r="E158" s="55" t="s">
        <v>207</v>
      </c>
      <c r="F158" s="55" t="s">
        <v>175</v>
      </c>
      <c r="G158" s="55" t="s">
        <v>170</v>
      </c>
      <c r="H158" s="56"/>
      <c r="I158" s="56"/>
      <c r="J158" s="56">
        <v>2026</v>
      </c>
      <c r="K158" s="52" t="s">
        <v>99</v>
      </c>
      <c r="L158" s="52" t="s">
        <v>88</v>
      </c>
      <c r="M158" s="52" t="s">
        <v>403</v>
      </c>
      <c r="N158" s="52" t="s">
        <v>406</v>
      </c>
      <c r="O158" s="52" t="str">
        <f t="shared" si="4"/>
        <v/>
      </c>
      <c r="P158" s="52" t="str">
        <f t="shared" si="5"/>
        <v/>
      </c>
      <c r="Q158" s="52"/>
      <c r="R158" s="52"/>
      <c r="S158" s="55" t="s">
        <v>407</v>
      </c>
      <c r="T158" s="53">
        <v>46230</v>
      </c>
    </row>
    <row r="159" spans="1:20" ht="12" customHeight="1">
      <c r="A159" s="51" t="s">
        <v>113</v>
      </c>
      <c r="B159" s="52">
        <v>11</v>
      </c>
      <c r="C159" s="53">
        <v>46243</v>
      </c>
      <c r="D159" s="54" t="s">
        <v>409</v>
      </c>
      <c r="E159" s="55" t="s">
        <v>207</v>
      </c>
      <c r="F159" s="55" t="s">
        <v>169</v>
      </c>
      <c r="G159" s="55" t="s">
        <v>176</v>
      </c>
      <c r="H159" s="56"/>
      <c r="I159" s="56"/>
      <c r="J159" s="56">
        <v>2026</v>
      </c>
      <c r="K159" s="52" t="s">
        <v>99</v>
      </c>
      <c r="L159" s="52" t="s">
        <v>88</v>
      </c>
      <c r="M159" s="52" t="s">
        <v>404</v>
      </c>
      <c r="N159" s="52" t="s">
        <v>394</v>
      </c>
      <c r="O159" s="52" t="str">
        <f t="shared" si="4"/>
        <v/>
      </c>
      <c r="P159" s="52" t="str">
        <f t="shared" si="5"/>
        <v/>
      </c>
      <c r="Q159" s="52"/>
      <c r="R159" s="52"/>
      <c r="S159" s="55" t="s">
        <v>407</v>
      </c>
      <c r="T159" s="53">
        <v>46230</v>
      </c>
    </row>
    <row r="160" spans="1:20" ht="12" customHeight="1">
      <c r="A160" s="51" t="s">
        <v>113</v>
      </c>
      <c r="B160" s="52">
        <v>12</v>
      </c>
      <c r="C160" s="53">
        <v>46250</v>
      </c>
      <c r="D160" s="54" t="s">
        <v>409</v>
      </c>
      <c r="E160" s="55" t="s">
        <v>210</v>
      </c>
      <c r="F160" s="55" t="s">
        <v>172</v>
      </c>
      <c r="G160" s="55" t="s">
        <v>166</v>
      </c>
      <c r="H160" s="56"/>
      <c r="I160" s="56"/>
      <c r="J160" s="56">
        <v>2026</v>
      </c>
      <c r="K160" s="52" t="s">
        <v>99</v>
      </c>
      <c r="L160" s="52" t="s">
        <v>88</v>
      </c>
      <c r="M160" s="52" t="s">
        <v>400</v>
      </c>
      <c r="N160" s="52" t="s">
        <v>405</v>
      </c>
      <c r="O160" s="52" t="str">
        <f t="shared" si="4"/>
        <v/>
      </c>
      <c r="P160" s="52" t="str">
        <f t="shared" si="5"/>
        <v/>
      </c>
      <c r="Q160" s="52"/>
      <c r="R160" s="52"/>
      <c r="S160" s="55" t="s">
        <v>407</v>
      </c>
      <c r="T160" s="53">
        <v>46230</v>
      </c>
    </row>
    <row r="161" spans="1:20" ht="12" customHeight="1">
      <c r="A161" s="51" t="s">
        <v>113</v>
      </c>
      <c r="B161" s="52">
        <v>12</v>
      </c>
      <c r="C161" s="53">
        <v>46250</v>
      </c>
      <c r="D161" s="54" t="s">
        <v>409</v>
      </c>
      <c r="E161" s="55" t="s">
        <v>205</v>
      </c>
      <c r="F161" s="55" t="s">
        <v>173</v>
      </c>
      <c r="G161" s="55" t="s">
        <v>170</v>
      </c>
      <c r="H161" s="56"/>
      <c r="I161" s="56"/>
      <c r="J161" s="56">
        <v>2026</v>
      </c>
      <c r="K161" s="52" t="s">
        <v>99</v>
      </c>
      <c r="L161" s="52" t="s">
        <v>88</v>
      </c>
      <c r="M161" s="52" t="s">
        <v>403</v>
      </c>
      <c r="N161" s="52" t="s">
        <v>406</v>
      </c>
      <c r="O161" s="52" t="str">
        <f t="shared" si="4"/>
        <v/>
      </c>
      <c r="P161" s="52" t="str">
        <f t="shared" si="5"/>
        <v/>
      </c>
      <c r="Q161" s="52"/>
      <c r="R161" s="52"/>
      <c r="S161" s="55" t="s">
        <v>407</v>
      </c>
      <c r="T161" s="53">
        <v>46230</v>
      </c>
    </row>
    <row r="162" spans="1:20" ht="12" customHeight="1">
      <c r="A162" s="51" t="s">
        <v>113</v>
      </c>
      <c r="B162" s="52">
        <v>12</v>
      </c>
      <c r="C162" s="53">
        <v>46250</v>
      </c>
      <c r="D162" s="54" t="s">
        <v>409</v>
      </c>
      <c r="E162" s="55" t="s">
        <v>207</v>
      </c>
      <c r="F162" s="55" t="s">
        <v>169</v>
      </c>
      <c r="G162" s="55" t="s">
        <v>174</v>
      </c>
      <c r="H162" s="56"/>
      <c r="I162" s="56"/>
      <c r="J162" s="56">
        <v>2026</v>
      </c>
      <c r="K162" s="52" t="s">
        <v>99</v>
      </c>
      <c r="L162" s="52" t="s">
        <v>88</v>
      </c>
      <c r="M162" s="52" t="s">
        <v>404</v>
      </c>
      <c r="N162" s="52" t="s">
        <v>394</v>
      </c>
      <c r="O162" s="52" t="str">
        <f t="shared" si="4"/>
        <v/>
      </c>
      <c r="P162" s="52" t="str">
        <f t="shared" si="5"/>
        <v/>
      </c>
      <c r="Q162" s="52"/>
      <c r="R162" s="52"/>
      <c r="S162" s="55" t="s">
        <v>407</v>
      </c>
      <c r="T162" s="53">
        <v>46230</v>
      </c>
    </row>
    <row r="163" spans="1:20" ht="12" customHeight="1">
      <c r="A163" s="51" t="s">
        <v>113</v>
      </c>
      <c r="B163" s="52">
        <v>12</v>
      </c>
      <c r="C163" s="53">
        <v>46250</v>
      </c>
      <c r="D163" s="54" t="s">
        <v>409</v>
      </c>
      <c r="E163" s="55" t="s">
        <v>207</v>
      </c>
      <c r="F163" s="55" t="s">
        <v>175</v>
      </c>
      <c r="G163" s="55" t="s">
        <v>176</v>
      </c>
      <c r="H163" s="56"/>
      <c r="I163" s="56"/>
      <c r="J163" s="56">
        <v>2026</v>
      </c>
      <c r="K163" s="52" t="s">
        <v>99</v>
      </c>
      <c r="L163" s="52" t="s">
        <v>88</v>
      </c>
      <c r="M163" s="52" t="s">
        <v>405</v>
      </c>
      <c r="N163" s="52" t="s">
        <v>398</v>
      </c>
      <c r="O163" s="52" t="str">
        <f t="shared" si="4"/>
        <v/>
      </c>
      <c r="P163" s="52" t="str">
        <f t="shared" si="5"/>
        <v/>
      </c>
      <c r="Q163" s="52"/>
      <c r="R163" s="52"/>
      <c r="S163" s="55" t="s">
        <v>407</v>
      </c>
      <c r="T163" s="53">
        <v>46230</v>
      </c>
    </row>
    <row r="164" spans="1:20" ht="12" customHeight="1">
      <c r="A164" s="51" t="s">
        <v>113</v>
      </c>
      <c r="B164" s="52">
        <v>13</v>
      </c>
      <c r="C164" s="53">
        <v>46257</v>
      </c>
      <c r="D164" s="54" t="s">
        <v>409</v>
      </c>
      <c r="E164" s="55" t="s">
        <v>205</v>
      </c>
      <c r="F164" s="55" t="s">
        <v>166</v>
      </c>
      <c r="G164" s="55" t="s">
        <v>170</v>
      </c>
      <c r="H164" s="56"/>
      <c r="I164" s="56"/>
      <c r="J164" s="56">
        <v>2026</v>
      </c>
      <c r="K164" s="52" t="s">
        <v>99</v>
      </c>
      <c r="L164" s="52" t="s">
        <v>88</v>
      </c>
      <c r="M164" s="52" t="s">
        <v>403</v>
      </c>
      <c r="N164" s="52" t="s">
        <v>406</v>
      </c>
      <c r="O164" s="52" t="str">
        <f t="shared" si="4"/>
        <v/>
      </c>
      <c r="P164" s="52" t="str">
        <f t="shared" si="5"/>
        <v/>
      </c>
      <c r="Q164" s="52"/>
      <c r="R164" s="52"/>
      <c r="S164" s="55" t="s">
        <v>407</v>
      </c>
      <c r="T164" s="53">
        <v>46230</v>
      </c>
    </row>
    <row r="165" spans="1:20" ht="12" customHeight="1">
      <c r="A165" s="51" t="s">
        <v>113</v>
      </c>
      <c r="B165" s="52">
        <v>13</v>
      </c>
      <c r="C165" s="53">
        <v>46257</v>
      </c>
      <c r="D165" s="54" t="s">
        <v>409</v>
      </c>
      <c r="E165" s="55" t="s">
        <v>207</v>
      </c>
      <c r="F165" s="55" t="s">
        <v>169</v>
      </c>
      <c r="G165" s="55" t="s">
        <v>172</v>
      </c>
      <c r="H165" s="56"/>
      <c r="I165" s="56"/>
      <c r="J165" s="56">
        <v>2026</v>
      </c>
      <c r="K165" s="52" t="s">
        <v>99</v>
      </c>
      <c r="L165" s="52" t="s">
        <v>88</v>
      </c>
      <c r="M165" s="52" t="s">
        <v>404</v>
      </c>
      <c r="N165" s="52" t="s">
        <v>394</v>
      </c>
      <c r="O165" s="52" t="str">
        <f t="shared" si="4"/>
        <v/>
      </c>
      <c r="P165" s="52" t="str">
        <f t="shared" si="5"/>
        <v/>
      </c>
      <c r="Q165" s="52"/>
      <c r="R165" s="52"/>
      <c r="S165" s="55" t="s">
        <v>407</v>
      </c>
      <c r="T165" s="53">
        <v>46230</v>
      </c>
    </row>
    <row r="166" spans="1:20" ht="12" customHeight="1">
      <c r="A166" s="51" t="s">
        <v>113</v>
      </c>
      <c r="B166" s="52">
        <v>13</v>
      </c>
      <c r="C166" s="53">
        <v>46257</v>
      </c>
      <c r="D166" s="54" t="s">
        <v>409</v>
      </c>
      <c r="E166" s="55" t="s">
        <v>205</v>
      </c>
      <c r="F166" s="55" t="s">
        <v>173</v>
      </c>
      <c r="G166" s="55" t="s">
        <v>176</v>
      </c>
      <c r="H166" s="56"/>
      <c r="I166" s="56"/>
      <c r="J166" s="56">
        <v>2026</v>
      </c>
      <c r="K166" s="52" t="s">
        <v>99</v>
      </c>
      <c r="L166" s="52" t="s">
        <v>88</v>
      </c>
      <c r="M166" s="52" t="s">
        <v>405</v>
      </c>
      <c r="N166" s="52" t="s">
        <v>398</v>
      </c>
      <c r="O166" s="52" t="str">
        <f t="shared" si="4"/>
        <v/>
      </c>
      <c r="P166" s="52" t="str">
        <f t="shared" si="5"/>
        <v/>
      </c>
      <c r="Q166" s="52"/>
      <c r="R166" s="52"/>
      <c r="S166" s="55" t="s">
        <v>407</v>
      </c>
      <c r="T166" s="53">
        <v>46230</v>
      </c>
    </row>
    <row r="167" spans="1:20" ht="12" customHeight="1">
      <c r="A167" s="51" t="s">
        <v>113</v>
      </c>
      <c r="B167" s="52">
        <v>13</v>
      </c>
      <c r="C167" s="53">
        <v>46257</v>
      </c>
      <c r="D167" s="54" t="s">
        <v>409</v>
      </c>
      <c r="E167" s="55" t="s">
        <v>207</v>
      </c>
      <c r="F167" s="55" t="s">
        <v>175</v>
      </c>
      <c r="G167" s="55" t="s">
        <v>174</v>
      </c>
      <c r="H167" s="56"/>
      <c r="I167" s="56"/>
      <c r="J167" s="56">
        <v>2026</v>
      </c>
      <c r="K167" s="52" t="s">
        <v>99</v>
      </c>
      <c r="L167" s="52" t="s">
        <v>88</v>
      </c>
      <c r="M167" s="52" t="s">
        <v>406</v>
      </c>
      <c r="N167" s="52" t="s">
        <v>401</v>
      </c>
      <c r="O167" s="52" t="str">
        <f t="shared" si="4"/>
        <v/>
      </c>
      <c r="P167" s="52" t="str">
        <f t="shared" si="5"/>
        <v/>
      </c>
      <c r="Q167" s="52"/>
      <c r="R167" s="52"/>
      <c r="S167" s="55" t="s">
        <v>407</v>
      </c>
      <c r="T167" s="53">
        <v>46230</v>
      </c>
    </row>
    <row r="168" spans="1:20" ht="12" customHeight="1">
      <c r="A168" s="51" t="s">
        <v>113</v>
      </c>
      <c r="B168" s="52">
        <v>14</v>
      </c>
      <c r="C168" s="53">
        <v>46264</v>
      </c>
      <c r="D168" s="54" t="s">
        <v>409</v>
      </c>
      <c r="E168" s="55" t="s">
        <v>207</v>
      </c>
      <c r="F168" s="55" t="s">
        <v>169</v>
      </c>
      <c r="G168" s="55" t="s">
        <v>166</v>
      </c>
      <c r="H168" s="56"/>
      <c r="I168" s="56"/>
      <c r="J168" s="56">
        <v>2026</v>
      </c>
      <c r="K168" s="52" t="s">
        <v>99</v>
      </c>
      <c r="L168" s="52" t="s">
        <v>88</v>
      </c>
      <c r="M168" s="52" t="s">
        <v>404</v>
      </c>
      <c r="N168" s="52" t="s">
        <v>394</v>
      </c>
      <c r="O168" s="52" t="str">
        <f t="shared" si="4"/>
        <v/>
      </c>
      <c r="P168" s="52" t="str">
        <f t="shared" si="5"/>
        <v/>
      </c>
      <c r="Q168" s="52"/>
      <c r="R168" s="52"/>
      <c r="S168" s="55" t="s">
        <v>407</v>
      </c>
      <c r="T168" s="53">
        <v>46230</v>
      </c>
    </row>
    <row r="169" spans="1:20" ht="12" customHeight="1">
      <c r="A169" s="51" t="s">
        <v>113</v>
      </c>
      <c r="B169" s="52">
        <v>14</v>
      </c>
      <c r="C169" s="53">
        <v>46264</v>
      </c>
      <c r="D169" s="54" t="s">
        <v>409</v>
      </c>
      <c r="E169" s="55" t="s">
        <v>171</v>
      </c>
      <c r="F169" s="55" t="s">
        <v>170</v>
      </c>
      <c r="G169" s="55" t="s">
        <v>176</v>
      </c>
      <c r="H169" s="56"/>
      <c r="I169" s="56"/>
      <c r="J169" s="56">
        <v>2026</v>
      </c>
      <c r="K169" s="52" t="s">
        <v>99</v>
      </c>
      <c r="L169" s="52" t="s">
        <v>88</v>
      </c>
      <c r="M169" s="52" t="s">
        <v>405</v>
      </c>
      <c r="N169" s="52" t="s">
        <v>398</v>
      </c>
      <c r="O169" s="52" t="str">
        <f t="shared" si="4"/>
        <v/>
      </c>
      <c r="P169" s="52" t="str">
        <f t="shared" si="5"/>
        <v/>
      </c>
      <c r="Q169" s="52"/>
      <c r="R169" s="52"/>
      <c r="S169" s="55" t="s">
        <v>407</v>
      </c>
      <c r="T169" s="53">
        <v>46230</v>
      </c>
    </row>
    <row r="170" spans="1:20" ht="12" customHeight="1">
      <c r="A170" s="51" t="s">
        <v>113</v>
      </c>
      <c r="B170" s="52">
        <v>14</v>
      </c>
      <c r="C170" s="53">
        <v>46264</v>
      </c>
      <c r="D170" s="54" t="s">
        <v>409</v>
      </c>
      <c r="E170" s="55" t="s">
        <v>207</v>
      </c>
      <c r="F170" s="55" t="s">
        <v>175</v>
      </c>
      <c r="G170" s="55" t="s">
        <v>172</v>
      </c>
      <c r="H170" s="56"/>
      <c r="I170" s="56"/>
      <c r="J170" s="56">
        <v>2026</v>
      </c>
      <c r="K170" s="52" t="s">
        <v>99</v>
      </c>
      <c r="L170" s="52" t="s">
        <v>88</v>
      </c>
      <c r="M170" s="52" t="s">
        <v>406</v>
      </c>
      <c r="N170" s="52" t="s">
        <v>401</v>
      </c>
      <c r="O170" s="52" t="str">
        <f t="shared" si="4"/>
        <v/>
      </c>
      <c r="P170" s="52" t="str">
        <f t="shared" si="5"/>
        <v/>
      </c>
      <c r="Q170" s="52"/>
      <c r="R170" s="52"/>
      <c r="S170" s="55" t="s">
        <v>407</v>
      </c>
      <c r="T170" s="53">
        <v>46230</v>
      </c>
    </row>
    <row r="171" spans="1:20" ht="12" customHeight="1">
      <c r="A171" s="51" t="s">
        <v>113</v>
      </c>
      <c r="B171" s="52">
        <v>14</v>
      </c>
      <c r="C171" s="53">
        <v>46264</v>
      </c>
      <c r="D171" s="54" t="s">
        <v>409</v>
      </c>
      <c r="E171" s="55" t="s">
        <v>205</v>
      </c>
      <c r="F171" s="55" t="s">
        <v>173</v>
      </c>
      <c r="G171" s="55" t="s">
        <v>174</v>
      </c>
      <c r="H171" s="56"/>
      <c r="I171" s="56"/>
      <c r="J171" s="56">
        <v>2026</v>
      </c>
      <c r="K171" s="52" t="s">
        <v>99</v>
      </c>
      <c r="L171" s="52" t="s">
        <v>88</v>
      </c>
      <c r="M171" s="52" t="s">
        <v>394</v>
      </c>
      <c r="N171" s="52" t="s">
        <v>395</v>
      </c>
      <c r="O171" s="52" t="str">
        <f t="shared" si="4"/>
        <v/>
      </c>
      <c r="P171" s="52" t="str">
        <f t="shared" si="5"/>
        <v/>
      </c>
      <c r="Q171" s="52"/>
      <c r="R171" s="52"/>
      <c r="S171" s="55" t="s">
        <v>407</v>
      </c>
      <c r="T171" s="53">
        <v>46230</v>
      </c>
    </row>
    <row r="172" spans="1:20" ht="12" customHeight="1">
      <c r="A172" s="51" t="s">
        <v>125</v>
      </c>
      <c r="B172" s="52">
        <v>1</v>
      </c>
      <c r="C172" s="53">
        <v>46173</v>
      </c>
      <c r="D172" s="54" t="s">
        <v>410</v>
      </c>
      <c r="E172" s="55" t="s">
        <v>205</v>
      </c>
      <c r="F172" s="55" t="s">
        <v>166</v>
      </c>
      <c r="G172" s="55" t="s">
        <v>176</v>
      </c>
      <c r="H172" s="56">
        <v>0</v>
      </c>
      <c r="I172" s="56">
        <v>0</v>
      </c>
      <c r="J172" s="56">
        <v>2026</v>
      </c>
      <c r="K172" s="52" t="s">
        <v>99</v>
      </c>
      <c r="L172" s="52" t="s">
        <v>137</v>
      </c>
      <c r="M172" s="52" t="s">
        <v>394</v>
      </c>
      <c r="N172" s="52" t="s">
        <v>395</v>
      </c>
      <c r="O172" s="52" t="str">
        <f t="shared" si="4"/>
        <v>Empate</v>
      </c>
      <c r="P172" s="52" t="str">
        <f t="shared" si="5"/>
        <v>Empate</v>
      </c>
      <c r="Q172" s="52">
        <v>1</v>
      </c>
      <c r="R172" s="52">
        <v>1</v>
      </c>
      <c r="S172" s="55" t="s">
        <v>397</v>
      </c>
      <c r="T172" s="53">
        <v>46230</v>
      </c>
    </row>
    <row r="173" spans="1:20" ht="12" customHeight="1">
      <c r="A173" s="51" t="s">
        <v>125</v>
      </c>
      <c r="B173" s="52">
        <v>1</v>
      </c>
      <c r="C173" s="53">
        <v>46173</v>
      </c>
      <c r="D173" s="54" t="s">
        <v>410</v>
      </c>
      <c r="E173" s="55" t="s">
        <v>207</v>
      </c>
      <c r="F173" s="55" t="s">
        <v>175</v>
      </c>
      <c r="G173" s="55" t="s">
        <v>169</v>
      </c>
      <c r="H173" s="56">
        <v>2</v>
      </c>
      <c r="I173" s="56">
        <v>1</v>
      </c>
      <c r="J173" s="56">
        <v>2026</v>
      </c>
      <c r="K173" s="52" t="s">
        <v>99</v>
      </c>
      <c r="L173" s="52" t="s">
        <v>137</v>
      </c>
      <c r="M173" s="52" t="s">
        <v>398</v>
      </c>
      <c r="N173" s="52" t="s">
        <v>399</v>
      </c>
      <c r="O173" s="52" t="str">
        <f t="shared" si="4"/>
        <v>Colo Colo</v>
      </c>
      <c r="P173" s="52" t="str">
        <f t="shared" si="5"/>
        <v>Local</v>
      </c>
      <c r="Q173" s="52">
        <v>3</v>
      </c>
      <c r="R173" s="52">
        <v>0</v>
      </c>
      <c r="S173" s="55" t="s">
        <v>397</v>
      </c>
      <c r="T173" s="53">
        <v>46230</v>
      </c>
    </row>
    <row r="174" spans="1:20" ht="12" customHeight="1">
      <c r="A174" s="51" t="s">
        <v>125</v>
      </c>
      <c r="B174" s="52">
        <v>1</v>
      </c>
      <c r="C174" s="53">
        <v>46173</v>
      </c>
      <c r="D174" s="54" t="s">
        <v>410</v>
      </c>
      <c r="E174" s="55" t="s">
        <v>171</v>
      </c>
      <c r="F174" s="55" t="s">
        <v>170</v>
      </c>
      <c r="G174" s="55" t="s">
        <v>174</v>
      </c>
      <c r="H174" s="56">
        <v>1</v>
      </c>
      <c r="I174" s="56">
        <v>1</v>
      </c>
      <c r="J174" s="56">
        <v>2026</v>
      </c>
      <c r="K174" s="52" t="s">
        <v>99</v>
      </c>
      <c r="L174" s="52" t="s">
        <v>137</v>
      </c>
      <c r="M174" s="52" t="s">
        <v>401</v>
      </c>
      <c r="N174" s="52" t="s">
        <v>402</v>
      </c>
      <c r="O174" s="52" t="str">
        <f t="shared" si="4"/>
        <v>Empate</v>
      </c>
      <c r="P174" s="52" t="str">
        <f t="shared" si="5"/>
        <v>Empate</v>
      </c>
      <c r="Q174" s="52">
        <v>1</v>
      </c>
      <c r="R174" s="52">
        <v>1</v>
      </c>
      <c r="S174" s="55" t="s">
        <v>397</v>
      </c>
      <c r="T174" s="53">
        <v>46230</v>
      </c>
    </row>
    <row r="175" spans="1:20" ht="12" customHeight="1">
      <c r="A175" s="51" t="s">
        <v>125</v>
      </c>
      <c r="B175" s="52">
        <v>1</v>
      </c>
      <c r="C175" s="53">
        <v>46173</v>
      </c>
      <c r="D175" s="54" t="s">
        <v>410</v>
      </c>
      <c r="E175" s="55" t="s">
        <v>205</v>
      </c>
      <c r="F175" s="55" t="s">
        <v>173</v>
      </c>
      <c r="G175" s="55" t="s">
        <v>172</v>
      </c>
      <c r="H175" s="56">
        <v>2</v>
      </c>
      <c r="I175" s="56">
        <v>1</v>
      </c>
      <c r="J175" s="56">
        <v>2026</v>
      </c>
      <c r="K175" s="52" t="s">
        <v>99</v>
      </c>
      <c r="L175" s="52" t="s">
        <v>137</v>
      </c>
      <c r="M175" s="52" t="s">
        <v>395</v>
      </c>
      <c r="N175" s="52" t="s">
        <v>396</v>
      </c>
      <c r="O175" s="52" t="str">
        <f t="shared" si="4"/>
        <v>Jota Montt</v>
      </c>
      <c r="P175" s="52" t="str">
        <f t="shared" si="5"/>
        <v>Local</v>
      </c>
      <c r="Q175" s="52">
        <v>3</v>
      </c>
      <c r="R175" s="52">
        <v>0</v>
      </c>
      <c r="S175" s="55" t="s">
        <v>397</v>
      </c>
      <c r="T175" s="53">
        <v>46230</v>
      </c>
    </row>
    <row r="176" spans="1:20" ht="12" customHeight="1">
      <c r="A176" s="51" t="s">
        <v>125</v>
      </c>
      <c r="B176" s="52">
        <v>2</v>
      </c>
      <c r="C176" s="53">
        <v>46180</v>
      </c>
      <c r="D176" s="54" t="s">
        <v>410</v>
      </c>
      <c r="E176" s="55" t="s">
        <v>207</v>
      </c>
      <c r="F176" s="55" t="s">
        <v>175</v>
      </c>
      <c r="G176" s="55" t="s">
        <v>166</v>
      </c>
      <c r="H176" s="56">
        <v>1</v>
      </c>
      <c r="I176" s="56">
        <v>3</v>
      </c>
      <c r="J176" s="56">
        <v>2026</v>
      </c>
      <c r="K176" s="52" t="s">
        <v>99</v>
      </c>
      <c r="L176" s="52" t="s">
        <v>137</v>
      </c>
      <c r="M176" s="52" t="s">
        <v>398</v>
      </c>
      <c r="N176" s="52" t="s">
        <v>399</v>
      </c>
      <c r="O176" s="52" t="str">
        <f t="shared" si="4"/>
        <v>Villa Alegre</v>
      </c>
      <c r="P176" s="52" t="str">
        <f t="shared" si="5"/>
        <v>Visita</v>
      </c>
      <c r="Q176" s="52">
        <v>0</v>
      </c>
      <c r="R176" s="52">
        <v>3</v>
      </c>
      <c r="S176" s="55" t="s">
        <v>397</v>
      </c>
      <c r="T176" s="53">
        <v>46230</v>
      </c>
    </row>
    <row r="177" spans="1:20" ht="12" customHeight="1">
      <c r="A177" s="51" t="s">
        <v>125</v>
      </c>
      <c r="B177" s="52">
        <v>2</v>
      </c>
      <c r="C177" s="53">
        <v>46180</v>
      </c>
      <c r="D177" s="54" t="s">
        <v>410</v>
      </c>
      <c r="E177" s="55" t="s">
        <v>210</v>
      </c>
      <c r="F177" s="55" t="s">
        <v>176</v>
      </c>
      <c r="G177" s="55" t="s">
        <v>174</v>
      </c>
      <c r="H177" s="56">
        <v>0</v>
      </c>
      <c r="I177" s="56">
        <v>1</v>
      </c>
      <c r="J177" s="56">
        <v>2026</v>
      </c>
      <c r="K177" s="52" t="s">
        <v>99</v>
      </c>
      <c r="L177" s="52" t="s">
        <v>137</v>
      </c>
      <c r="M177" s="52" t="s">
        <v>401</v>
      </c>
      <c r="N177" s="52" t="s">
        <v>402</v>
      </c>
      <c r="O177" s="52" t="str">
        <f t="shared" si="4"/>
        <v>Inca</v>
      </c>
      <c r="P177" s="52" t="str">
        <f t="shared" si="5"/>
        <v>Visita</v>
      </c>
      <c r="Q177" s="52">
        <v>0</v>
      </c>
      <c r="R177" s="52">
        <v>3</v>
      </c>
      <c r="S177" s="55" t="s">
        <v>397</v>
      </c>
      <c r="T177" s="53">
        <v>46230</v>
      </c>
    </row>
    <row r="178" spans="1:20" ht="12" customHeight="1">
      <c r="A178" s="51" t="s">
        <v>125</v>
      </c>
      <c r="B178" s="52">
        <v>2</v>
      </c>
      <c r="C178" s="53">
        <v>46180</v>
      </c>
      <c r="D178" s="54" t="s">
        <v>410</v>
      </c>
      <c r="E178" s="55" t="s">
        <v>205</v>
      </c>
      <c r="F178" s="55" t="s">
        <v>173</v>
      </c>
      <c r="G178" s="55" t="s">
        <v>169</v>
      </c>
      <c r="H178" s="56">
        <v>1</v>
      </c>
      <c r="I178" s="56">
        <v>3</v>
      </c>
      <c r="J178" s="56">
        <v>2026</v>
      </c>
      <c r="K178" s="52" t="s">
        <v>99</v>
      </c>
      <c r="L178" s="52" t="s">
        <v>137</v>
      </c>
      <c r="M178" s="52" t="s">
        <v>395</v>
      </c>
      <c r="N178" s="52" t="s">
        <v>396</v>
      </c>
      <c r="O178" s="52" t="str">
        <f t="shared" si="4"/>
        <v>U.J. Lautaro</v>
      </c>
      <c r="P178" s="52" t="str">
        <f t="shared" si="5"/>
        <v>Visita</v>
      </c>
      <c r="Q178" s="52">
        <v>0</v>
      </c>
      <c r="R178" s="52">
        <v>3</v>
      </c>
      <c r="S178" s="55" t="s">
        <v>397</v>
      </c>
      <c r="T178" s="53">
        <v>46230</v>
      </c>
    </row>
    <row r="179" spans="1:20" ht="12" customHeight="1">
      <c r="A179" s="51" t="s">
        <v>125</v>
      </c>
      <c r="B179" s="52">
        <v>2</v>
      </c>
      <c r="C179" s="53">
        <v>46180</v>
      </c>
      <c r="D179" s="54" t="s">
        <v>410</v>
      </c>
      <c r="E179" s="55" t="s">
        <v>171</v>
      </c>
      <c r="F179" s="55" t="s">
        <v>170</v>
      </c>
      <c r="G179" s="55" t="s">
        <v>172</v>
      </c>
      <c r="H179" s="56">
        <v>3</v>
      </c>
      <c r="I179" s="56">
        <v>0</v>
      </c>
      <c r="J179" s="56">
        <v>2026</v>
      </c>
      <c r="K179" s="52" t="s">
        <v>99</v>
      </c>
      <c r="L179" s="52" t="s">
        <v>137</v>
      </c>
      <c r="M179" s="52" t="s">
        <v>399</v>
      </c>
      <c r="N179" s="52" t="s">
        <v>400</v>
      </c>
      <c r="O179" s="52" t="str">
        <f t="shared" si="4"/>
        <v>Forestal</v>
      </c>
      <c r="P179" s="52" t="str">
        <f t="shared" si="5"/>
        <v>Local</v>
      </c>
      <c r="Q179" s="52">
        <v>3</v>
      </c>
      <c r="R179" s="52">
        <v>0</v>
      </c>
      <c r="S179" s="55" t="s">
        <v>397</v>
      </c>
      <c r="T179" s="53">
        <v>46230</v>
      </c>
    </row>
    <row r="180" spans="1:20" ht="12" customHeight="1">
      <c r="A180" s="51" t="s">
        <v>125</v>
      </c>
      <c r="B180" s="52">
        <v>3</v>
      </c>
      <c r="C180" s="53">
        <v>46187</v>
      </c>
      <c r="D180" s="54" t="s">
        <v>410</v>
      </c>
      <c r="E180" s="55" t="s">
        <v>205</v>
      </c>
      <c r="F180" s="55" t="s">
        <v>166</v>
      </c>
      <c r="G180" s="55" t="s">
        <v>174</v>
      </c>
      <c r="H180" s="56">
        <v>2</v>
      </c>
      <c r="I180" s="56">
        <v>0</v>
      </c>
      <c r="J180" s="56">
        <v>2026</v>
      </c>
      <c r="K180" s="52" t="s">
        <v>99</v>
      </c>
      <c r="L180" s="52" t="s">
        <v>137</v>
      </c>
      <c r="M180" s="52" t="s">
        <v>401</v>
      </c>
      <c r="N180" s="52" t="s">
        <v>402</v>
      </c>
      <c r="O180" s="52" t="str">
        <f t="shared" si="4"/>
        <v>Villa Alegre</v>
      </c>
      <c r="P180" s="52" t="str">
        <f t="shared" si="5"/>
        <v>Local</v>
      </c>
      <c r="Q180" s="52">
        <v>3</v>
      </c>
      <c r="R180" s="52">
        <v>0</v>
      </c>
      <c r="S180" s="55" t="s">
        <v>397</v>
      </c>
      <c r="T180" s="53">
        <v>46230</v>
      </c>
    </row>
    <row r="181" spans="1:20" ht="12" customHeight="1">
      <c r="A181" s="51" t="s">
        <v>125</v>
      </c>
      <c r="B181" s="52">
        <v>3</v>
      </c>
      <c r="C181" s="53">
        <v>46187</v>
      </c>
      <c r="D181" s="54" t="s">
        <v>410</v>
      </c>
      <c r="E181" s="55" t="s">
        <v>205</v>
      </c>
      <c r="F181" s="55" t="s">
        <v>173</v>
      </c>
      <c r="G181" s="55" t="s">
        <v>175</v>
      </c>
      <c r="H181" s="56">
        <v>3</v>
      </c>
      <c r="I181" s="56">
        <v>0</v>
      </c>
      <c r="J181" s="56">
        <v>2026</v>
      </c>
      <c r="K181" s="52" t="s">
        <v>99</v>
      </c>
      <c r="L181" s="52" t="s">
        <v>137</v>
      </c>
      <c r="M181" s="52" t="s">
        <v>395</v>
      </c>
      <c r="N181" s="52" t="s">
        <v>396</v>
      </c>
      <c r="O181" s="52" t="str">
        <f t="shared" si="4"/>
        <v>Jota Montt</v>
      </c>
      <c r="P181" s="52" t="str">
        <f t="shared" si="5"/>
        <v>Local</v>
      </c>
      <c r="Q181" s="52">
        <v>3</v>
      </c>
      <c r="R181" s="52">
        <v>0</v>
      </c>
      <c r="S181" s="55" t="s">
        <v>397</v>
      </c>
      <c r="T181" s="53">
        <v>46230</v>
      </c>
    </row>
    <row r="182" spans="1:20" ht="12" customHeight="1">
      <c r="A182" s="51" t="s">
        <v>125</v>
      </c>
      <c r="B182" s="52">
        <v>3</v>
      </c>
      <c r="C182" s="53">
        <v>46187</v>
      </c>
      <c r="D182" s="54" t="s">
        <v>410</v>
      </c>
      <c r="E182" s="55" t="s">
        <v>210</v>
      </c>
      <c r="F182" s="55" t="s">
        <v>176</v>
      </c>
      <c r="G182" s="55" t="s">
        <v>172</v>
      </c>
      <c r="H182" s="56">
        <v>0</v>
      </c>
      <c r="I182" s="56">
        <v>3</v>
      </c>
      <c r="J182" s="56">
        <v>2026</v>
      </c>
      <c r="K182" s="52" t="s">
        <v>99</v>
      </c>
      <c r="L182" s="52" t="s">
        <v>137</v>
      </c>
      <c r="M182" s="52" t="s">
        <v>399</v>
      </c>
      <c r="N182" s="52" t="s">
        <v>400</v>
      </c>
      <c r="O182" s="52" t="str">
        <f t="shared" si="4"/>
        <v>Grinvasul</v>
      </c>
      <c r="P182" s="52" t="str">
        <f t="shared" si="5"/>
        <v>Visita</v>
      </c>
      <c r="Q182" s="52">
        <v>0</v>
      </c>
      <c r="R182" s="52">
        <v>3</v>
      </c>
      <c r="S182" s="55" t="s">
        <v>397</v>
      </c>
      <c r="T182" s="53">
        <v>46230</v>
      </c>
    </row>
    <row r="183" spans="1:20" ht="12" customHeight="1">
      <c r="A183" s="51" t="s">
        <v>125</v>
      </c>
      <c r="B183" s="52">
        <v>3</v>
      </c>
      <c r="C183" s="53">
        <v>46187</v>
      </c>
      <c r="D183" s="54" t="s">
        <v>410</v>
      </c>
      <c r="E183" s="55" t="s">
        <v>171</v>
      </c>
      <c r="F183" s="55" t="s">
        <v>170</v>
      </c>
      <c r="G183" s="55" t="s">
        <v>169</v>
      </c>
      <c r="H183" s="56">
        <v>2</v>
      </c>
      <c r="I183" s="56">
        <v>1</v>
      </c>
      <c r="J183" s="56">
        <v>2026</v>
      </c>
      <c r="K183" s="52" t="s">
        <v>99</v>
      </c>
      <c r="L183" s="52" t="s">
        <v>137</v>
      </c>
      <c r="M183" s="52" t="s">
        <v>402</v>
      </c>
      <c r="N183" s="52" t="s">
        <v>403</v>
      </c>
      <c r="O183" s="52" t="str">
        <f t="shared" si="4"/>
        <v>Forestal</v>
      </c>
      <c r="P183" s="52" t="str">
        <f t="shared" si="5"/>
        <v>Local</v>
      </c>
      <c r="Q183" s="52">
        <v>3</v>
      </c>
      <c r="R183" s="52">
        <v>0</v>
      </c>
      <c r="S183" s="55" t="s">
        <v>397</v>
      </c>
      <c r="T183" s="53">
        <v>46230</v>
      </c>
    </row>
    <row r="184" spans="1:20" ht="12" customHeight="1">
      <c r="A184" s="51" t="s">
        <v>125</v>
      </c>
      <c r="B184" s="52">
        <v>4</v>
      </c>
      <c r="C184" s="53">
        <v>46194</v>
      </c>
      <c r="D184" s="54" t="s">
        <v>410</v>
      </c>
      <c r="E184" s="55" t="s">
        <v>205</v>
      </c>
      <c r="F184" s="55" t="s">
        <v>173</v>
      </c>
      <c r="G184" s="55" t="s">
        <v>166</v>
      </c>
      <c r="H184" s="56">
        <v>2</v>
      </c>
      <c r="I184" s="56">
        <v>1</v>
      </c>
      <c r="J184" s="56">
        <v>2026</v>
      </c>
      <c r="K184" s="52" t="s">
        <v>99</v>
      </c>
      <c r="L184" s="52" t="s">
        <v>137</v>
      </c>
      <c r="M184" s="52" t="s">
        <v>395</v>
      </c>
      <c r="N184" s="52" t="s">
        <v>396</v>
      </c>
      <c r="O184" s="52" t="str">
        <f t="shared" si="4"/>
        <v>Jota Montt</v>
      </c>
      <c r="P184" s="52" t="str">
        <f t="shared" si="5"/>
        <v>Local</v>
      </c>
      <c r="Q184" s="52">
        <v>3</v>
      </c>
      <c r="R184" s="52">
        <v>0</v>
      </c>
      <c r="S184" s="55" t="s">
        <v>397</v>
      </c>
      <c r="T184" s="53">
        <v>46230</v>
      </c>
    </row>
    <row r="185" spans="1:20" ht="12" customHeight="1">
      <c r="A185" s="51" t="s">
        <v>125</v>
      </c>
      <c r="B185" s="52">
        <v>4</v>
      </c>
      <c r="C185" s="53">
        <v>46194</v>
      </c>
      <c r="D185" s="54" t="s">
        <v>410</v>
      </c>
      <c r="E185" s="55" t="s">
        <v>210</v>
      </c>
      <c r="F185" s="55" t="s">
        <v>174</v>
      </c>
      <c r="G185" s="55" t="s">
        <v>172</v>
      </c>
      <c r="H185" s="56">
        <v>0</v>
      </c>
      <c r="I185" s="56">
        <v>0</v>
      </c>
      <c r="J185" s="56">
        <v>2026</v>
      </c>
      <c r="K185" s="52" t="s">
        <v>99</v>
      </c>
      <c r="L185" s="52" t="s">
        <v>137</v>
      </c>
      <c r="M185" s="52" t="s">
        <v>399</v>
      </c>
      <c r="N185" s="52" t="s">
        <v>400</v>
      </c>
      <c r="O185" s="52" t="str">
        <f t="shared" si="4"/>
        <v>Empate</v>
      </c>
      <c r="P185" s="52" t="str">
        <f t="shared" si="5"/>
        <v>Empate</v>
      </c>
      <c r="Q185" s="52">
        <v>1</v>
      </c>
      <c r="R185" s="52">
        <v>1</v>
      </c>
      <c r="S185" s="55" t="s">
        <v>397</v>
      </c>
      <c r="T185" s="53">
        <v>46230</v>
      </c>
    </row>
    <row r="186" spans="1:20" ht="12" customHeight="1">
      <c r="A186" s="51" t="s">
        <v>125</v>
      </c>
      <c r="B186" s="52">
        <v>4</v>
      </c>
      <c r="C186" s="53">
        <v>46194</v>
      </c>
      <c r="D186" s="54" t="s">
        <v>410</v>
      </c>
      <c r="E186" s="55" t="s">
        <v>171</v>
      </c>
      <c r="F186" s="55" t="s">
        <v>170</v>
      </c>
      <c r="G186" s="55" t="s">
        <v>175</v>
      </c>
      <c r="H186" s="56">
        <v>2</v>
      </c>
      <c r="I186" s="56">
        <v>1</v>
      </c>
      <c r="J186" s="56">
        <v>2026</v>
      </c>
      <c r="K186" s="52" t="s">
        <v>99</v>
      </c>
      <c r="L186" s="52" t="s">
        <v>137</v>
      </c>
      <c r="M186" s="52" t="s">
        <v>402</v>
      </c>
      <c r="N186" s="52" t="s">
        <v>403</v>
      </c>
      <c r="O186" s="52" t="str">
        <f t="shared" si="4"/>
        <v>Forestal</v>
      </c>
      <c r="P186" s="52" t="str">
        <f t="shared" si="5"/>
        <v>Local</v>
      </c>
      <c r="Q186" s="52">
        <v>3</v>
      </c>
      <c r="R186" s="52">
        <v>0</v>
      </c>
      <c r="S186" s="55" t="s">
        <v>397</v>
      </c>
      <c r="T186" s="53">
        <v>46230</v>
      </c>
    </row>
    <row r="187" spans="1:20" ht="12" customHeight="1">
      <c r="A187" s="51" t="s">
        <v>125</v>
      </c>
      <c r="B187" s="52">
        <v>4</v>
      </c>
      <c r="C187" s="53">
        <v>46194</v>
      </c>
      <c r="D187" s="54" t="s">
        <v>410</v>
      </c>
      <c r="E187" s="55" t="s">
        <v>210</v>
      </c>
      <c r="F187" s="55" t="s">
        <v>176</v>
      </c>
      <c r="G187" s="55" t="s">
        <v>169</v>
      </c>
      <c r="H187" s="56">
        <v>1</v>
      </c>
      <c r="I187" s="56">
        <v>1</v>
      </c>
      <c r="J187" s="56">
        <v>2026</v>
      </c>
      <c r="K187" s="52" t="s">
        <v>99</v>
      </c>
      <c r="L187" s="52" t="s">
        <v>137</v>
      </c>
      <c r="M187" s="52" t="s">
        <v>396</v>
      </c>
      <c r="N187" s="52" t="s">
        <v>404</v>
      </c>
      <c r="O187" s="52" t="str">
        <f t="shared" si="4"/>
        <v>Empate</v>
      </c>
      <c r="P187" s="52" t="str">
        <f t="shared" si="5"/>
        <v>Empate</v>
      </c>
      <c r="Q187" s="52">
        <v>1</v>
      </c>
      <c r="R187" s="52">
        <v>1</v>
      </c>
      <c r="S187" s="55" t="s">
        <v>397</v>
      </c>
      <c r="T187" s="53">
        <v>46230</v>
      </c>
    </row>
    <row r="188" spans="1:20" ht="12" customHeight="1">
      <c r="A188" s="51" t="s">
        <v>125</v>
      </c>
      <c r="B188" s="52">
        <v>5</v>
      </c>
      <c r="C188" s="53">
        <v>46201</v>
      </c>
      <c r="D188" s="54" t="s">
        <v>410</v>
      </c>
      <c r="E188" s="55" t="s">
        <v>205</v>
      </c>
      <c r="F188" s="55" t="s">
        <v>166</v>
      </c>
      <c r="G188" s="55" t="s">
        <v>172</v>
      </c>
      <c r="H188" s="56">
        <v>5</v>
      </c>
      <c r="I188" s="56">
        <v>1</v>
      </c>
      <c r="J188" s="56">
        <v>2026</v>
      </c>
      <c r="K188" s="52" t="s">
        <v>99</v>
      </c>
      <c r="L188" s="52" t="s">
        <v>137</v>
      </c>
      <c r="M188" s="52" t="s">
        <v>399</v>
      </c>
      <c r="N188" s="52" t="s">
        <v>400</v>
      </c>
      <c r="O188" s="52" t="str">
        <f t="shared" si="4"/>
        <v>Villa Alegre</v>
      </c>
      <c r="P188" s="52" t="str">
        <f t="shared" si="5"/>
        <v>Local</v>
      </c>
      <c r="Q188" s="52">
        <v>3</v>
      </c>
      <c r="R188" s="52">
        <v>0</v>
      </c>
      <c r="S188" s="55" t="s">
        <v>397</v>
      </c>
      <c r="T188" s="53">
        <v>46230</v>
      </c>
    </row>
    <row r="189" spans="1:20" ht="12" customHeight="1">
      <c r="A189" s="51" t="s">
        <v>125</v>
      </c>
      <c r="B189" s="52">
        <v>5</v>
      </c>
      <c r="C189" s="53">
        <v>46201</v>
      </c>
      <c r="D189" s="54" t="s">
        <v>410</v>
      </c>
      <c r="E189" s="55" t="s">
        <v>171</v>
      </c>
      <c r="F189" s="55" t="s">
        <v>170</v>
      </c>
      <c r="G189" s="55" t="s">
        <v>173</v>
      </c>
      <c r="H189" s="56">
        <v>0</v>
      </c>
      <c r="I189" s="56">
        <v>1</v>
      </c>
      <c r="J189" s="56">
        <v>2026</v>
      </c>
      <c r="K189" s="52" t="s">
        <v>99</v>
      </c>
      <c r="L189" s="52" t="s">
        <v>137</v>
      </c>
      <c r="M189" s="52" t="s">
        <v>402</v>
      </c>
      <c r="N189" s="52" t="s">
        <v>403</v>
      </c>
      <c r="O189" s="52" t="str">
        <f t="shared" si="4"/>
        <v>Jota Montt</v>
      </c>
      <c r="P189" s="52" t="str">
        <f t="shared" si="5"/>
        <v>Visita</v>
      </c>
      <c r="Q189" s="52">
        <v>0</v>
      </c>
      <c r="R189" s="52">
        <v>3</v>
      </c>
      <c r="S189" s="55" t="s">
        <v>397</v>
      </c>
      <c r="T189" s="53">
        <v>46230</v>
      </c>
    </row>
    <row r="190" spans="1:20" ht="12" customHeight="1">
      <c r="A190" s="51" t="s">
        <v>125</v>
      </c>
      <c r="B190" s="52">
        <v>5</v>
      </c>
      <c r="C190" s="53">
        <v>46201</v>
      </c>
      <c r="D190" s="54" t="s">
        <v>410</v>
      </c>
      <c r="E190" s="55" t="s">
        <v>210</v>
      </c>
      <c r="F190" s="55" t="s">
        <v>174</v>
      </c>
      <c r="G190" s="55" t="s">
        <v>169</v>
      </c>
      <c r="H190" s="56">
        <v>1</v>
      </c>
      <c r="I190" s="56">
        <v>1</v>
      </c>
      <c r="J190" s="56">
        <v>2026</v>
      </c>
      <c r="K190" s="52" t="s">
        <v>99</v>
      </c>
      <c r="L190" s="52" t="s">
        <v>137</v>
      </c>
      <c r="M190" s="52" t="s">
        <v>396</v>
      </c>
      <c r="N190" s="52" t="s">
        <v>404</v>
      </c>
      <c r="O190" s="52" t="str">
        <f t="shared" si="4"/>
        <v>Empate</v>
      </c>
      <c r="P190" s="52" t="str">
        <f t="shared" si="5"/>
        <v>Empate</v>
      </c>
      <c r="Q190" s="52">
        <v>1</v>
      </c>
      <c r="R190" s="52">
        <v>1</v>
      </c>
      <c r="S190" s="55" t="s">
        <v>397</v>
      </c>
      <c r="T190" s="53">
        <v>46230</v>
      </c>
    </row>
    <row r="191" spans="1:20" ht="12" customHeight="1">
      <c r="A191" s="51" t="s">
        <v>125</v>
      </c>
      <c r="B191" s="52">
        <v>5</v>
      </c>
      <c r="C191" s="53">
        <v>46201</v>
      </c>
      <c r="D191" s="54" t="s">
        <v>410</v>
      </c>
      <c r="E191" s="55" t="s">
        <v>210</v>
      </c>
      <c r="F191" s="55" t="s">
        <v>176</v>
      </c>
      <c r="G191" s="55" t="s">
        <v>175</v>
      </c>
      <c r="H191" s="56">
        <v>2</v>
      </c>
      <c r="I191" s="56">
        <v>0</v>
      </c>
      <c r="J191" s="56">
        <v>2026</v>
      </c>
      <c r="K191" s="52" t="s">
        <v>99</v>
      </c>
      <c r="L191" s="52" t="s">
        <v>137</v>
      </c>
      <c r="M191" s="52" t="s">
        <v>400</v>
      </c>
      <c r="N191" s="52" t="s">
        <v>405</v>
      </c>
      <c r="O191" s="52" t="str">
        <f t="shared" si="4"/>
        <v>Maestranza</v>
      </c>
      <c r="P191" s="52" t="str">
        <f t="shared" si="5"/>
        <v>Local</v>
      </c>
      <c r="Q191" s="52">
        <v>3</v>
      </c>
      <c r="R191" s="52">
        <v>0</v>
      </c>
      <c r="S191" s="55" t="s">
        <v>397</v>
      </c>
      <c r="T191" s="53">
        <v>46230</v>
      </c>
    </row>
    <row r="192" spans="1:20" ht="12" customHeight="1">
      <c r="A192" s="51" t="s">
        <v>125</v>
      </c>
      <c r="B192" s="52">
        <v>6</v>
      </c>
      <c r="C192" s="53">
        <v>46208</v>
      </c>
      <c r="D192" s="54" t="s">
        <v>410</v>
      </c>
      <c r="E192" s="55" t="s">
        <v>171</v>
      </c>
      <c r="F192" s="55" t="s">
        <v>170</v>
      </c>
      <c r="G192" s="55" t="s">
        <v>166</v>
      </c>
      <c r="H192" s="56">
        <v>0</v>
      </c>
      <c r="I192" s="56">
        <v>4</v>
      </c>
      <c r="J192" s="56">
        <v>2026</v>
      </c>
      <c r="K192" s="52" t="s">
        <v>99</v>
      </c>
      <c r="L192" s="52" t="s">
        <v>137</v>
      </c>
      <c r="M192" s="52" t="s">
        <v>402</v>
      </c>
      <c r="N192" s="52" t="s">
        <v>403</v>
      </c>
      <c r="O192" s="52" t="str">
        <f t="shared" si="4"/>
        <v>Villa Alegre</v>
      </c>
      <c r="P192" s="52" t="str">
        <f t="shared" si="5"/>
        <v>Visita</v>
      </c>
      <c r="Q192" s="52">
        <v>0</v>
      </c>
      <c r="R192" s="52">
        <v>3</v>
      </c>
      <c r="S192" s="55" t="s">
        <v>397</v>
      </c>
      <c r="T192" s="53">
        <v>46230</v>
      </c>
    </row>
    <row r="193" spans="1:20" ht="12" customHeight="1">
      <c r="A193" s="51" t="s">
        <v>125</v>
      </c>
      <c r="B193" s="52">
        <v>6</v>
      </c>
      <c r="C193" s="53">
        <v>46208</v>
      </c>
      <c r="D193" s="54" t="s">
        <v>410</v>
      </c>
      <c r="E193" s="55" t="s">
        <v>210</v>
      </c>
      <c r="F193" s="55" t="s">
        <v>172</v>
      </c>
      <c r="G193" s="55" t="s">
        <v>169</v>
      </c>
      <c r="H193" s="56">
        <v>0</v>
      </c>
      <c r="I193" s="56">
        <v>2</v>
      </c>
      <c r="J193" s="56">
        <v>2026</v>
      </c>
      <c r="K193" s="52" t="s">
        <v>99</v>
      </c>
      <c r="L193" s="52" t="s">
        <v>137</v>
      </c>
      <c r="M193" s="52" t="s">
        <v>396</v>
      </c>
      <c r="N193" s="52" t="s">
        <v>404</v>
      </c>
      <c r="O193" s="52" t="str">
        <f t="shared" si="4"/>
        <v>U.J. Lautaro</v>
      </c>
      <c r="P193" s="52" t="str">
        <f t="shared" si="5"/>
        <v>Visita</v>
      </c>
      <c r="Q193" s="52">
        <v>0</v>
      </c>
      <c r="R193" s="52">
        <v>3</v>
      </c>
      <c r="S193" s="55" t="s">
        <v>397</v>
      </c>
      <c r="T193" s="53">
        <v>46230</v>
      </c>
    </row>
    <row r="194" spans="1:20" ht="12" customHeight="1">
      <c r="A194" s="51" t="s">
        <v>125</v>
      </c>
      <c r="B194" s="52">
        <v>6</v>
      </c>
      <c r="C194" s="53">
        <v>46208</v>
      </c>
      <c r="D194" s="54" t="s">
        <v>410</v>
      </c>
      <c r="E194" s="55" t="s">
        <v>210</v>
      </c>
      <c r="F194" s="55" t="s">
        <v>176</v>
      </c>
      <c r="G194" s="55" t="s">
        <v>173</v>
      </c>
      <c r="H194" s="56">
        <v>1</v>
      </c>
      <c r="I194" s="56">
        <v>0</v>
      </c>
      <c r="J194" s="56">
        <v>2026</v>
      </c>
      <c r="K194" s="52" t="s">
        <v>99</v>
      </c>
      <c r="L194" s="52" t="s">
        <v>137</v>
      </c>
      <c r="M194" s="52" t="s">
        <v>400</v>
      </c>
      <c r="N194" s="52" t="s">
        <v>405</v>
      </c>
      <c r="O194" s="52" t="str">
        <f t="shared" si="4"/>
        <v>Maestranza</v>
      </c>
      <c r="P194" s="52" t="str">
        <f t="shared" si="5"/>
        <v>Local</v>
      </c>
      <c r="Q194" s="52">
        <v>3</v>
      </c>
      <c r="R194" s="52">
        <v>0</v>
      </c>
      <c r="S194" s="55" t="s">
        <v>397</v>
      </c>
      <c r="T194" s="53">
        <v>46230</v>
      </c>
    </row>
    <row r="195" spans="1:20" ht="12" customHeight="1">
      <c r="A195" s="51" t="s">
        <v>125</v>
      </c>
      <c r="B195" s="52">
        <v>6</v>
      </c>
      <c r="C195" s="53">
        <v>46208</v>
      </c>
      <c r="D195" s="54" t="s">
        <v>410</v>
      </c>
      <c r="E195" s="55" t="s">
        <v>210</v>
      </c>
      <c r="F195" s="55" t="s">
        <v>174</v>
      </c>
      <c r="G195" s="55" t="s">
        <v>175</v>
      </c>
      <c r="H195" s="56">
        <v>4</v>
      </c>
      <c r="I195" s="56">
        <v>0</v>
      </c>
      <c r="J195" s="56">
        <v>2026</v>
      </c>
      <c r="K195" s="52" t="s">
        <v>99</v>
      </c>
      <c r="L195" s="52" t="s">
        <v>137</v>
      </c>
      <c r="M195" s="52" t="s">
        <v>403</v>
      </c>
      <c r="N195" s="52" t="s">
        <v>406</v>
      </c>
      <c r="O195" s="52" t="str">
        <f t="shared" si="4"/>
        <v>Inca</v>
      </c>
      <c r="P195" s="52" t="str">
        <f t="shared" si="5"/>
        <v>Local</v>
      </c>
      <c r="Q195" s="52">
        <v>3</v>
      </c>
      <c r="R195" s="52">
        <v>0</v>
      </c>
      <c r="S195" s="55" t="s">
        <v>397</v>
      </c>
      <c r="T195" s="53">
        <v>46230</v>
      </c>
    </row>
    <row r="196" spans="1:20" ht="12" customHeight="1">
      <c r="A196" s="51" t="s">
        <v>125</v>
      </c>
      <c r="B196" s="52">
        <v>7</v>
      </c>
      <c r="C196" s="53">
        <v>46215</v>
      </c>
      <c r="D196" s="54" t="s">
        <v>410</v>
      </c>
      <c r="E196" s="55" t="s">
        <v>205</v>
      </c>
      <c r="F196" s="55" t="s">
        <v>166</v>
      </c>
      <c r="G196" s="55" t="s">
        <v>169</v>
      </c>
      <c r="H196" s="56">
        <v>2</v>
      </c>
      <c r="I196" s="56">
        <v>1</v>
      </c>
      <c r="J196" s="56">
        <v>2026</v>
      </c>
      <c r="K196" s="52" t="s">
        <v>99</v>
      </c>
      <c r="L196" s="52" t="s">
        <v>137</v>
      </c>
      <c r="M196" s="52" t="s">
        <v>396</v>
      </c>
      <c r="N196" s="52" t="s">
        <v>404</v>
      </c>
      <c r="O196" s="52" t="str">
        <f t="shared" ref="O196:O259" si="6">IF(OR(L196&lt;&gt;"Finalizado",H196="",I196=""),"",IF(H196&gt;I196,F196,IF(I196&gt;H196,G196,"Empate")))</f>
        <v>Villa Alegre</v>
      </c>
      <c r="P196" s="52" t="str">
        <f t="shared" ref="P196:P259" si="7">IF(OR(L196&lt;&gt;"Finalizado",H196="",I196=""),"",IF(H196=I196,"Empate",IF(H196&gt;I196,"Local","Visita")))</f>
        <v>Local</v>
      </c>
      <c r="Q196" s="52">
        <v>3</v>
      </c>
      <c r="R196" s="52">
        <v>0</v>
      </c>
      <c r="S196" s="55" t="s">
        <v>397</v>
      </c>
      <c r="T196" s="53">
        <v>46230</v>
      </c>
    </row>
    <row r="197" spans="1:20" ht="12" customHeight="1">
      <c r="A197" s="51" t="s">
        <v>125</v>
      </c>
      <c r="B197" s="52">
        <v>7</v>
      </c>
      <c r="C197" s="53">
        <v>46215</v>
      </c>
      <c r="D197" s="54" t="s">
        <v>410</v>
      </c>
      <c r="E197" s="55" t="s">
        <v>210</v>
      </c>
      <c r="F197" s="55" t="s">
        <v>176</v>
      </c>
      <c r="G197" s="55" t="s">
        <v>170</v>
      </c>
      <c r="H197" s="56">
        <v>1</v>
      </c>
      <c r="I197" s="56">
        <v>1</v>
      </c>
      <c r="J197" s="56">
        <v>2026</v>
      </c>
      <c r="K197" s="52" t="s">
        <v>99</v>
      </c>
      <c r="L197" s="52" t="s">
        <v>137</v>
      </c>
      <c r="M197" s="52" t="s">
        <v>400</v>
      </c>
      <c r="N197" s="52" t="s">
        <v>405</v>
      </c>
      <c r="O197" s="52" t="str">
        <f t="shared" si="6"/>
        <v>Empate</v>
      </c>
      <c r="P197" s="52" t="str">
        <f t="shared" si="7"/>
        <v>Empate</v>
      </c>
      <c r="Q197" s="52">
        <v>1</v>
      </c>
      <c r="R197" s="52">
        <v>1</v>
      </c>
      <c r="S197" s="55" t="s">
        <v>397</v>
      </c>
      <c r="T197" s="53">
        <v>46230</v>
      </c>
    </row>
    <row r="198" spans="1:20" ht="12" customHeight="1">
      <c r="A198" s="51" t="s">
        <v>125</v>
      </c>
      <c r="B198" s="52">
        <v>7</v>
      </c>
      <c r="C198" s="53">
        <v>46215</v>
      </c>
      <c r="D198" s="54" t="s">
        <v>410</v>
      </c>
      <c r="E198" s="55" t="s">
        <v>210</v>
      </c>
      <c r="F198" s="55" t="s">
        <v>172</v>
      </c>
      <c r="G198" s="55" t="s">
        <v>175</v>
      </c>
      <c r="H198" s="56">
        <v>1</v>
      </c>
      <c r="I198" s="56">
        <v>1</v>
      </c>
      <c r="J198" s="56">
        <v>2026</v>
      </c>
      <c r="K198" s="52" t="s">
        <v>99</v>
      </c>
      <c r="L198" s="52" t="s">
        <v>137</v>
      </c>
      <c r="M198" s="52" t="s">
        <v>403</v>
      </c>
      <c r="N198" s="52" t="s">
        <v>406</v>
      </c>
      <c r="O198" s="52" t="str">
        <f t="shared" si="6"/>
        <v>Empate</v>
      </c>
      <c r="P198" s="52" t="str">
        <f t="shared" si="7"/>
        <v>Empate</v>
      </c>
      <c r="Q198" s="52">
        <v>1</v>
      </c>
      <c r="R198" s="52">
        <v>1</v>
      </c>
      <c r="S198" s="55" t="s">
        <v>397</v>
      </c>
      <c r="T198" s="53">
        <v>46230</v>
      </c>
    </row>
    <row r="199" spans="1:20" ht="12" customHeight="1">
      <c r="A199" s="51" t="s">
        <v>125</v>
      </c>
      <c r="B199" s="52">
        <v>7</v>
      </c>
      <c r="C199" s="53">
        <v>46215</v>
      </c>
      <c r="D199" s="54" t="s">
        <v>410</v>
      </c>
      <c r="E199" s="55" t="s">
        <v>210</v>
      </c>
      <c r="F199" s="55" t="s">
        <v>174</v>
      </c>
      <c r="G199" s="55" t="s">
        <v>173</v>
      </c>
      <c r="H199" s="56">
        <v>1</v>
      </c>
      <c r="I199" s="56">
        <v>2</v>
      </c>
      <c r="J199" s="56">
        <v>2026</v>
      </c>
      <c r="K199" s="52" t="s">
        <v>99</v>
      </c>
      <c r="L199" s="52" t="s">
        <v>137</v>
      </c>
      <c r="M199" s="52" t="s">
        <v>404</v>
      </c>
      <c r="N199" s="52" t="s">
        <v>394</v>
      </c>
      <c r="O199" s="52" t="str">
        <f t="shared" si="6"/>
        <v>Jota Montt</v>
      </c>
      <c r="P199" s="52" t="str">
        <f t="shared" si="7"/>
        <v>Visita</v>
      </c>
      <c r="Q199" s="52">
        <v>0</v>
      </c>
      <c r="R199" s="52">
        <v>3</v>
      </c>
      <c r="S199" s="55" t="s">
        <v>397</v>
      </c>
      <c r="T199" s="53">
        <v>46230</v>
      </c>
    </row>
    <row r="200" spans="1:20" ht="12" customHeight="1">
      <c r="A200" s="51" t="s">
        <v>125</v>
      </c>
      <c r="B200" s="52">
        <v>8</v>
      </c>
      <c r="C200" s="53">
        <v>46222</v>
      </c>
      <c r="D200" s="54" t="s">
        <v>410</v>
      </c>
      <c r="E200" s="55" t="s">
        <v>210</v>
      </c>
      <c r="F200" s="55" t="s">
        <v>176</v>
      </c>
      <c r="G200" s="55" t="s">
        <v>166</v>
      </c>
      <c r="H200" s="56">
        <v>1</v>
      </c>
      <c r="I200" s="56">
        <v>1</v>
      </c>
      <c r="J200" s="56">
        <v>2026</v>
      </c>
      <c r="K200" s="52" t="s">
        <v>99</v>
      </c>
      <c r="L200" s="52" t="s">
        <v>137</v>
      </c>
      <c r="M200" s="52" t="s">
        <v>400</v>
      </c>
      <c r="N200" s="52" t="s">
        <v>405</v>
      </c>
      <c r="O200" s="52" t="str">
        <f t="shared" si="6"/>
        <v>Empate</v>
      </c>
      <c r="P200" s="52" t="str">
        <f t="shared" si="7"/>
        <v>Empate</v>
      </c>
      <c r="Q200" s="52">
        <v>1</v>
      </c>
      <c r="R200" s="52">
        <v>1</v>
      </c>
      <c r="S200" s="55" t="s">
        <v>397</v>
      </c>
      <c r="T200" s="53">
        <v>46230</v>
      </c>
    </row>
    <row r="201" spans="1:20" ht="12" customHeight="1">
      <c r="A201" s="51" t="s">
        <v>125</v>
      </c>
      <c r="B201" s="52">
        <v>8</v>
      </c>
      <c r="C201" s="53">
        <v>46222</v>
      </c>
      <c r="D201" s="54" t="s">
        <v>410</v>
      </c>
      <c r="E201" s="55" t="s">
        <v>207</v>
      </c>
      <c r="F201" s="55" t="s">
        <v>169</v>
      </c>
      <c r="G201" s="55" t="s">
        <v>175</v>
      </c>
      <c r="H201" s="56">
        <v>2</v>
      </c>
      <c r="I201" s="56">
        <v>0</v>
      </c>
      <c r="J201" s="56">
        <v>2026</v>
      </c>
      <c r="K201" s="52" t="s">
        <v>99</v>
      </c>
      <c r="L201" s="52" t="s">
        <v>137</v>
      </c>
      <c r="M201" s="52" t="s">
        <v>403</v>
      </c>
      <c r="N201" s="52" t="s">
        <v>406</v>
      </c>
      <c r="O201" s="52" t="str">
        <f t="shared" si="6"/>
        <v>U.J. Lautaro</v>
      </c>
      <c r="P201" s="52" t="str">
        <f t="shared" si="7"/>
        <v>Local</v>
      </c>
      <c r="Q201" s="52">
        <v>3</v>
      </c>
      <c r="R201" s="52">
        <v>0</v>
      </c>
      <c r="S201" s="55" t="s">
        <v>397</v>
      </c>
      <c r="T201" s="53">
        <v>46230</v>
      </c>
    </row>
    <row r="202" spans="1:20" ht="12" customHeight="1">
      <c r="A202" s="51" t="s">
        <v>125</v>
      </c>
      <c r="B202" s="52">
        <v>8</v>
      </c>
      <c r="C202" s="53">
        <v>46222</v>
      </c>
      <c r="D202" s="54" t="s">
        <v>410</v>
      </c>
      <c r="E202" s="55" t="s">
        <v>210</v>
      </c>
      <c r="F202" s="55" t="s">
        <v>174</v>
      </c>
      <c r="G202" s="55" t="s">
        <v>170</v>
      </c>
      <c r="H202" s="56">
        <v>0</v>
      </c>
      <c r="I202" s="56">
        <v>1</v>
      </c>
      <c r="J202" s="56">
        <v>2026</v>
      </c>
      <c r="K202" s="52" t="s">
        <v>99</v>
      </c>
      <c r="L202" s="52" t="s">
        <v>137</v>
      </c>
      <c r="M202" s="52" t="s">
        <v>404</v>
      </c>
      <c r="N202" s="52" t="s">
        <v>394</v>
      </c>
      <c r="O202" s="52" t="str">
        <f t="shared" si="6"/>
        <v>Forestal</v>
      </c>
      <c r="P202" s="52" t="str">
        <f t="shared" si="7"/>
        <v>Visita</v>
      </c>
      <c r="Q202" s="52">
        <v>0</v>
      </c>
      <c r="R202" s="52">
        <v>3</v>
      </c>
      <c r="S202" s="55" t="s">
        <v>397</v>
      </c>
      <c r="T202" s="53">
        <v>46230</v>
      </c>
    </row>
    <row r="203" spans="1:20" ht="12" customHeight="1">
      <c r="A203" s="51" t="s">
        <v>125</v>
      </c>
      <c r="B203" s="52">
        <v>8</v>
      </c>
      <c r="C203" s="53">
        <v>46222</v>
      </c>
      <c r="D203" s="54" t="s">
        <v>410</v>
      </c>
      <c r="E203" s="55" t="s">
        <v>210</v>
      </c>
      <c r="F203" s="55" t="s">
        <v>172</v>
      </c>
      <c r="G203" s="55" t="s">
        <v>173</v>
      </c>
      <c r="H203" s="56">
        <v>2</v>
      </c>
      <c r="I203" s="56">
        <v>0</v>
      </c>
      <c r="J203" s="56">
        <v>2026</v>
      </c>
      <c r="K203" s="52" t="s">
        <v>99</v>
      </c>
      <c r="L203" s="52" t="s">
        <v>137</v>
      </c>
      <c r="M203" s="52" t="s">
        <v>405</v>
      </c>
      <c r="N203" s="52" t="s">
        <v>398</v>
      </c>
      <c r="O203" s="52" t="str">
        <f t="shared" si="6"/>
        <v>Grinvasul</v>
      </c>
      <c r="P203" s="52" t="str">
        <f t="shared" si="7"/>
        <v>Local</v>
      </c>
      <c r="Q203" s="52">
        <v>3</v>
      </c>
      <c r="R203" s="52">
        <v>0</v>
      </c>
      <c r="S203" s="55" t="s">
        <v>397</v>
      </c>
      <c r="T203" s="53">
        <v>46230</v>
      </c>
    </row>
    <row r="204" spans="1:20" ht="12" customHeight="1">
      <c r="A204" s="51" t="s">
        <v>125</v>
      </c>
      <c r="B204" s="52">
        <v>9</v>
      </c>
      <c r="C204" s="53">
        <v>46229</v>
      </c>
      <c r="D204" s="54" t="s">
        <v>410</v>
      </c>
      <c r="E204" s="55" t="s">
        <v>205</v>
      </c>
      <c r="F204" s="55" t="s">
        <v>166</v>
      </c>
      <c r="G204" s="55" t="s">
        <v>175</v>
      </c>
      <c r="H204" s="56">
        <v>1</v>
      </c>
      <c r="I204" s="56">
        <v>1</v>
      </c>
      <c r="J204" s="56">
        <v>2026</v>
      </c>
      <c r="K204" s="52" t="s">
        <v>99</v>
      </c>
      <c r="L204" s="52" t="s">
        <v>137</v>
      </c>
      <c r="M204" s="52" t="s">
        <v>403</v>
      </c>
      <c r="N204" s="52" t="s">
        <v>406</v>
      </c>
      <c r="O204" s="52" t="str">
        <f t="shared" si="6"/>
        <v>Empate</v>
      </c>
      <c r="P204" s="52" t="str">
        <f t="shared" si="7"/>
        <v>Empate</v>
      </c>
      <c r="Q204" s="52">
        <v>1</v>
      </c>
      <c r="R204" s="52">
        <v>1</v>
      </c>
      <c r="S204" s="55" t="s">
        <v>397</v>
      </c>
      <c r="T204" s="53">
        <v>46230</v>
      </c>
    </row>
    <row r="205" spans="1:20" ht="12" customHeight="1">
      <c r="A205" s="51" t="s">
        <v>125</v>
      </c>
      <c r="B205" s="52">
        <v>9</v>
      </c>
      <c r="C205" s="53">
        <v>46229</v>
      </c>
      <c r="D205" s="54" t="s">
        <v>410</v>
      </c>
      <c r="E205" s="55" t="s">
        <v>210</v>
      </c>
      <c r="F205" s="55" t="s">
        <v>174</v>
      </c>
      <c r="G205" s="55" t="s">
        <v>176</v>
      </c>
      <c r="H205" s="56">
        <v>2</v>
      </c>
      <c r="I205" s="56">
        <v>3</v>
      </c>
      <c r="J205" s="56">
        <v>2026</v>
      </c>
      <c r="K205" s="52" t="s">
        <v>99</v>
      </c>
      <c r="L205" s="52" t="s">
        <v>137</v>
      </c>
      <c r="M205" s="52" t="s">
        <v>404</v>
      </c>
      <c r="N205" s="52" t="s">
        <v>394</v>
      </c>
      <c r="O205" s="52" t="str">
        <f t="shared" si="6"/>
        <v>Maestranza</v>
      </c>
      <c r="P205" s="52" t="str">
        <f t="shared" si="7"/>
        <v>Visita</v>
      </c>
      <c r="Q205" s="52">
        <v>0</v>
      </c>
      <c r="R205" s="52">
        <v>3</v>
      </c>
      <c r="S205" s="55" t="s">
        <v>397</v>
      </c>
      <c r="T205" s="53">
        <v>46230</v>
      </c>
    </row>
    <row r="206" spans="1:20" ht="12" customHeight="1">
      <c r="A206" s="51" t="s">
        <v>125</v>
      </c>
      <c r="B206" s="52">
        <v>9</v>
      </c>
      <c r="C206" s="53">
        <v>46229</v>
      </c>
      <c r="D206" s="54" t="s">
        <v>410</v>
      </c>
      <c r="E206" s="55" t="s">
        <v>207</v>
      </c>
      <c r="F206" s="55" t="s">
        <v>169</v>
      </c>
      <c r="G206" s="55" t="s">
        <v>173</v>
      </c>
      <c r="H206" s="56">
        <v>1</v>
      </c>
      <c r="I206" s="56">
        <v>0</v>
      </c>
      <c r="J206" s="56">
        <v>2026</v>
      </c>
      <c r="K206" s="52" t="s">
        <v>99</v>
      </c>
      <c r="L206" s="52" t="s">
        <v>137</v>
      </c>
      <c r="M206" s="52" t="s">
        <v>405</v>
      </c>
      <c r="N206" s="52" t="s">
        <v>398</v>
      </c>
      <c r="O206" s="52" t="str">
        <f t="shared" si="6"/>
        <v>U.J. Lautaro</v>
      </c>
      <c r="P206" s="52" t="str">
        <f t="shared" si="7"/>
        <v>Local</v>
      </c>
      <c r="Q206" s="52">
        <v>3</v>
      </c>
      <c r="R206" s="52">
        <v>0</v>
      </c>
      <c r="S206" s="55" t="s">
        <v>397</v>
      </c>
      <c r="T206" s="53">
        <v>46230</v>
      </c>
    </row>
    <row r="207" spans="1:20" ht="12" customHeight="1">
      <c r="A207" s="51" t="s">
        <v>125</v>
      </c>
      <c r="B207" s="52">
        <v>9</v>
      </c>
      <c r="C207" s="53">
        <v>46229</v>
      </c>
      <c r="D207" s="54" t="s">
        <v>410</v>
      </c>
      <c r="E207" s="55" t="s">
        <v>210</v>
      </c>
      <c r="F207" s="55" t="s">
        <v>172</v>
      </c>
      <c r="G207" s="55" t="s">
        <v>170</v>
      </c>
      <c r="H207" s="56">
        <v>0</v>
      </c>
      <c r="I207" s="56">
        <v>1</v>
      </c>
      <c r="J207" s="56">
        <v>2026</v>
      </c>
      <c r="K207" s="52" t="s">
        <v>99</v>
      </c>
      <c r="L207" s="52" t="s">
        <v>137</v>
      </c>
      <c r="M207" s="52" t="s">
        <v>406</v>
      </c>
      <c r="N207" s="52" t="s">
        <v>401</v>
      </c>
      <c r="O207" s="52" t="str">
        <f t="shared" si="6"/>
        <v>Forestal</v>
      </c>
      <c r="P207" s="52" t="str">
        <f t="shared" si="7"/>
        <v>Visita</v>
      </c>
      <c r="Q207" s="52">
        <v>0</v>
      </c>
      <c r="R207" s="52">
        <v>3</v>
      </c>
      <c r="S207" s="55" t="s">
        <v>397</v>
      </c>
      <c r="T207" s="53">
        <v>46230</v>
      </c>
    </row>
    <row r="208" spans="1:20" ht="12" customHeight="1">
      <c r="A208" s="51" t="s">
        <v>125</v>
      </c>
      <c r="B208" s="52">
        <v>10</v>
      </c>
      <c r="C208" s="53">
        <v>46236</v>
      </c>
      <c r="D208" s="54" t="s">
        <v>410</v>
      </c>
      <c r="E208" s="55" t="s">
        <v>210</v>
      </c>
      <c r="F208" s="55" t="s">
        <v>174</v>
      </c>
      <c r="G208" s="55" t="s">
        <v>166</v>
      </c>
      <c r="H208" s="56"/>
      <c r="I208" s="56"/>
      <c r="J208" s="56">
        <v>2026</v>
      </c>
      <c r="K208" s="52" t="s">
        <v>99</v>
      </c>
      <c r="L208" s="52" t="s">
        <v>88</v>
      </c>
      <c r="M208" s="52" t="s">
        <v>404</v>
      </c>
      <c r="N208" s="52" t="s">
        <v>394</v>
      </c>
      <c r="O208" s="52" t="str">
        <f t="shared" si="6"/>
        <v/>
      </c>
      <c r="P208" s="52" t="str">
        <f t="shared" si="7"/>
        <v/>
      </c>
      <c r="Q208" s="52"/>
      <c r="R208" s="52"/>
      <c r="S208" s="55" t="s">
        <v>407</v>
      </c>
      <c r="T208" s="53">
        <v>46230</v>
      </c>
    </row>
    <row r="209" spans="1:20" ht="12" customHeight="1">
      <c r="A209" s="51" t="s">
        <v>125</v>
      </c>
      <c r="B209" s="52">
        <v>10</v>
      </c>
      <c r="C209" s="53">
        <v>46236</v>
      </c>
      <c r="D209" s="54" t="s">
        <v>410</v>
      </c>
      <c r="E209" s="55" t="s">
        <v>207</v>
      </c>
      <c r="F209" s="55" t="s">
        <v>175</v>
      </c>
      <c r="G209" s="55" t="s">
        <v>173</v>
      </c>
      <c r="H209" s="56"/>
      <c r="I209" s="56"/>
      <c r="J209" s="56">
        <v>2026</v>
      </c>
      <c r="K209" s="52" t="s">
        <v>99</v>
      </c>
      <c r="L209" s="52" t="s">
        <v>88</v>
      </c>
      <c r="M209" s="52" t="s">
        <v>405</v>
      </c>
      <c r="N209" s="52" t="s">
        <v>398</v>
      </c>
      <c r="O209" s="52" t="str">
        <f t="shared" si="6"/>
        <v/>
      </c>
      <c r="P209" s="52" t="str">
        <f t="shared" si="7"/>
        <v/>
      </c>
      <c r="Q209" s="52"/>
      <c r="R209" s="52"/>
      <c r="S209" s="55" t="s">
        <v>407</v>
      </c>
      <c r="T209" s="53">
        <v>46230</v>
      </c>
    </row>
    <row r="210" spans="1:20" ht="12" customHeight="1">
      <c r="A210" s="51" t="s">
        <v>125</v>
      </c>
      <c r="B210" s="52">
        <v>10</v>
      </c>
      <c r="C210" s="53">
        <v>46236</v>
      </c>
      <c r="D210" s="54" t="s">
        <v>410</v>
      </c>
      <c r="E210" s="55" t="s">
        <v>210</v>
      </c>
      <c r="F210" s="55" t="s">
        <v>172</v>
      </c>
      <c r="G210" s="55" t="s">
        <v>176</v>
      </c>
      <c r="H210" s="56"/>
      <c r="I210" s="56"/>
      <c r="J210" s="56">
        <v>2026</v>
      </c>
      <c r="K210" s="52" t="s">
        <v>99</v>
      </c>
      <c r="L210" s="52" t="s">
        <v>88</v>
      </c>
      <c r="M210" s="52" t="s">
        <v>406</v>
      </c>
      <c r="N210" s="52" t="s">
        <v>401</v>
      </c>
      <c r="O210" s="52" t="str">
        <f t="shared" si="6"/>
        <v/>
      </c>
      <c r="P210" s="52" t="str">
        <f t="shared" si="7"/>
        <v/>
      </c>
      <c r="Q210" s="52"/>
      <c r="R210" s="52"/>
      <c r="S210" s="55" t="s">
        <v>407</v>
      </c>
      <c r="T210" s="53">
        <v>46230</v>
      </c>
    </row>
    <row r="211" spans="1:20" ht="12" customHeight="1">
      <c r="A211" s="51" t="s">
        <v>125</v>
      </c>
      <c r="B211" s="52">
        <v>10</v>
      </c>
      <c r="C211" s="53">
        <v>46236</v>
      </c>
      <c r="D211" s="54" t="s">
        <v>410</v>
      </c>
      <c r="E211" s="55" t="s">
        <v>207</v>
      </c>
      <c r="F211" s="55" t="s">
        <v>169</v>
      </c>
      <c r="G211" s="55" t="s">
        <v>170</v>
      </c>
      <c r="H211" s="56"/>
      <c r="I211" s="56"/>
      <c r="J211" s="56">
        <v>2026</v>
      </c>
      <c r="K211" s="52" t="s">
        <v>99</v>
      </c>
      <c r="L211" s="52" t="s">
        <v>88</v>
      </c>
      <c r="M211" s="52" t="s">
        <v>394</v>
      </c>
      <c r="N211" s="52" t="s">
        <v>395</v>
      </c>
      <c r="O211" s="52" t="str">
        <f t="shared" si="6"/>
        <v/>
      </c>
      <c r="P211" s="52" t="str">
        <f t="shared" si="7"/>
        <v/>
      </c>
      <c r="Q211" s="52"/>
      <c r="R211" s="52"/>
      <c r="S211" s="55" t="s">
        <v>407</v>
      </c>
      <c r="T211" s="53">
        <v>46230</v>
      </c>
    </row>
    <row r="212" spans="1:20" ht="12" customHeight="1">
      <c r="A212" s="51" t="s">
        <v>125</v>
      </c>
      <c r="B212" s="52">
        <v>11</v>
      </c>
      <c r="C212" s="53">
        <v>46243</v>
      </c>
      <c r="D212" s="54" t="s">
        <v>410</v>
      </c>
      <c r="E212" s="55" t="s">
        <v>205</v>
      </c>
      <c r="F212" s="55" t="s">
        <v>166</v>
      </c>
      <c r="G212" s="55" t="s">
        <v>173</v>
      </c>
      <c r="H212" s="56"/>
      <c r="I212" s="56"/>
      <c r="J212" s="56">
        <v>2026</v>
      </c>
      <c r="K212" s="52" t="s">
        <v>99</v>
      </c>
      <c r="L212" s="52" t="s">
        <v>88</v>
      </c>
      <c r="M212" s="52" t="s">
        <v>405</v>
      </c>
      <c r="N212" s="52" t="s">
        <v>398</v>
      </c>
      <c r="O212" s="52" t="str">
        <f t="shared" si="6"/>
        <v/>
      </c>
      <c r="P212" s="52" t="str">
        <f t="shared" si="7"/>
        <v/>
      </c>
      <c r="Q212" s="52"/>
      <c r="R212" s="52"/>
      <c r="S212" s="55" t="s">
        <v>407</v>
      </c>
      <c r="T212" s="53">
        <v>46230</v>
      </c>
    </row>
    <row r="213" spans="1:20" ht="12" customHeight="1">
      <c r="A213" s="51" t="s">
        <v>125</v>
      </c>
      <c r="B213" s="52">
        <v>11</v>
      </c>
      <c r="C213" s="53">
        <v>46243</v>
      </c>
      <c r="D213" s="54" t="s">
        <v>410</v>
      </c>
      <c r="E213" s="55" t="s">
        <v>210</v>
      </c>
      <c r="F213" s="55" t="s">
        <v>172</v>
      </c>
      <c r="G213" s="55" t="s">
        <v>174</v>
      </c>
      <c r="H213" s="56"/>
      <c r="I213" s="56"/>
      <c r="J213" s="56">
        <v>2026</v>
      </c>
      <c r="K213" s="52" t="s">
        <v>99</v>
      </c>
      <c r="L213" s="52" t="s">
        <v>88</v>
      </c>
      <c r="M213" s="52" t="s">
        <v>406</v>
      </c>
      <c r="N213" s="52" t="s">
        <v>401</v>
      </c>
      <c r="O213" s="52" t="str">
        <f t="shared" si="6"/>
        <v/>
      </c>
      <c r="P213" s="52" t="str">
        <f t="shared" si="7"/>
        <v/>
      </c>
      <c r="Q213" s="52"/>
      <c r="R213" s="52"/>
      <c r="S213" s="55" t="s">
        <v>407</v>
      </c>
      <c r="T213" s="53">
        <v>46230</v>
      </c>
    </row>
    <row r="214" spans="1:20" ht="12" customHeight="1">
      <c r="A214" s="51" t="s">
        <v>125</v>
      </c>
      <c r="B214" s="52">
        <v>11</v>
      </c>
      <c r="C214" s="53">
        <v>46243</v>
      </c>
      <c r="D214" s="54" t="s">
        <v>410</v>
      </c>
      <c r="E214" s="55" t="s">
        <v>207</v>
      </c>
      <c r="F214" s="55" t="s">
        <v>175</v>
      </c>
      <c r="G214" s="55" t="s">
        <v>170</v>
      </c>
      <c r="H214" s="56"/>
      <c r="I214" s="56"/>
      <c r="J214" s="56">
        <v>2026</v>
      </c>
      <c r="K214" s="52" t="s">
        <v>99</v>
      </c>
      <c r="L214" s="52" t="s">
        <v>88</v>
      </c>
      <c r="M214" s="52" t="s">
        <v>394</v>
      </c>
      <c r="N214" s="52" t="s">
        <v>395</v>
      </c>
      <c r="O214" s="52" t="str">
        <f t="shared" si="6"/>
        <v/>
      </c>
      <c r="P214" s="52" t="str">
        <f t="shared" si="7"/>
        <v/>
      </c>
      <c r="Q214" s="52"/>
      <c r="R214" s="52"/>
      <c r="S214" s="55" t="s">
        <v>407</v>
      </c>
      <c r="T214" s="53">
        <v>46230</v>
      </c>
    </row>
    <row r="215" spans="1:20" ht="12" customHeight="1">
      <c r="A215" s="51" t="s">
        <v>125</v>
      </c>
      <c r="B215" s="52">
        <v>11</v>
      </c>
      <c r="C215" s="53">
        <v>46243</v>
      </c>
      <c r="D215" s="54" t="s">
        <v>410</v>
      </c>
      <c r="E215" s="55" t="s">
        <v>207</v>
      </c>
      <c r="F215" s="55" t="s">
        <v>169</v>
      </c>
      <c r="G215" s="55" t="s">
        <v>176</v>
      </c>
      <c r="H215" s="56"/>
      <c r="I215" s="56"/>
      <c r="J215" s="56">
        <v>2026</v>
      </c>
      <c r="K215" s="52" t="s">
        <v>99</v>
      </c>
      <c r="L215" s="52" t="s">
        <v>88</v>
      </c>
      <c r="M215" s="52" t="s">
        <v>398</v>
      </c>
      <c r="N215" s="52" t="s">
        <v>399</v>
      </c>
      <c r="O215" s="52" t="str">
        <f t="shared" si="6"/>
        <v/>
      </c>
      <c r="P215" s="52" t="str">
        <f t="shared" si="7"/>
        <v/>
      </c>
      <c r="Q215" s="52"/>
      <c r="R215" s="52"/>
      <c r="S215" s="55" t="s">
        <v>407</v>
      </c>
      <c r="T215" s="53">
        <v>46230</v>
      </c>
    </row>
    <row r="216" spans="1:20" ht="12" customHeight="1">
      <c r="A216" s="51" t="s">
        <v>125</v>
      </c>
      <c r="B216" s="52">
        <v>12</v>
      </c>
      <c r="C216" s="53">
        <v>46250</v>
      </c>
      <c r="D216" s="54" t="s">
        <v>410</v>
      </c>
      <c r="E216" s="55" t="s">
        <v>210</v>
      </c>
      <c r="F216" s="55" t="s">
        <v>172</v>
      </c>
      <c r="G216" s="55" t="s">
        <v>166</v>
      </c>
      <c r="H216" s="56"/>
      <c r="I216" s="56"/>
      <c r="J216" s="56">
        <v>2026</v>
      </c>
      <c r="K216" s="52" t="s">
        <v>99</v>
      </c>
      <c r="L216" s="52" t="s">
        <v>88</v>
      </c>
      <c r="M216" s="52" t="s">
        <v>406</v>
      </c>
      <c r="N216" s="52" t="s">
        <v>401</v>
      </c>
      <c r="O216" s="52" t="str">
        <f t="shared" si="6"/>
        <v/>
      </c>
      <c r="P216" s="52" t="str">
        <f t="shared" si="7"/>
        <v/>
      </c>
      <c r="Q216" s="52"/>
      <c r="R216" s="52"/>
      <c r="S216" s="55" t="s">
        <v>407</v>
      </c>
      <c r="T216" s="53">
        <v>46230</v>
      </c>
    </row>
    <row r="217" spans="1:20" ht="12" customHeight="1">
      <c r="A217" s="51" t="s">
        <v>125</v>
      </c>
      <c r="B217" s="52">
        <v>12</v>
      </c>
      <c r="C217" s="53">
        <v>46250</v>
      </c>
      <c r="D217" s="54" t="s">
        <v>410</v>
      </c>
      <c r="E217" s="55" t="s">
        <v>205</v>
      </c>
      <c r="F217" s="55" t="s">
        <v>173</v>
      </c>
      <c r="G217" s="55" t="s">
        <v>170</v>
      </c>
      <c r="H217" s="56"/>
      <c r="I217" s="56"/>
      <c r="J217" s="56">
        <v>2026</v>
      </c>
      <c r="K217" s="52" t="s">
        <v>99</v>
      </c>
      <c r="L217" s="52" t="s">
        <v>88</v>
      </c>
      <c r="M217" s="52" t="s">
        <v>394</v>
      </c>
      <c r="N217" s="52" t="s">
        <v>395</v>
      </c>
      <c r="O217" s="52" t="str">
        <f t="shared" si="6"/>
        <v/>
      </c>
      <c r="P217" s="52" t="str">
        <f t="shared" si="7"/>
        <v/>
      </c>
      <c r="Q217" s="52"/>
      <c r="R217" s="52"/>
      <c r="S217" s="55" t="s">
        <v>407</v>
      </c>
      <c r="T217" s="53">
        <v>46230</v>
      </c>
    </row>
    <row r="218" spans="1:20" ht="12" customHeight="1">
      <c r="A218" s="51" t="s">
        <v>125</v>
      </c>
      <c r="B218" s="52">
        <v>12</v>
      </c>
      <c r="C218" s="53">
        <v>46250</v>
      </c>
      <c r="D218" s="54" t="s">
        <v>410</v>
      </c>
      <c r="E218" s="55" t="s">
        <v>207</v>
      </c>
      <c r="F218" s="55" t="s">
        <v>169</v>
      </c>
      <c r="G218" s="55" t="s">
        <v>174</v>
      </c>
      <c r="H218" s="56"/>
      <c r="I218" s="56"/>
      <c r="J218" s="56">
        <v>2026</v>
      </c>
      <c r="K218" s="52" t="s">
        <v>99</v>
      </c>
      <c r="L218" s="52" t="s">
        <v>88</v>
      </c>
      <c r="M218" s="52" t="s">
        <v>398</v>
      </c>
      <c r="N218" s="52" t="s">
        <v>399</v>
      </c>
      <c r="O218" s="52" t="str">
        <f t="shared" si="6"/>
        <v/>
      </c>
      <c r="P218" s="52" t="str">
        <f t="shared" si="7"/>
        <v/>
      </c>
      <c r="Q218" s="52"/>
      <c r="R218" s="52"/>
      <c r="S218" s="55" t="s">
        <v>407</v>
      </c>
      <c r="T218" s="53">
        <v>46230</v>
      </c>
    </row>
    <row r="219" spans="1:20" ht="12" customHeight="1">
      <c r="A219" s="51" t="s">
        <v>125</v>
      </c>
      <c r="B219" s="52">
        <v>12</v>
      </c>
      <c r="C219" s="53">
        <v>46250</v>
      </c>
      <c r="D219" s="54" t="s">
        <v>410</v>
      </c>
      <c r="E219" s="55" t="s">
        <v>207</v>
      </c>
      <c r="F219" s="55" t="s">
        <v>175</v>
      </c>
      <c r="G219" s="55" t="s">
        <v>176</v>
      </c>
      <c r="H219" s="56"/>
      <c r="I219" s="56"/>
      <c r="J219" s="56">
        <v>2026</v>
      </c>
      <c r="K219" s="52" t="s">
        <v>99</v>
      </c>
      <c r="L219" s="52" t="s">
        <v>88</v>
      </c>
      <c r="M219" s="52" t="s">
        <v>401</v>
      </c>
      <c r="N219" s="52" t="s">
        <v>402</v>
      </c>
      <c r="O219" s="52" t="str">
        <f t="shared" si="6"/>
        <v/>
      </c>
      <c r="P219" s="52" t="str">
        <f t="shared" si="7"/>
        <v/>
      </c>
      <c r="Q219" s="52"/>
      <c r="R219" s="52"/>
      <c r="S219" s="55" t="s">
        <v>407</v>
      </c>
      <c r="T219" s="53">
        <v>46230</v>
      </c>
    </row>
    <row r="220" spans="1:20" ht="12" customHeight="1">
      <c r="A220" s="51" t="s">
        <v>125</v>
      </c>
      <c r="B220" s="52">
        <v>13</v>
      </c>
      <c r="C220" s="53">
        <v>46257</v>
      </c>
      <c r="D220" s="54" t="s">
        <v>410</v>
      </c>
      <c r="E220" s="55" t="s">
        <v>205</v>
      </c>
      <c r="F220" s="55" t="s">
        <v>166</v>
      </c>
      <c r="G220" s="55" t="s">
        <v>170</v>
      </c>
      <c r="H220" s="56"/>
      <c r="I220" s="56"/>
      <c r="J220" s="56">
        <v>2026</v>
      </c>
      <c r="K220" s="52" t="s">
        <v>99</v>
      </c>
      <c r="L220" s="52" t="s">
        <v>88</v>
      </c>
      <c r="M220" s="52" t="s">
        <v>394</v>
      </c>
      <c r="N220" s="52" t="s">
        <v>395</v>
      </c>
      <c r="O220" s="52" t="str">
        <f t="shared" si="6"/>
        <v/>
      </c>
      <c r="P220" s="52" t="str">
        <f t="shared" si="7"/>
        <v/>
      </c>
      <c r="Q220" s="52"/>
      <c r="R220" s="52"/>
      <c r="S220" s="55" t="s">
        <v>407</v>
      </c>
      <c r="T220" s="53">
        <v>46230</v>
      </c>
    </row>
    <row r="221" spans="1:20" ht="12" customHeight="1">
      <c r="A221" s="51" t="s">
        <v>125</v>
      </c>
      <c r="B221" s="52">
        <v>13</v>
      </c>
      <c r="C221" s="53">
        <v>46257</v>
      </c>
      <c r="D221" s="54" t="s">
        <v>410</v>
      </c>
      <c r="E221" s="55" t="s">
        <v>207</v>
      </c>
      <c r="F221" s="55" t="s">
        <v>169</v>
      </c>
      <c r="G221" s="55" t="s">
        <v>172</v>
      </c>
      <c r="H221" s="56"/>
      <c r="I221" s="56"/>
      <c r="J221" s="56">
        <v>2026</v>
      </c>
      <c r="K221" s="52" t="s">
        <v>99</v>
      </c>
      <c r="L221" s="52" t="s">
        <v>88</v>
      </c>
      <c r="M221" s="52" t="s">
        <v>398</v>
      </c>
      <c r="N221" s="52" t="s">
        <v>399</v>
      </c>
      <c r="O221" s="52" t="str">
        <f t="shared" si="6"/>
        <v/>
      </c>
      <c r="P221" s="52" t="str">
        <f t="shared" si="7"/>
        <v/>
      </c>
      <c r="Q221" s="52"/>
      <c r="R221" s="52"/>
      <c r="S221" s="55" t="s">
        <v>407</v>
      </c>
      <c r="T221" s="53">
        <v>46230</v>
      </c>
    </row>
    <row r="222" spans="1:20" ht="12" customHeight="1">
      <c r="A222" s="51" t="s">
        <v>125</v>
      </c>
      <c r="B222" s="52">
        <v>13</v>
      </c>
      <c r="C222" s="53">
        <v>46257</v>
      </c>
      <c r="D222" s="54" t="s">
        <v>410</v>
      </c>
      <c r="E222" s="55" t="s">
        <v>205</v>
      </c>
      <c r="F222" s="55" t="s">
        <v>173</v>
      </c>
      <c r="G222" s="55" t="s">
        <v>176</v>
      </c>
      <c r="H222" s="56"/>
      <c r="I222" s="56"/>
      <c r="J222" s="56">
        <v>2026</v>
      </c>
      <c r="K222" s="52" t="s">
        <v>99</v>
      </c>
      <c r="L222" s="52" t="s">
        <v>88</v>
      </c>
      <c r="M222" s="52" t="s">
        <v>401</v>
      </c>
      <c r="N222" s="52" t="s">
        <v>402</v>
      </c>
      <c r="O222" s="52" t="str">
        <f t="shared" si="6"/>
        <v/>
      </c>
      <c r="P222" s="52" t="str">
        <f t="shared" si="7"/>
        <v/>
      </c>
      <c r="Q222" s="52"/>
      <c r="R222" s="52"/>
      <c r="S222" s="55" t="s">
        <v>407</v>
      </c>
      <c r="T222" s="53">
        <v>46230</v>
      </c>
    </row>
    <row r="223" spans="1:20" ht="12" customHeight="1">
      <c r="A223" s="51" t="s">
        <v>125</v>
      </c>
      <c r="B223" s="52">
        <v>13</v>
      </c>
      <c r="C223" s="53">
        <v>46257</v>
      </c>
      <c r="D223" s="54" t="s">
        <v>410</v>
      </c>
      <c r="E223" s="55" t="s">
        <v>207</v>
      </c>
      <c r="F223" s="55" t="s">
        <v>175</v>
      </c>
      <c r="G223" s="55" t="s">
        <v>174</v>
      </c>
      <c r="H223" s="56"/>
      <c r="I223" s="56"/>
      <c r="J223" s="56">
        <v>2026</v>
      </c>
      <c r="K223" s="52" t="s">
        <v>99</v>
      </c>
      <c r="L223" s="52" t="s">
        <v>88</v>
      </c>
      <c r="M223" s="52" t="s">
        <v>395</v>
      </c>
      <c r="N223" s="52" t="s">
        <v>396</v>
      </c>
      <c r="O223" s="52" t="str">
        <f t="shared" si="6"/>
        <v/>
      </c>
      <c r="P223" s="52" t="str">
        <f t="shared" si="7"/>
        <v/>
      </c>
      <c r="Q223" s="52"/>
      <c r="R223" s="52"/>
      <c r="S223" s="55" t="s">
        <v>407</v>
      </c>
      <c r="T223" s="53">
        <v>46230</v>
      </c>
    </row>
    <row r="224" spans="1:20" ht="12" customHeight="1">
      <c r="A224" s="51" t="s">
        <v>125</v>
      </c>
      <c r="B224" s="52">
        <v>14</v>
      </c>
      <c r="C224" s="53">
        <v>46264</v>
      </c>
      <c r="D224" s="54" t="s">
        <v>410</v>
      </c>
      <c r="E224" s="55" t="s">
        <v>207</v>
      </c>
      <c r="F224" s="55" t="s">
        <v>169</v>
      </c>
      <c r="G224" s="55" t="s">
        <v>166</v>
      </c>
      <c r="H224" s="56"/>
      <c r="I224" s="56"/>
      <c r="J224" s="56">
        <v>2026</v>
      </c>
      <c r="K224" s="52" t="s">
        <v>99</v>
      </c>
      <c r="L224" s="52" t="s">
        <v>88</v>
      </c>
      <c r="M224" s="52" t="s">
        <v>398</v>
      </c>
      <c r="N224" s="52" t="s">
        <v>399</v>
      </c>
      <c r="O224" s="52" t="str">
        <f t="shared" si="6"/>
        <v/>
      </c>
      <c r="P224" s="52" t="str">
        <f t="shared" si="7"/>
        <v/>
      </c>
      <c r="Q224" s="52"/>
      <c r="R224" s="52"/>
      <c r="S224" s="55" t="s">
        <v>407</v>
      </c>
      <c r="T224" s="53">
        <v>46230</v>
      </c>
    </row>
    <row r="225" spans="1:20" ht="12" customHeight="1">
      <c r="A225" s="51" t="s">
        <v>125</v>
      </c>
      <c r="B225" s="52">
        <v>14</v>
      </c>
      <c r="C225" s="53">
        <v>46264</v>
      </c>
      <c r="D225" s="54" t="s">
        <v>410</v>
      </c>
      <c r="E225" s="55" t="s">
        <v>171</v>
      </c>
      <c r="F225" s="55" t="s">
        <v>170</v>
      </c>
      <c r="G225" s="55" t="s">
        <v>176</v>
      </c>
      <c r="H225" s="56"/>
      <c r="I225" s="56"/>
      <c r="J225" s="56">
        <v>2026</v>
      </c>
      <c r="K225" s="52" t="s">
        <v>99</v>
      </c>
      <c r="L225" s="52" t="s">
        <v>88</v>
      </c>
      <c r="M225" s="52" t="s">
        <v>401</v>
      </c>
      <c r="N225" s="52" t="s">
        <v>402</v>
      </c>
      <c r="O225" s="52" t="str">
        <f t="shared" si="6"/>
        <v/>
      </c>
      <c r="P225" s="52" t="str">
        <f t="shared" si="7"/>
        <v/>
      </c>
      <c r="Q225" s="52"/>
      <c r="R225" s="52"/>
      <c r="S225" s="55" t="s">
        <v>407</v>
      </c>
      <c r="T225" s="53">
        <v>46230</v>
      </c>
    </row>
    <row r="226" spans="1:20" ht="12" customHeight="1">
      <c r="A226" s="51" t="s">
        <v>125</v>
      </c>
      <c r="B226" s="52">
        <v>14</v>
      </c>
      <c r="C226" s="53">
        <v>46264</v>
      </c>
      <c r="D226" s="54" t="s">
        <v>410</v>
      </c>
      <c r="E226" s="55" t="s">
        <v>207</v>
      </c>
      <c r="F226" s="55" t="s">
        <v>175</v>
      </c>
      <c r="G226" s="55" t="s">
        <v>172</v>
      </c>
      <c r="H226" s="56"/>
      <c r="I226" s="56"/>
      <c r="J226" s="56">
        <v>2026</v>
      </c>
      <c r="K226" s="52" t="s">
        <v>99</v>
      </c>
      <c r="L226" s="52" t="s">
        <v>88</v>
      </c>
      <c r="M226" s="52" t="s">
        <v>395</v>
      </c>
      <c r="N226" s="52" t="s">
        <v>396</v>
      </c>
      <c r="O226" s="52" t="str">
        <f t="shared" si="6"/>
        <v/>
      </c>
      <c r="P226" s="52" t="str">
        <f t="shared" si="7"/>
        <v/>
      </c>
      <c r="Q226" s="52"/>
      <c r="R226" s="52"/>
      <c r="S226" s="55" t="s">
        <v>407</v>
      </c>
      <c r="T226" s="53">
        <v>46230</v>
      </c>
    </row>
    <row r="227" spans="1:20" ht="12" customHeight="1">
      <c r="A227" s="51" t="s">
        <v>125</v>
      </c>
      <c r="B227" s="52">
        <v>14</v>
      </c>
      <c r="C227" s="53">
        <v>46264</v>
      </c>
      <c r="D227" s="54" t="s">
        <v>410</v>
      </c>
      <c r="E227" s="55" t="s">
        <v>205</v>
      </c>
      <c r="F227" s="55" t="s">
        <v>173</v>
      </c>
      <c r="G227" s="55" t="s">
        <v>174</v>
      </c>
      <c r="H227" s="56"/>
      <c r="I227" s="56"/>
      <c r="J227" s="56">
        <v>2026</v>
      </c>
      <c r="K227" s="52" t="s">
        <v>99</v>
      </c>
      <c r="L227" s="52" t="s">
        <v>88</v>
      </c>
      <c r="M227" s="52" t="s">
        <v>399</v>
      </c>
      <c r="N227" s="52" t="s">
        <v>400</v>
      </c>
      <c r="O227" s="52" t="str">
        <f t="shared" si="6"/>
        <v/>
      </c>
      <c r="P227" s="52" t="str">
        <f t="shared" si="7"/>
        <v/>
      </c>
      <c r="Q227" s="52"/>
      <c r="R227" s="52"/>
      <c r="S227" s="55" t="s">
        <v>407</v>
      </c>
      <c r="T227" s="53">
        <v>46230</v>
      </c>
    </row>
    <row r="228" spans="1:20" ht="12" customHeight="1">
      <c r="A228" s="51" t="s">
        <v>136</v>
      </c>
      <c r="B228" s="52">
        <v>1</v>
      </c>
      <c r="C228" s="53">
        <v>46173</v>
      </c>
      <c r="D228" s="54" t="s">
        <v>411</v>
      </c>
      <c r="E228" s="55" t="s">
        <v>205</v>
      </c>
      <c r="F228" s="55" t="s">
        <v>166</v>
      </c>
      <c r="G228" s="55" t="s">
        <v>176</v>
      </c>
      <c r="H228" s="56">
        <v>1</v>
      </c>
      <c r="I228" s="56">
        <v>1</v>
      </c>
      <c r="J228" s="56">
        <v>2026</v>
      </c>
      <c r="K228" s="52" t="s">
        <v>99</v>
      </c>
      <c r="L228" s="52" t="s">
        <v>137</v>
      </c>
      <c r="M228" s="52" t="s">
        <v>399</v>
      </c>
      <c r="N228" s="52" t="s">
        <v>400</v>
      </c>
      <c r="O228" s="52" t="str">
        <f t="shared" si="6"/>
        <v>Empate</v>
      </c>
      <c r="P228" s="52" t="str">
        <f t="shared" si="7"/>
        <v>Empate</v>
      </c>
      <c r="Q228" s="52">
        <v>1</v>
      </c>
      <c r="R228" s="52">
        <v>1</v>
      </c>
      <c r="S228" s="55" t="s">
        <v>397</v>
      </c>
      <c r="T228" s="53">
        <v>46230</v>
      </c>
    </row>
    <row r="229" spans="1:20" ht="12" customHeight="1">
      <c r="A229" s="51" t="s">
        <v>136</v>
      </c>
      <c r="B229" s="52">
        <v>1</v>
      </c>
      <c r="C229" s="53">
        <v>46173</v>
      </c>
      <c r="D229" s="54" t="s">
        <v>411</v>
      </c>
      <c r="E229" s="55" t="s">
        <v>207</v>
      </c>
      <c r="F229" s="55" t="s">
        <v>175</v>
      </c>
      <c r="G229" s="55" t="s">
        <v>169</v>
      </c>
      <c r="H229" s="56">
        <v>2</v>
      </c>
      <c r="I229" s="56">
        <v>1</v>
      </c>
      <c r="J229" s="56">
        <v>2026</v>
      </c>
      <c r="K229" s="52" t="s">
        <v>99</v>
      </c>
      <c r="L229" s="52" t="s">
        <v>137</v>
      </c>
      <c r="M229" s="52" t="s">
        <v>402</v>
      </c>
      <c r="N229" s="52" t="s">
        <v>403</v>
      </c>
      <c r="O229" s="52" t="str">
        <f t="shared" si="6"/>
        <v>Colo Colo</v>
      </c>
      <c r="P229" s="52" t="str">
        <f t="shared" si="7"/>
        <v>Local</v>
      </c>
      <c r="Q229" s="52">
        <v>3</v>
      </c>
      <c r="R229" s="52">
        <v>0</v>
      </c>
      <c r="S229" s="55" t="s">
        <v>397</v>
      </c>
      <c r="T229" s="53">
        <v>46230</v>
      </c>
    </row>
    <row r="230" spans="1:20" ht="12" customHeight="1">
      <c r="A230" s="51" t="s">
        <v>136</v>
      </c>
      <c r="B230" s="52">
        <v>1</v>
      </c>
      <c r="C230" s="53">
        <v>46173</v>
      </c>
      <c r="D230" s="54" t="s">
        <v>411</v>
      </c>
      <c r="E230" s="55" t="s">
        <v>171</v>
      </c>
      <c r="F230" s="55" t="s">
        <v>170</v>
      </c>
      <c r="G230" s="55" t="s">
        <v>174</v>
      </c>
      <c r="H230" s="56">
        <v>0</v>
      </c>
      <c r="I230" s="56">
        <v>1</v>
      </c>
      <c r="J230" s="56">
        <v>2026</v>
      </c>
      <c r="K230" s="52" t="s">
        <v>99</v>
      </c>
      <c r="L230" s="52" t="s">
        <v>137</v>
      </c>
      <c r="M230" s="52" t="s">
        <v>396</v>
      </c>
      <c r="N230" s="52" t="s">
        <v>404</v>
      </c>
      <c r="O230" s="52" t="str">
        <f t="shared" si="6"/>
        <v>Inca</v>
      </c>
      <c r="P230" s="52" t="str">
        <f t="shared" si="7"/>
        <v>Visita</v>
      </c>
      <c r="Q230" s="52">
        <v>0</v>
      </c>
      <c r="R230" s="52">
        <v>3</v>
      </c>
      <c r="S230" s="55" t="s">
        <v>397</v>
      </c>
      <c r="T230" s="53">
        <v>46230</v>
      </c>
    </row>
    <row r="231" spans="1:20" ht="12" customHeight="1">
      <c r="A231" s="51" t="s">
        <v>136</v>
      </c>
      <c r="B231" s="52">
        <v>1</v>
      </c>
      <c r="C231" s="53">
        <v>46173</v>
      </c>
      <c r="D231" s="54" t="s">
        <v>411</v>
      </c>
      <c r="E231" s="55" t="s">
        <v>205</v>
      </c>
      <c r="F231" s="55" t="s">
        <v>173</v>
      </c>
      <c r="G231" s="55" t="s">
        <v>172</v>
      </c>
      <c r="H231" s="56">
        <v>1</v>
      </c>
      <c r="I231" s="56">
        <v>0</v>
      </c>
      <c r="J231" s="56">
        <v>2026</v>
      </c>
      <c r="K231" s="52" t="s">
        <v>99</v>
      </c>
      <c r="L231" s="52" t="s">
        <v>137</v>
      </c>
      <c r="M231" s="52" t="s">
        <v>400</v>
      </c>
      <c r="N231" s="52" t="s">
        <v>405</v>
      </c>
      <c r="O231" s="52" t="str">
        <f t="shared" si="6"/>
        <v>Jota Montt</v>
      </c>
      <c r="P231" s="52" t="str">
        <f t="shared" si="7"/>
        <v>Local</v>
      </c>
      <c r="Q231" s="52">
        <v>3</v>
      </c>
      <c r="R231" s="52">
        <v>0</v>
      </c>
      <c r="S231" s="55" t="s">
        <v>397</v>
      </c>
      <c r="T231" s="53">
        <v>46230</v>
      </c>
    </row>
    <row r="232" spans="1:20" ht="12" customHeight="1">
      <c r="A232" s="51" t="s">
        <v>136</v>
      </c>
      <c r="B232" s="52">
        <v>2</v>
      </c>
      <c r="C232" s="53">
        <v>46180</v>
      </c>
      <c r="D232" s="54" t="s">
        <v>411</v>
      </c>
      <c r="E232" s="55" t="s">
        <v>207</v>
      </c>
      <c r="F232" s="55" t="s">
        <v>175</v>
      </c>
      <c r="G232" s="55" t="s">
        <v>166</v>
      </c>
      <c r="H232" s="56">
        <v>1</v>
      </c>
      <c r="I232" s="56">
        <v>1</v>
      </c>
      <c r="J232" s="56">
        <v>2026</v>
      </c>
      <c r="K232" s="52" t="s">
        <v>99</v>
      </c>
      <c r="L232" s="52" t="s">
        <v>137</v>
      </c>
      <c r="M232" s="52" t="s">
        <v>402</v>
      </c>
      <c r="N232" s="52" t="s">
        <v>403</v>
      </c>
      <c r="O232" s="52" t="str">
        <f t="shared" si="6"/>
        <v>Empate</v>
      </c>
      <c r="P232" s="52" t="str">
        <f t="shared" si="7"/>
        <v>Empate</v>
      </c>
      <c r="Q232" s="52">
        <v>1</v>
      </c>
      <c r="R232" s="52">
        <v>1</v>
      </c>
      <c r="S232" s="55" t="s">
        <v>397</v>
      </c>
      <c r="T232" s="53">
        <v>46230</v>
      </c>
    </row>
    <row r="233" spans="1:20" ht="12" customHeight="1">
      <c r="A233" s="51" t="s">
        <v>136</v>
      </c>
      <c r="B233" s="52">
        <v>2</v>
      </c>
      <c r="C233" s="53">
        <v>46180</v>
      </c>
      <c r="D233" s="54" t="s">
        <v>411</v>
      </c>
      <c r="E233" s="55" t="s">
        <v>210</v>
      </c>
      <c r="F233" s="55" t="s">
        <v>176</v>
      </c>
      <c r="G233" s="55" t="s">
        <v>174</v>
      </c>
      <c r="H233" s="56">
        <v>1</v>
      </c>
      <c r="I233" s="56">
        <v>2</v>
      </c>
      <c r="J233" s="56">
        <v>2026</v>
      </c>
      <c r="K233" s="52" t="s">
        <v>99</v>
      </c>
      <c r="L233" s="52" t="s">
        <v>137</v>
      </c>
      <c r="M233" s="52" t="s">
        <v>396</v>
      </c>
      <c r="N233" s="52" t="s">
        <v>404</v>
      </c>
      <c r="O233" s="52" t="str">
        <f t="shared" si="6"/>
        <v>Inca</v>
      </c>
      <c r="P233" s="52" t="str">
        <f t="shared" si="7"/>
        <v>Visita</v>
      </c>
      <c r="Q233" s="52">
        <v>0</v>
      </c>
      <c r="R233" s="52">
        <v>3</v>
      </c>
      <c r="S233" s="55" t="s">
        <v>397</v>
      </c>
      <c r="T233" s="53">
        <v>46230</v>
      </c>
    </row>
    <row r="234" spans="1:20" ht="12" customHeight="1">
      <c r="A234" s="51" t="s">
        <v>136</v>
      </c>
      <c r="B234" s="52">
        <v>2</v>
      </c>
      <c r="C234" s="53">
        <v>46180</v>
      </c>
      <c r="D234" s="54" t="s">
        <v>411</v>
      </c>
      <c r="E234" s="55" t="s">
        <v>205</v>
      </c>
      <c r="F234" s="55" t="s">
        <v>173</v>
      </c>
      <c r="G234" s="55" t="s">
        <v>169</v>
      </c>
      <c r="H234" s="56">
        <v>3</v>
      </c>
      <c r="I234" s="56">
        <v>0</v>
      </c>
      <c r="J234" s="56">
        <v>2026</v>
      </c>
      <c r="K234" s="52" t="s">
        <v>99</v>
      </c>
      <c r="L234" s="52" t="s">
        <v>137</v>
      </c>
      <c r="M234" s="52" t="s">
        <v>400</v>
      </c>
      <c r="N234" s="52" t="s">
        <v>405</v>
      </c>
      <c r="O234" s="52" t="str">
        <f t="shared" si="6"/>
        <v>Jota Montt</v>
      </c>
      <c r="P234" s="52" t="str">
        <f t="shared" si="7"/>
        <v>Local</v>
      </c>
      <c r="Q234" s="52">
        <v>3</v>
      </c>
      <c r="R234" s="52">
        <v>0</v>
      </c>
      <c r="S234" s="55" t="s">
        <v>397</v>
      </c>
      <c r="T234" s="53">
        <v>46230</v>
      </c>
    </row>
    <row r="235" spans="1:20" ht="12" customHeight="1">
      <c r="A235" s="51" t="s">
        <v>136</v>
      </c>
      <c r="B235" s="52">
        <v>2</v>
      </c>
      <c r="C235" s="53">
        <v>46180</v>
      </c>
      <c r="D235" s="54" t="s">
        <v>411</v>
      </c>
      <c r="E235" s="55" t="s">
        <v>171</v>
      </c>
      <c r="F235" s="55" t="s">
        <v>170</v>
      </c>
      <c r="G235" s="55" t="s">
        <v>172</v>
      </c>
      <c r="H235" s="56">
        <v>5</v>
      </c>
      <c r="I235" s="56">
        <v>0</v>
      </c>
      <c r="J235" s="56">
        <v>2026</v>
      </c>
      <c r="K235" s="52" t="s">
        <v>99</v>
      </c>
      <c r="L235" s="52" t="s">
        <v>137</v>
      </c>
      <c r="M235" s="52" t="s">
        <v>403</v>
      </c>
      <c r="N235" s="52" t="s">
        <v>406</v>
      </c>
      <c r="O235" s="52" t="str">
        <f t="shared" si="6"/>
        <v>Forestal</v>
      </c>
      <c r="P235" s="52" t="str">
        <f t="shared" si="7"/>
        <v>Local</v>
      </c>
      <c r="Q235" s="52">
        <v>3</v>
      </c>
      <c r="R235" s="52">
        <v>0</v>
      </c>
      <c r="S235" s="55" t="s">
        <v>397</v>
      </c>
      <c r="T235" s="53">
        <v>46230</v>
      </c>
    </row>
    <row r="236" spans="1:20" ht="12" customHeight="1">
      <c r="A236" s="51" t="s">
        <v>136</v>
      </c>
      <c r="B236" s="52">
        <v>3</v>
      </c>
      <c r="C236" s="53">
        <v>46187</v>
      </c>
      <c r="D236" s="54" t="s">
        <v>411</v>
      </c>
      <c r="E236" s="55" t="s">
        <v>205</v>
      </c>
      <c r="F236" s="55" t="s">
        <v>166</v>
      </c>
      <c r="G236" s="55" t="s">
        <v>174</v>
      </c>
      <c r="H236" s="56">
        <v>1</v>
      </c>
      <c r="I236" s="56">
        <v>0</v>
      </c>
      <c r="J236" s="56">
        <v>2026</v>
      </c>
      <c r="K236" s="52" t="s">
        <v>99</v>
      </c>
      <c r="L236" s="52" t="s">
        <v>137</v>
      </c>
      <c r="M236" s="52" t="s">
        <v>396</v>
      </c>
      <c r="N236" s="52" t="s">
        <v>404</v>
      </c>
      <c r="O236" s="52" t="str">
        <f t="shared" si="6"/>
        <v>Villa Alegre</v>
      </c>
      <c r="P236" s="52" t="str">
        <f t="shared" si="7"/>
        <v>Local</v>
      </c>
      <c r="Q236" s="52">
        <v>3</v>
      </c>
      <c r="R236" s="52">
        <v>0</v>
      </c>
      <c r="S236" s="55" t="s">
        <v>397</v>
      </c>
      <c r="T236" s="53">
        <v>46230</v>
      </c>
    </row>
    <row r="237" spans="1:20" ht="12" customHeight="1">
      <c r="A237" s="51" t="s">
        <v>136</v>
      </c>
      <c r="B237" s="52">
        <v>3</v>
      </c>
      <c r="C237" s="53">
        <v>46187</v>
      </c>
      <c r="D237" s="54" t="s">
        <v>411</v>
      </c>
      <c r="E237" s="55" t="s">
        <v>205</v>
      </c>
      <c r="F237" s="55" t="s">
        <v>173</v>
      </c>
      <c r="G237" s="55" t="s">
        <v>175</v>
      </c>
      <c r="H237" s="56">
        <v>0</v>
      </c>
      <c r="I237" s="56">
        <v>1</v>
      </c>
      <c r="J237" s="56">
        <v>2026</v>
      </c>
      <c r="K237" s="52" t="s">
        <v>99</v>
      </c>
      <c r="L237" s="52" t="s">
        <v>137</v>
      </c>
      <c r="M237" s="52" t="s">
        <v>400</v>
      </c>
      <c r="N237" s="52" t="s">
        <v>405</v>
      </c>
      <c r="O237" s="52" t="str">
        <f t="shared" si="6"/>
        <v>Colo Colo</v>
      </c>
      <c r="P237" s="52" t="str">
        <f t="shared" si="7"/>
        <v>Visita</v>
      </c>
      <c r="Q237" s="52">
        <v>0</v>
      </c>
      <c r="R237" s="52">
        <v>3</v>
      </c>
      <c r="S237" s="55" t="s">
        <v>397</v>
      </c>
      <c r="T237" s="53">
        <v>46230</v>
      </c>
    </row>
    <row r="238" spans="1:20" ht="12" customHeight="1">
      <c r="A238" s="51" t="s">
        <v>136</v>
      </c>
      <c r="B238" s="52">
        <v>3</v>
      </c>
      <c r="C238" s="53">
        <v>46187</v>
      </c>
      <c r="D238" s="54" t="s">
        <v>411</v>
      </c>
      <c r="E238" s="55" t="s">
        <v>210</v>
      </c>
      <c r="F238" s="55" t="s">
        <v>176</v>
      </c>
      <c r="G238" s="55" t="s">
        <v>172</v>
      </c>
      <c r="H238" s="56">
        <v>3</v>
      </c>
      <c r="I238" s="56">
        <v>1</v>
      </c>
      <c r="J238" s="56">
        <v>2026</v>
      </c>
      <c r="K238" s="52" t="s">
        <v>99</v>
      </c>
      <c r="L238" s="52" t="s">
        <v>137</v>
      </c>
      <c r="M238" s="52" t="s">
        <v>403</v>
      </c>
      <c r="N238" s="52" t="s">
        <v>406</v>
      </c>
      <c r="O238" s="52" t="str">
        <f t="shared" si="6"/>
        <v>Maestranza</v>
      </c>
      <c r="P238" s="52" t="str">
        <f t="shared" si="7"/>
        <v>Local</v>
      </c>
      <c r="Q238" s="52">
        <v>3</v>
      </c>
      <c r="R238" s="52">
        <v>0</v>
      </c>
      <c r="S238" s="55" t="s">
        <v>397</v>
      </c>
      <c r="T238" s="53">
        <v>46230</v>
      </c>
    </row>
    <row r="239" spans="1:20" ht="12" customHeight="1">
      <c r="A239" s="51" t="s">
        <v>136</v>
      </c>
      <c r="B239" s="52">
        <v>3</v>
      </c>
      <c r="C239" s="53">
        <v>46187</v>
      </c>
      <c r="D239" s="54" t="s">
        <v>411</v>
      </c>
      <c r="E239" s="55" t="s">
        <v>171</v>
      </c>
      <c r="F239" s="55" t="s">
        <v>170</v>
      </c>
      <c r="G239" s="55" t="s">
        <v>169</v>
      </c>
      <c r="H239" s="56">
        <v>3</v>
      </c>
      <c r="I239" s="56">
        <v>0</v>
      </c>
      <c r="J239" s="56">
        <v>2026</v>
      </c>
      <c r="K239" s="52" t="s">
        <v>99</v>
      </c>
      <c r="L239" s="52" t="s">
        <v>137</v>
      </c>
      <c r="M239" s="52" t="s">
        <v>404</v>
      </c>
      <c r="N239" s="52" t="s">
        <v>394</v>
      </c>
      <c r="O239" s="52" t="str">
        <f t="shared" si="6"/>
        <v>Forestal</v>
      </c>
      <c r="P239" s="52" t="str">
        <f t="shared" si="7"/>
        <v>Local</v>
      </c>
      <c r="Q239" s="52">
        <v>3</v>
      </c>
      <c r="R239" s="52">
        <v>0</v>
      </c>
      <c r="S239" s="55" t="s">
        <v>397</v>
      </c>
      <c r="T239" s="53">
        <v>46230</v>
      </c>
    </row>
    <row r="240" spans="1:20" ht="12" customHeight="1">
      <c r="A240" s="51" t="s">
        <v>136</v>
      </c>
      <c r="B240" s="52">
        <v>4</v>
      </c>
      <c r="C240" s="53">
        <v>46194</v>
      </c>
      <c r="D240" s="54" t="s">
        <v>411</v>
      </c>
      <c r="E240" s="55" t="s">
        <v>205</v>
      </c>
      <c r="F240" s="55" t="s">
        <v>173</v>
      </c>
      <c r="G240" s="55" t="s">
        <v>166</v>
      </c>
      <c r="H240" s="56">
        <v>1</v>
      </c>
      <c r="I240" s="56">
        <v>3</v>
      </c>
      <c r="J240" s="56">
        <v>2026</v>
      </c>
      <c r="K240" s="52" t="s">
        <v>99</v>
      </c>
      <c r="L240" s="52" t="s">
        <v>137</v>
      </c>
      <c r="M240" s="52" t="s">
        <v>400</v>
      </c>
      <c r="N240" s="52" t="s">
        <v>405</v>
      </c>
      <c r="O240" s="52" t="str">
        <f t="shared" si="6"/>
        <v>Villa Alegre</v>
      </c>
      <c r="P240" s="52" t="str">
        <f t="shared" si="7"/>
        <v>Visita</v>
      </c>
      <c r="Q240" s="52">
        <v>0</v>
      </c>
      <c r="R240" s="52">
        <v>3</v>
      </c>
      <c r="S240" s="55" t="s">
        <v>397</v>
      </c>
      <c r="T240" s="53">
        <v>46230</v>
      </c>
    </row>
    <row r="241" spans="1:20" ht="12" customHeight="1">
      <c r="A241" s="51" t="s">
        <v>136</v>
      </c>
      <c r="B241" s="52">
        <v>4</v>
      </c>
      <c r="C241" s="53">
        <v>46194</v>
      </c>
      <c r="D241" s="54" t="s">
        <v>411</v>
      </c>
      <c r="E241" s="55" t="s">
        <v>210</v>
      </c>
      <c r="F241" s="55" t="s">
        <v>174</v>
      </c>
      <c r="G241" s="55" t="s">
        <v>172</v>
      </c>
      <c r="H241" s="56">
        <v>0</v>
      </c>
      <c r="I241" s="56">
        <v>1</v>
      </c>
      <c r="J241" s="56">
        <v>2026</v>
      </c>
      <c r="K241" s="52" t="s">
        <v>99</v>
      </c>
      <c r="L241" s="52" t="s">
        <v>137</v>
      </c>
      <c r="M241" s="52" t="s">
        <v>403</v>
      </c>
      <c r="N241" s="52" t="s">
        <v>406</v>
      </c>
      <c r="O241" s="52" t="str">
        <f t="shared" si="6"/>
        <v>Grinvasul</v>
      </c>
      <c r="P241" s="52" t="str">
        <f t="shared" si="7"/>
        <v>Visita</v>
      </c>
      <c r="Q241" s="52">
        <v>0</v>
      </c>
      <c r="R241" s="52">
        <v>3</v>
      </c>
      <c r="S241" s="55" t="s">
        <v>397</v>
      </c>
      <c r="T241" s="53">
        <v>46230</v>
      </c>
    </row>
    <row r="242" spans="1:20" ht="12" customHeight="1">
      <c r="A242" s="51" t="s">
        <v>136</v>
      </c>
      <c r="B242" s="52">
        <v>4</v>
      </c>
      <c r="C242" s="53">
        <v>46194</v>
      </c>
      <c r="D242" s="54" t="s">
        <v>411</v>
      </c>
      <c r="E242" s="55" t="s">
        <v>171</v>
      </c>
      <c r="F242" s="55" t="s">
        <v>170</v>
      </c>
      <c r="G242" s="55" t="s">
        <v>175</v>
      </c>
      <c r="H242" s="56">
        <v>1</v>
      </c>
      <c r="I242" s="56">
        <v>0</v>
      </c>
      <c r="J242" s="56">
        <v>2026</v>
      </c>
      <c r="K242" s="52" t="s">
        <v>99</v>
      </c>
      <c r="L242" s="52" t="s">
        <v>137</v>
      </c>
      <c r="M242" s="52" t="s">
        <v>404</v>
      </c>
      <c r="N242" s="52" t="s">
        <v>394</v>
      </c>
      <c r="O242" s="52" t="str">
        <f t="shared" si="6"/>
        <v>Forestal</v>
      </c>
      <c r="P242" s="52" t="str">
        <f t="shared" si="7"/>
        <v>Local</v>
      </c>
      <c r="Q242" s="52">
        <v>3</v>
      </c>
      <c r="R242" s="52">
        <v>0</v>
      </c>
      <c r="S242" s="55" t="s">
        <v>397</v>
      </c>
      <c r="T242" s="53">
        <v>46230</v>
      </c>
    </row>
    <row r="243" spans="1:20" ht="12" customHeight="1">
      <c r="A243" s="51" t="s">
        <v>136</v>
      </c>
      <c r="B243" s="52">
        <v>4</v>
      </c>
      <c r="C243" s="53">
        <v>46194</v>
      </c>
      <c r="D243" s="54" t="s">
        <v>411</v>
      </c>
      <c r="E243" s="55" t="s">
        <v>210</v>
      </c>
      <c r="F243" s="55" t="s">
        <v>176</v>
      </c>
      <c r="G243" s="55" t="s">
        <v>169</v>
      </c>
      <c r="H243" s="56">
        <v>2</v>
      </c>
      <c r="I243" s="56">
        <v>3</v>
      </c>
      <c r="J243" s="56">
        <v>2026</v>
      </c>
      <c r="K243" s="52" t="s">
        <v>99</v>
      </c>
      <c r="L243" s="52" t="s">
        <v>137</v>
      </c>
      <c r="M243" s="52" t="s">
        <v>405</v>
      </c>
      <c r="N243" s="52" t="s">
        <v>398</v>
      </c>
      <c r="O243" s="52" t="str">
        <f t="shared" si="6"/>
        <v>U.J. Lautaro</v>
      </c>
      <c r="P243" s="52" t="str">
        <f t="shared" si="7"/>
        <v>Visita</v>
      </c>
      <c r="Q243" s="52">
        <v>0</v>
      </c>
      <c r="R243" s="52">
        <v>3</v>
      </c>
      <c r="S243" s="55" t="s">
        <v>397</v>
      </c>
      <c r="T243" s="53">
        <v>46230</v>
      </c>
    </row>
    <row r="244" spans="1:20" ht="12" customHeight="1">
      <c r="A244" s="51" t="s">
        <v>136</v>
      </c>
      <c r="B244" s="52">
        <v>5</v>
      </c>
      <c r="C244" s="53">
        <v>46201</v>
      </c>
      <c r="D244" s="54" t="s">
        <v>411</v>
      </c>
      <c r="E244" s="55" t="s">
        <v>205</v>
      </c>
      <c r="F244" s="55" t="s">
        <v>166</v>
      </c>
      <c r="G244" s="55" t="s">
        <v>172</v>
      </c>
      <c r="H244" s="56">
        <v>1</v>
      </c>
      <c r="I244" s="56">
        <v>1</v>
      </c>
      <c r="J244" s="56">
        <v>2026</v>
      </c>
      <c r="K244" s="52" t="s">
        <v>99</v>
      </c>
      <c r="L244" s="52" t="s">
        <v>137</v>
      </c>
      <c r="M244" s="52" t="s">
        <v>403</v>
      </c>
      <c r="N244" s="52" t="s">
        <v>406</v>
      </c>
      <c r="O244" s="52" t="str">
        <f t="shared" si="6"/>
        <v>Empate</v>
      </c>
      <c r="P244" s="52" t="str">
        <f t="shared" si="7"/>
        <v>Empate</v>
      </c>
      <c r="Q244" s="52">
        <v>1</v>
      </c>
      <c r="R244" s="52">
        <v>1</v>
      </c>
      <c r="S244" s="55" t="s">
        <v>397</v>
      </c>
      <c r="T244" s="53">
        <v>46230</v>
      </c>
    </row>
    <row r="245" spans="1:20" ht="12" customHeight="1">
      <c r="A245" s="51" t="s">
        <v>136</v>
      </c>
      <c r="B245" s="52">
        <v>5</v>
      </c>
      <c r="C245" s="53">
        <v>46201</v>
      </c>
      <c r="D245" s="54" t="s">
        <v>411</v>
      </c>
      <c r="E245" s="55" t="s">
        <v>171</v>
      </c>
      <c r="F245" s="55" t="s">
        <v>170</v>
      </c>
      <c r="G245" s="55" t="s">
        <v>173</v>
      </c>
      <c r="H245" s="56">
        <v>6</v>
      </c>
      <c r="I245" s="56">
        <v>0</v>
      </c>
      <c r="J245" s="56">
        <v>2026</v>
      </c>
      <c r="K245" s="52" t="s">
        <v>99</v>
      </c>
      <c r="L245" s="52" t="s">
        <v>137</v>
      </c>
      <c r="M245" s="52" t="s">
        <v>404</v>
      </c>
      <c r="N245" s="52" t="s">
        <v>394</v>
      </c>
      <c r="O245" s="52" t="str">
        <f t="shared" si="6"/>
        <v>Forestal</v>
      </c>
      <c r="P245" s="52" t="str">
        <f t="shared" si="7"/>
        <v>Local</v>
      </c>
      <c r="Q245" s="52">
        <v>3</v>
      </c>
      <c r="R245" s="52">
        <v>0</v>
      </c>
      <c r="S245" s="55" t="s">
        <v>397</v>
      </c>
      <c r="T245" s="53">
        <v>46230</v>
      </c>
    </row>
    <row r="246" spans="1:20" ht="12" customHeight="1">
      <c r="A246" s="51" t="s">
        <v>136</v>
      </c>
      <c r="B246" s="52">
        <v>5</v>
      </c>
      <c r="C246" s="53">
        <v>46201</v>
      </c>
      <c r="D246" s="54" t="s">
        <v>411</v>
      </c>
      <c r="E246" s="55" t="s">
        <v>210</v>
      </c>
      <c r="F246" s="55" t="s">
        <v>174</v>
      </c>
      <c r="G246" s="55" t="s">
        <v>169</v>
      </c>
      <c r="H246" s="56">
        <v>1</v>
      </c>
      <c r="I246" s="56">
        <v>1</v>
      </c>
      <c r="J246" s="56">
        <v>2026</v>
      </c>
      <c r="K246" s="52" t="s">
        <v>99</v>
      </c>
      <c r="L246" s="52" t="s">
        <v>137</v>
      </c>
      <c r="M246" s="52" t="s">
        <v>405</v>
      </c>
      <c r="N246" s="52" t="s">
        <v>398</v>
      </c>
      <c r="O246" s="52" t="str">
        <f t="shared" si="6"/>
        <v>Empate</v>
      </c>
      <c r="P246" s="52" t="str">
        <f t="shared" si="7"/>
        <v>Empate</v>
      </c>
      <c r="Q246" s="52">
        <v>1</v>
      </c>
      <c r="R246" s="52">
        <v>1</v>
      </c>
      <c r="S246" s="55" t="s">
        <v>397</v>
      </c>
      <c r="T246" s="53">
        <v>46230</v>
      </c>
    </row>
    <row r="247" spans="1:20" ht="12" customHeight="1">
      <c r="A247" s="51" t="s">
        <v>136</v>
      </c>
      <c r="B247" s="52">
        <v>5</v>
      </c>
      <c r="C247" s="53">
        <v>46201</v>
      </c>
      <c r="D247" s="54" t="s">
        <v>411</v>
      </c>
      <c r="E247" s="55" t="s">
        <v>210</v>
      </c>
      <c r="F247" s="55" t="s">
        <v>176</v>
      </c>
      <c r="G247" s="55" t="s">
        <v>175</v>
      </c>
      <c r="H247" s="56">
        <v>3</v>
      </c>
      <c r="I247" s="56">
        <v>1</v>
      </c>
      <c r="J247" s="56">
        <v>2026</v>
      </c>
      <c r="K247" s="52" t="s">
        <v>99</v>
      </c>
      <c r="L247" s="52" t="s">
        <v>137</v>
      </c>
      <c r="M247" s="52" t="s">
        <v>406</v>
      </c>
      <c r="N247" s="52" t="s">
        <v>401</v>
      </c>
      <c r="O247" s="52" t="str">
        <f t="shared" si="6"/>
        <v>Maestranza</v>
      </c>
      <c r="P247" s="52" t="str">
        <f t="shared" si="7"/>
        <v>Local</v>
      </c>
      <c r="Q247" s="52">
        <v>3</v>
      </c>
      <c r="R247" s="52">
        <v>0</v>
      </c>
      <c r="S247" s="55" t="s">
        <v>397</v>
      </c>
      <c r="T247" s="53">
        <v>46230</v>
      </c>
    </row>
    <row r="248" spans="1:20" ht="12" customHeight="1">
      <c r="A248" s="51" t="s">
        <v>136</v>
      </c>
      <c r="B248" s="52">
        <v>6</v>
      </c>
      <c r="C248" s="53">
        <v>46208</v>
      </c>
      <c r="D248" s="54" t="s">
        <v>411</v>
      </c>
      <c r="E248" s="55" t="s">
        <v>171</v>
      </c>
      <c r="F248" s="55" t="s">
        <v>170</v>
      </c>
      <c r="G248" s="55" t="s">
        <v>166</v>
      </c>
      <c r="H248" s="56">
        <v>1</v>
      </c>
      <c r="I248" s="56">
        <v>0</v>
      </c>
      <c r="J248" s="56">
        <v>2026</v>
      </c>
      <c r="K248" s="52" t="s">
        <v>99</v>
      </c>
      <c r="L248" s="52" t="s">
        <v>137</v>
      </c>
      <c r="M248" s="52" t="s">
        <v>404</v>
      </c>
      <c r="N248" s="52" t="s">
        <v>394</v>
      </c>
      <c r="O248" s="52" t="str">
        <f t="shared" si="6"/>
        <v>Forestal</v>
      </c>
      <c r="P248" s="52" t="str">
        <f t="shared" si="7"/>
        <v>Local</v>
      </c>
      <c r="Q248" s="52">
        <v>3</v>
      </c>
      <c r="R248" s="52">
        <v>0</v>
      </c>
      <c r="S248" s="55" t="s">
        <v>397</v>
      </c>
      <c r="T248" s="53">
        <v>46230</v>
      </c>
    </row>
    <row r="249" spans="1:20" ht="12" customHeight="1">
      <c r="A249" s="51" t="s">
        <v>136</v>
      </c>
      <c r="B249" s="52">
        <v>6</v>
      </c>
      <c r="C249" s="53">
        <v>46208</v>
      </c>
      <c r="D249" s="54" t="s">
        <v>411</v>
      </c>
      <c r="E249" s="55" t="s">
        <v>210</v>
      </c>
      <c r="F249" s="55" t="s">
        <v>172</v>
      </c>
      <c r="G249" s="55" t="s">
        <v>169</v>
      </c>
      <c r="H249" s="56">
        <v>1</v>
      </c>
      <c r="I249" s="56">
        <v>0</v>
      </c>
      <c r="J249" s="56">
        <v>2026</v>
      </c>
      <c r="K249" s="52" t="s">
        <v>99</v>
      </c>
      <c r="L249" s="52" t="s">
        <v>137</v>
      </c>
      <c r="M249" s="52" t="s">
        <v>405</v>
      </c>
      <c r="N249" s="52" t="s">
        <v>398</v>
      </c>
      <c r="O249" s="52" t="str">
        <f t="shared" si="6"/>
        <v>Grinvasul</v>
      </c>
      <c r="P249" s="52" t="str">
        <f t="shared" si="7"/>
        <v>Local</v>
      </c>
      <c r="Q249" s="52">
        <v>3</v>
      </c>
      <c r="R249" s="52">
        <v>0</v>
      </c>
      <c r="S249" s="55" t="s">
        <v>397</v>
      </c>
      <c r="T249" s="53">
        <v>46230</v>
      </c>
    </row>
    <row r="250" spans="1:20" ht="12" customHeight="1">
      <c r="A250" s="51" t="s">
        <v>136</v>
      </c>
      <c r="B250" s="52">
        <v>6</v>
      </c>
      <c r="C250" s="53">
        <v>46208</v>
      </c>
      <c r="D250" s="54" t="s">
        <v>411</v>
      </c>
      <c r="E250" s="55" t="s">
        <v>210</v>
      </c>
      <c r="F250" s="55" t="s">
        <v>176</v>
      </c>
      <c r="G250" s="55" t="s">
        <v>173</v>
      </c>
      <c r="H250" s="56">
        <v>0</v>
      </c>
      <c r="I250" s="56">
        <v>0</v>
      </c>
      <c r="J250" s="56">
        <v>2026</v>
      </c>
      <c r="K250" s="52" t="s">
        <v>99</v>
      </c>
      <c r="L250" s="52" t="s">
        <v>137</v>
      </c>
      <c r="M250" s="52" t="s">
        <v>406</v>
      </c>
      <c r="N250" s="52" t="s">
        <v>401</v>
      </c>
      <c r="O250" s="52" t="str">
        <f t="shared" si="6"/>
        <v>Empate</v>
      </c>
      <c r="P250" s="52" t="str">
        <f t="shared" si="7"/>
        <v>Empate</v>
      </c>
      <c r="Q250" s="52">
        <v>1</v>
      </c>
      <c r="R250" s="52">
        <v>1</v>
      </c>
      <c r="S250" s="55" t="s">
        <v>397</v>
      </c>
      <c r="T250" s="53">
        <v>46230</v>
      </c>
    </row>
    <row r="251" spans="1:20" ht="12" customHeight="1">
      <c r="A251" s="51" t="s">
        <v>136</v>
      </c>
      <c r="B251" s="52">
        <v>6</v>
      </c>
      <c r="C251" s="53">
        <v>46208</v>
      </c>
      <c r="D251" s="54" t="s">
        <v>411</v>
      </c>
      <c r="E251" s="55" t="s">
        <v>210</v>
      </c>
      <c r="F251" s="55" t="s">
        <v>174</v>
      </c>
      <c r="G251" s="55" t="s">
        <v>175</v>
      </c>
      <c r="H251" s="56">
        <v>4</v>
      </c>
      <c r="I251" s="56">
        <v>1</v>
      </c>
      <c r="J251" s="56">
        <v>2026</v>
      </c>
      <c r="K251" s="52" t="s">
        <v>99</v>
      </c>
      <c r="L251" s="52" t="s">
        <v>137</v>
      </c>
      <c r="M251" s="52" t="s">
        <v>394</v>
      </c>
      <c r="N251" s="52" t="s">
        <v>395</v>
      </c>
      <c r="O251" s="52" t="str">
        <f t="shared" si="6"/>
        <v>Inca</v>
      </c>
      <c r="P251" s="52" t="str">
        <f t="shared" si="7"/>
        <v>Local</v>
      </c>
      <c r="Q251" s="52">
        <v>3</v>
      </c>
      <c r="R251" s="52">
        <v>0</v>
      </c>
      <c r="S251" s="55" t="s">
        <v>397</v>
      </c>
      <c r="T251" s="53">
        <v>46230</v>
      </c>
    </row>
    <row r="252" spans="1:20" ht="12" customHeight="1">
      <c r="A252" s="51" t="s">
        <v>136</v>
      </c>
      <c r="B252" s="52">
        <v>7</v>
      </c>
      <c r="C252" s="53">
        <v>46215</v>
      </c>
      <c r="D252" s="54" t="s">
        <v>411</v>
      </c>
      <c r="E252" s="55" t="s">
        <v>205</v>
      </c>
      <c r="F252" s="55" t="s">
        <v>166</v>
      </c>
      <c r="G252" s="55" t="s">
        <v>169</v>
      </c>
      <c r="H252" s="56">
        <v>0</v>
      </c>
      <c r="I252" s="56">
        <v>2</v>
      </c>
      <c r="J252" s="56">
        <v>2026</v>
      </c>
      <c r="K252" s="52" t="s">
        <v>99</v>
      </c>
      <c r="L252" s="52" t="s">
        <v>137</v>
      </c>
      <c r="M252" s="52" t="s">
        <v>405</v>
      </c>
      <c r="N252" s="52" t="s">
        <v>398</v>
      </c>
      <c r="O252" s="52" t="str">
        <f t="shared" si="6"/>
        <v>U.J. Lautaro</v>
      </c>
      <c r="P252" s="52" t="str">
        <f t="shared" si="7"/>
        <v>Visita</v>
      </c>
      <c r="Q252" s="52">
        <v>0</v>
      </c>
      <c r="R252" s="52">
        <v>3</v>
      </c>
      <c r="S252" s="55" t="s">
        <v>397</v>
      </c>
      <c r="T252" s="53">
        <v>46230</v>
      </c>
    </row>
    <row r="253" spans="1:20" ht="12" customHeight="1">
      <c r="A253" s="51" t="s">
        <v>136</v>
      </c>
      <c r="B253" s="52">
        <v>7</v>
      </c>
      <c r="C253" s="53">
        <v>46215</v>
      </c>
      <c r="D253" s="54" t="s">
        <v>411</v>
      </c>
      <c r="E253" s="55" t="s">
        <v>210</v>
      </c>
      <c r="F253" s="55" t="s">
        <v>176</v>
      </c>
      <c r="G253" s="55" t="s">
        <v>170</v>
      </c>
      <c r="H253" s="56">
        <v>3</v>
      </c>
      <c r="I253" s="56">
        <v>0</v>
      </c>
      <c r="J253" s="56">
        <v>2026</v>
      </c>
      <c r="K253" s="52" t="s">
        <v>99</v>
      </c>
      <c r="L253" s="52" t="s">
        <v>137</v>
      </c>
      <c r="M253" s="52" t="s">
        <v>406</v>
      </c>
      <c r="N253" s="52" t="s">
        <v>401</v>
      </c>
      <c r="O253" s="52" t="str">
        <f t="shared" si="6"/>
        <v>Maestranza</v>
      </c>
      <c r="P253" s="52" t="str">
        <f t="shared" si="7"/>
        <v>Local</v>
      </c>
      <c r="Q253" s="52">
        <v>3</v>
      </c>
      <c r="R253" s="52">
        <v>0</v>
      </c>
      <c r="S253" s="55" t="s">
        <v>397</v>
      </c>
      <c r="T253" s="53">
        <v>46230</v>
      </c>
    </row>
    <row r="254" spans="1:20" ht="12" customHeight="1">
      <c r="A254" s="51" t="s">
        <v>136</v>
      </c>
      <c r="B254" s="52">
        <v>7</v>
      </c>
      <c r="C254" s="53">
        <v>46215</v>
      </c>
      <c r="D254" s="54" t="s">
        <v>411</v>
      </c>
      <c r="E254" s="55" t="s">
        <v>210</v>
      </c>
      <c r="F254" s="55" t="s">
        <v>172</v>
      </c>
      <c r="G254" s="55" t="s">
        <v>175</v>
      </c>
      <c r="H254" s="56">
        <v>2</v>
      </c>
      <c r="I254" s="56">
        <v>1</v>
      </c>
      <c r="J254" s="56">
        <v>2026</v>
      </c>
      <c r="K254" s="52" t="s">
        <v>99</v>
      </c>
      <c r="L254" s="52" t="s">
        <v>137</v>
      </c>
      <c r="M254" s="52" t="s">
        <v>394</v>
      </c>
      <c r="N254" s="52" t="s">
        <v>395</v>
      </c>
      <c r="O254" s="52" t="str">
        <f t="shared" si="6"/>
        <v>Grinvasul</v>
      </c>
      <c r="P254" s="52" t="str">
        <f t="shared" si="7"/>
        <v>Local</v>
      </c>
      <c r="Q254" s="52">
        <v>3</v>
      </c>
      <c r="R254" s="52">
        <v>0</v>
      </c>
      <c r="S254" s="55" t="s">
        <v>397</v>
      </c>
      <c r="T254" s="53">
        <v>46230</v>
      </c>
    </row>
    <row r="255" spans="1:20" ht="12" customHeight="1">
      <c r="A255" s="51" t="s">
        <v>136</v>
      </c>
      <c r="B255" s="52">
        <v>7</v>
      </c>
      <c r="C255" s="53">
        <v>46215</v>
      </c>
      <c r="D255" s="54" t="s">
        <v>411</v>
      </c>
      <c r="E255" s="55" t="s">
        <v>210</v>
      </c>
      <c r="F255" s="55" t="s">
        <v>174</v>
      </c>
      <c r="G255" s="55" t="s">
        <v>173</v>
      </c>
      <c r="H255" s="56">
        <v>3</v>
      </c>
      <c r="I255" s="56">
        <v>0</v>
      </c>
      <c r="J255" s="56">
        <v>2026</v>
      </c>
      <c r="K255" s="52" t="s">
        <v>99</v>
      </c>
      <c r="L255" s="52" t="s">
        <v>137</v>
      </c>
      <c r="M255" s="52" t="s">
        <v>398</v>
      </c>
      <c r="N255" s="52" t="s">
        <v>399</v>
      </c>
      <c r="O255" s="52" t="str">
        <f t="shared" si="6"/>
        <v>Inca</v>
      </c>
      <c r="P255" s="52" t="str">
        <f t="shared" si="7"/>
        <v>Local</v>
      </c>
      <c r="Q255" s="52">
        <v>3</v>
      </c>
      <c r="R255" s="52">
        <v>0</v>
      </c>
      <c r="S255" s="55" t="s">
        <v>397</v>
      </c>
      <c r="T255" s="53">
        <v>46230</v>
      </c>
    </row>
    <row r="256" spans="1:20" ht="12" customHeight="1">
      <c r="A256" s="51" t="s">
        <v>136</v>
      </c>
      <c r="B256" s="52">
        <v>8</v>
      </c>
      <c r="C256" s="53">
        <v>46222</v>
      </c>
      <c r="D256" s="54" t="s">
        <v>411</v>
      </c>
      <c r="E256" s="55" t="s">
        <v>210</v>
      </c>
      <c r="F256" s="55" t="s">
        <v>176</v>
      </c>
      <c r="G256" s="55" t="s">
        <v>166</v>
      </c>
      <c r="H256" s="56">
        <v>2</v>
      </c>
      <c r="I256" s="56">
        <v>3</v>
      </c>
      <c r="J256" s="56">
        <v>2026</v>
      </c>
      <c r="K256" s="52" t="s">
        <v>99</v>
      </c>
      <c r="L256" s="52" t="s">
        <v>137</v>
      </c>
      <c r="M256" s="52" t="s">
        <v>406</v>
      </c>
      <c r="N256" s="52" t="s">
        <v>401</v>
      </c>
      <c r="O256" s="52" t="str">
        <f t="shared" si="6"/>
        <v>Villa Alegre</v>
      </c>
      <c r="P256" s="52" t="str">
        <f t="shared" si="7"/>
        <v>Visita</v>
      </c>
      <c r="Q256" s="52">
        <v>0</v>
      </c>
      <c r="R256" s="52">
        <v>3</v>
      </c>
      <c r="S256" s="55" t="s">
        <v>397</v>
      </c>
      <c r="T256" s="53">
        <v>46230</v>
      </c>
    </row>
    <row r="257" spans="1:20" ht="12" customHeight="1">
      <c r="A257" s="51" t="s">
        <v>136</v>
      </c>
      <c r="B257" s="52">
        <v>8</v>
      </c>
      <c r="C257" s="53">
        <v>46222</v>
      </c>
      <c r="D257" s="54" t="s">
        <v>411</v>
      </c>
      <c r="E257" s="55" t="s">
        <v>207</v>
      </c>
      <c r="F257" s="55" t="s">
        <v>169</v>
      </c>
      <c r="G257" s="55" t="s">
        <v>175</v>
      </c>
      <c r="H257" s="56">
        <v>4</v>
      </c>
      <c r="I257" s="56">
        <v>1</v>
      </c>
      <c r="J257" s="56">
        <v>2026</v>
      </c>
      <c r="K257" s="52" t="s">
        <v>99</v>
      </c>
      <c r="L257" s="52" t="s">
        <v>137</v>
      </c>
      <c r="M257" s="52" t="s">
        <v>394</v>
      </c>
      <c r="N257" s="52" t="s">
        <v>395</v>
      </c>
      <c r="O257" s="52" t="str">
        <f t="shared" si="6"/>
        <v>U.J. Lautaro</v>
      </c>
      <c r="P257" s="52" t="str">
        <f t="shared" si="7"/>
        <v>Local</v>
      </c>
      <c r="Q257" s="52">
        <v>3</v>
      </c>
      <c r="R257" s="52">
        <v>0</v>
      </c>
      <c r="S257" s="55" t="s">
        <v>397</v>
      </c>
      <c r="T257" s="53">
        <v>46230</v>
      </c>
    </row>
    <row r="258" spans="1:20" ht="12" customHeight="1">
      <c r="A258" s="51" t="s">
        <v>136</v>
      </c>
      <c r="B258" s="52">
        <v>8</v>
      </c>
      <c r="C258" s="53">
        <v>46222</v>
      </c>
      <c r="D258" s="54" t="s">
        <v>411</v>
      </c>
      <c r="E258" s="55" t="s">
        <v>210</v>
      </c>
      <c r="F258" s="55" t="s">
        <v>174</v>
      </c>
      <c r="G258" s="55" t="s">
        <v>170</v>
      </c>
      <c r="H258" s="56">
        <v>0</v>
      </c>
      <c r="I258" s="56">
        <v>3</v>
      </c>
      <c r="J258" s="56">
        <v>2026</v>
      </c>
      <c r="K258" s="52" t="s">
        <v>99</v>
      </c>
      <c r="L258" s="52" t="s">
        <v>137</v>
      </c>
      <c r="M258" s="52" t="s">
        <v>398</v>
      </c>
      <c r="N258" s="52" t="s">
        <v>399</v>
      </c>
      <c r="O258" s="52" t="str">
        <f t="shared" si="6"/>
        <v>Forestal</v>
      </c>
      <c r="P258" s="52" t="str">
        <f t="shared" si="7"/>
        <v>Visita</v>
      </c>
      <c r="Q258" s="52">
        <v>0</v>
      </c>
      <c r="R258" s="52">
        <v>3</v>
      </c>
      <c r="S258" s="55" t="s">
        <v>397</v>
      </c>
      <c r="T258" s="53">
        <v>46230</v>
      </c>
    </row>
    <row r="259" spans="1:20" ht="12" customHeight="1">
      <c r="A259" s="51" t="s">
        <v>136</v>
      </c>
      <c r="B259" s="52">
        <v>8</v>
      </c>
      <c r="C259" s="53">
        <v>46222</v>
      </c>
      <c r="D259" s="54" t="s">
        <v>411</v>
      </c>
      <c r="E259" s="55" t="s">
        <v>210</v>
      </c>
      <c r="F259" s="55" t="s">
        <v>172</v>
      </c>
      <c r="G259" s="55" t="s">
        <v>173</v>
      </c>
      <c r="H259" s="56">
        <v>1</v>
      </c>
      <c r="I259" s="56">
        <v>0</v>
      </c>
      <c r="J259" s="56">
        <v>2026</v>
      </c>
      <c r="K259" s="52" t="s">
        <v>99</v>
      </c>
      <c r="L259" s="52" t="s">
        <v>137</v>
      </c>
      <c r="M259" s="52" t="s">
        <v>401</v>
      </c>
      <c r="N259" s="52" t="s">
        <v>402</v>
      </c>
      <c r="O259" s="52" t="str">
        <f t="shared" si="6"/>
        <v>Grinvasul</v>
      </c>
      <c r="P259" s="52" t="str">
        <f t="shared" si="7"/>
        <v>Local</v>
      </c>
      <c r="Q259" s="52">
        <v>3</v>
      </c>
      <c r="R259" s="52">
        <v>0</v>
      </c>
      <c r="S259" s="55" t="s">
        <v>397</v>
      </c>
      <c r="T259" s="53">
        <v>46230</v>
      </c>
    </row>
    <row r="260" spans="1:20" ht="12" customHeight="1">
      <c r="A260" s="51" t="s">
        <v>136</v>
      </c>
      <c r="B260" s="52">
        <v>9</v>
      </c>
      <c r="C260" s="53">
        <v>46229</v>
      </c>
      <c r="D260" s="54" t="s">
        <v>411</v>
      </c>
      <c r="E260" s="55" t="s">
        <v>205</v>
      </c>
      <c r="F260" s="55" t="s">
        <v>166</v>
      </c>
      <c r="G260" s="55" t="s">
        <v>175</v>
      </c>
      <c r="H260" s="56">
        <v>1</v>
      </c>
      <c r="I260" s="56">
        <v>0</v>
      </c>
      <c r="J260" s="56">
        <v>2026</v>
      </c>
      <c r="K260" s="52" t="s">
        <v>99</v>
      </c>
      <c r="L260" s="52" t="s">
        <v>137</v>
      </c>
      <c r="M260" s="52" t="s">
        <v>394</v>
      </c>
      <c r="N260" s="52" t="s">
        <v>395</v>
      </c>
      <c r="O260" s="52" t="str">
        <f t="shared" ref="O260:O323" si="8">IF(OR(L260&lt;&gt;"Finalizado",H260="",I260=""),"",IF(H260&gt;I260,F260,IF(I260&gt;H260,G260,"Empate")))</f>
        <v>Villa Alegre</v>
      </c>
      <c r="P260" s="52" t="str">
        <f t="shared" ref="P260:P323" si="9">IF(OR(L260&lt;&gt;"Finalizado",H260="",I260=""),"",IF(H260=I260,"Empate",IF(H260&gt;I260,"Local","Visita")))</f>
        <v>Local</v>
      </c>
      <c r="Q260" s="52">
        <v>3</v>
      </c>
      <c r="R260" s="52">
        <v>0</v>
      </c>
      <c r="S260" s="55" t="s">
        <v>397</v>
      </c>
      <c r="T260" s="53">
        <v>46230</v>
      </c>
    </row>
    <row r="261" spans="1:20" ht="12" customHeight="1">
      <c r="A261" s="51" t="s">
        <v>136</v>
      </c>
      <c r="B261" s="52">
        <v>9</v>
      </c>
      <c r="C261" s="53">
        <v>46229</v>
      </c>
      <c r="D261" s="54" t="s">
        <v>411</v>
      </c>
      <c r="E261" s="55" t="s">
        <v>210</v>
      </c>
      <c r="F261" s="55" t="s">
        <v>174</v>
      </c>
      <c r="G261" s="55" t="s">
        <v>176</v>
      </c>
      <c r="H261" s="56">
        <v>0</v>
      </c>
      <c r="I261" s="56">
        <v>1</v>
      </c>
      <c r="J261" s="56">
        <v>2026</v>
      </c>
      <c r="K261" s="52" t="s">
        <v>99</v>
      </c>
      <c r="L261" s="52" t="s">
        <v>137</v>
      </c>
      <c r="M261" s="52" t="s">
        <v>398</v>
      </c>
      <c r="N261" s="52" t="s">
        <v>399</v>
      </c>
      <c r="O261" s="52" t="str">
        <f t="shared" si="8"/>
        <v>Maestranza</v>
      </c>
      <c r="P261" s="52" t="str">
        <f t="shared" si="9"/>
        <v>Visita</v>
      </c>
      <c r="Q261" s="52">
        <v>0</v>
      </c>
      <c r="R261" s="52">
        <v>3</v>
      </c>
      <c r="S261" s="55" t="s">
        <v>397</v>
      </c>
      <c r="T261" s="53">
        <v>46230</v>
      </c>
    </row>
    <row r="262" spans="1:20" ht="12" customHeight="1">
      <c r="A262" s="51" t="s">
        <v>136</v>
      </c>
      <c r="B262" s="52">
        <v>9</v>
      </c>
      <c r="C262" s="53">
        <v>46229</v>
      </c>
      <c r="D262" s="54" t="s">
        <v>411</v>
      </c>
      <c r="E262" s="55" t="s">
        <v>207</v>
      </c>
      <c r="F262" s="55" t="s">
        <v>169</v>
      </c>
      <c r="G262" s="55" t="s">
        <v>173</v>
      </c>
      <c r="H262" s="56">
        <v>2</v>
      </c>
      <c r="I262" s="56">
        <v>0</v>
      </c>
      <c r="J262" s="56">
        <v>2026</v>
      </c>
      <c r="K262" s="52" t="s">
        <v>99</v>
      </c>
      <c r="L262" s="52" t="s">
        <v>137</v>
      </c>
      <c r="M262" s="52" t="s">
        <v>401</v>
      </c>
      <c r="N262" s="52" t="s">
        <v>402</v>
      </c>
      <c r="O262" s="52" t="str">
        <f t="shared" si="8"/>
        <v>U.J. Lautaro</v>
      </c>
      <c r="P262" s="52" t="str">
        <f t="shared" si="9"/>
        <v>Local</v>
      </c>
      <c r="Q262" s="52">
        <v>3</v>
      </c>
      <c r="R262" s="52">
        <v>0</v>
      </c>
      <c r="S262" s="55" t="s">
        <v>397</v>
      </c>
      <c r="T262" s="53">
        <v>46230</v>
      </c>
    </row>
    <row r="263" spans="1:20" ht="12" customHeight="1">
      <c r="A263" s="51" t="s">
        <v>136</v>
      </c>
      <c r="B263" s="52">
        <v>9</v>
      </c>
      <c r="C263" s="53">
        <v>46229</v>
      </c>
      <c r="D263" s="54" t="s">
        <v>411</v>
      </c>
      <c r="E263" s="55" t="s">
        <v>210</v>
      </c>
      <c r="F263" s="55" t="s">
        <v>172</v>
      </c>
      <c r="G263" s="55" t="s">
        <v>170</v>
      </c>
      <c r="H263" s="56">
        <v>0</v>
      </c>
      <c r="I263" s="56">
        <v>2</v>
      </c>
      <c r="J263" s="56">
        <v>2026</v>
      </c>
      <c r="K263" s="52" t="s">
        <v>99</v>
      </c>
      <c r="L263" s="52" t="s">
        <v>137</v>
      </c>
      <c r="M263" s="52" t="s">
        <v>395</v>
      </c>
      <c r="N263" s="52" t="s">
        <v>396</v>
      </c>
      <c r="O263" s="52" t="str">
        <f t="shared" si="8"/>
        <v>Forestal</v>
      </c>
      <c r="P263" s="52" t="str">
        <f t="shared" si="9"/>
        <v>Visita</v>
      </c>
      <c r="Q263" s="52">
        <v>0</v>
      </c>
      <c r="R263" s="52">
        <v>3</v>
      </c>
      <c r="S263" s="55" t="s">
        <v>397</v>
      </c>
      <c r="T263" s="53">
        <v>46230</v>
      </c>
    </row>
    <row r="264" spans="1:20" ht="12" customHeight="1">
      <c r="A264" s="51" t="s">
        <v>136</v>
      </c>
      <c r="B264" s="52">
        <v>10</v>
      </c>
      <c r="C264" s="53">
        <v>46236</v>
      </c>
      <c r="D264" s="54" t="s">
        <v>411</v>
      </c>
      <c r="E264" s="55" t="s">
        <v>210</v>
      </c>
      <c r="F264" s="55" t="s">
        <v>174</v>
      </c>
      <c r="G264" s="55" t="s">
        <v>166</v>
      </c>
      <c r="H264" s="56"/>
      <c r="I264" s="56"/>
      <c r="J264" s="56">
        <v>2026</v>
      </c>
      <c r="K264" s="52" t="s">
        <v>99</v>
      </c>
      <c r="L264" s="52" t="s">
        <v>88</v>
      </c>
      <c r="M264" s="52" t="s">
        <v>398</v>
      </c>
      <c r="N264" s="52" t="s">
        <v>399</v>
      </c>
      <c r="O264" s="52" t="str">
        <f t="shared" si="8"/>
        <v/>
      </c>
      <c r="P264" s="52" t="str">
        <f t="shared" si="9"/>
        <v/>
      </c>
      <c r="Q264" s="52"/>
      <c r="R264" s="52"/>
      <c r="S264" s="55" t="s">
        <v>407</v>
      </c>
      <c r="T264" s="53">
        <v>46230</v>
      </c>
    </row>
    <row r="265" spans="1:20" ht="12" customHeight="1">
      <c r="A265" s="51" t="s">
        <v>136</v>
      </c>
      <c r="B265" s="52">
        <v>10</v>
      </c>
      <c r="C265" s="53">
        <v>46236</v>
      </c>
      <c r="D265" s="54" t="s">
        <v>411</v>
      </c>
      <c r="E265" s="55" t="s">
        <v>207</v>
      </c>
      <c r="F265" s="55" t="s">
        <v>175</v>
      </c>
      <c r="G265" s="55" t="s">
        <v>173</v>
      </c>
      <c r="H265" s="56"/>
      <c r="I265" s="56"/>
      <c r="J265" s="56">
        <v>2026</v>
      </c>
      <c r="K265" s="52" t="s">
        <v>99</v>
      </c>
      <c r="L265" s="52" t="s">
        <v>88</v>
      </c>
      <c r="M265" s="52" t="s">
        <v>401</v>
      </c>
      <c r="N265" s="52" t="s">
        <v>402</v>
      </c>
      <c r="O265" s="52" t="str">
        <f t="shared" si="8"/>
        <v/>
      </c>
      <c r="P265" s="52" t="str">
        <f t="shared" si="9"/>
        <v/>
      </c>
      <c r="Q265" s="52"/>
      <c r="R265" s="52"/>
      <c r="S265" s="55" t="s">
        <v>407</v>
      </c>
      <c r="T265" s="53">
        <v>46230</v>
      </c>
    </row>
    <row r="266" spans="1:20" ht="12" customHeight="1">
      <c r="A266" s="51" t="s">
        <v>136</v>
      </c>
      <c r="B266" s="52">
        <v>10</v>
      </c>
      <c r="C266" s="53">
        <v>46236</v>
      </c>
      <c r="D266" s="54" t="s">
        <v>411</v>
      </c>
      <c r="E266" s="55" t="s">
        <v>210</v>
      </c>
      <c r="F266" s="55" t="s">
        <v>172</v>
      </c>
      <c r="G266" s="55" t="s">
        <v>176</v>
      </c>
      <c r="H266" s="56"/>
      <c r="I266" s="56"/>
      <c r="J266" s="56">
        <v>2026</v>
      </c>
      <c r="K266" s="52" t="s">
        <v>99</v>
      </c>
      <c r="L266" s="52" t="s">
        <v>88</v>
      </c>
      <c r="M266" s="52" t="s">
        <v>395</v>
      </c>
      <c r="N266" s="52" t="s">
        <v>396</v>
      </c>
      <c r="O266" s="52" t="str">
        <f t="shared" si="8"/>
        <v/>
      </c>
      <c r="P266" s="52" t="str">
        <f t="shared" si="9"/>
        <v/>
      </c>
      <c r="Q266" s="52"/>
      <c r="R266" s="52"/>
      <c r="S266" s="55" t="s">
        <v>407</v>
      </c>
      <c r="T266" s="53">
        <v>46230</v>
      </c>
    </row>
    <row r="267" spans="1:20" ht="12" customHeight="1">
      <c r="A267" s="51" t="s">
        <v>136</v>
      </c>
      <c r="B267" s="52">
        <v>10</v>
      </c>
      <c r="C267" s="53">
        <v>46236</v>
      </c>
      <c r="D267" s="54" t="s">
        <v>411</v>
      </c>
      <c r="E267" s="55" t="s">
        <v>207</v>
      </c>
      <c r="F267" s="55" t="s">
        <v>169</v>
      </c>
      <c r="G267" s="55" t="s">
        <v>170</v>
      </c>
      <c r="H267" s="56"/>
      <c r="I267" s="56"/>
      <c r="J267" s="56">
        <v>2026</v>
      </c>
      <c r="K267" s="52" t="s">
        <v>99</v>
      </c>
      <c r="L267" s="52" t="s">
        <v>88</v>
      </c>
      <c r="M267" s="52" t="s">
        <v>399</v>
      </c>
      <c r="N267" s="52" t="s">
        <v>400</v>
      </c>
      <c r="O267" s="52" t="str">
        <f t="shared" si="8"/>
        <v/>
      </c>
      <c r="P267" s="52" t="str">
        <f t="shared" si="9"/>
        <v/>
      </c>
      <c r="Q267" s="52"/>
      <c r="R267" s="52"/>
      <c r="S267" s="55" t="s">
        <v>407</v>
      </c>
      <c r="T267" s="53">
        <v>46230</v>
      </c>
    </row>
    <row r="268" spans="1:20" ht="12" customHeight="1">
      <c r="A268" s="51" t="s">
        <v>136</v>
      </c>
      <c r="B268" s="52">
        <v>11</v>
      </c>
      <c r="C268" s="53">
        <v>46243</v>
      </c>
      <c r="D268" s="54" t="s">
        <v>411</v>
      </c>
      <c r="E268" s="55" t="s">
        <v>205</v>
      </c>
      <c r="F268" s="55" t="s">
        <v>166</v>
      </c>
      <c r="G268" s="55" t="s">
        <v>173</v>
      </c>
      <c r="H268" s="56"/>
      <c r="I268" s="56"/>
      <c r="J268" s="56">
        <v>2026</v>
      </c>
      <c r="K268" s="52" t="s">
        <v>99</v>
      </c>
      <c r="L268" s="52" t="s">
        <v>88</v>
      </c>
      <c r="M268" s="52" t="s">
        <v>401</v>
      </c>
      <c r="N268" s="52" t="s">
        <v>402</v>
      </c>
      <c r="O268" s="52" t="str">
        <f t="shared" si="8"/>
        <v/>
      </c>
      <c r="P268" s="52" t="str">
        <f t="shared" si="9"/>
        <v/>
      </c>
      <c r="Q268" s="52"/>
      <c r="R268" s="52"/>
      <c r="S268" s="55" t="s">
        <v>407</v>
      </c>
      <c r="T268" s="53">
        <v>46230</v>
      </c>
    </row>
    <row r="269" spans="1:20" ht="12" customHeight="1">
      <c r="A269" s="51" t="s">
        <v>136</v>
      </c>
      <c r="B269" s="52">
        <v>11</v>
      </c>
      <c r="C269" s="53">
        <v>46243</v>
      </c>
      <c r="D269" s="54" t="s">
        <v>411</v>
      </c>
      <c r="E269" s="55" t="s">
        <v>210</v>
      </c>
      <c r="F269" s="55" t="s">
        <v>172</v>
      </c>
      <c r="G269" s="55" t="s">
        <v>174</v>
      </c>
      <c r="H269" s="56"/>
      <c r="I269" s="56"/>
      <c r="J269" s="56">
        <v>2026</v>
      </c>
      <c r="K269" s="52" t="s">
        <v>99</v>
      </c>
      <c r="L269" s="52" t="s">
        <v>88</v>
      </c>
      <c r="M269" s="52" t="s">
        <v>395</v>
      </c>
      <c r="N269" s="52" t="s">
        <v>396</v>
      </c>
      <c r="O269" s="52" t="str">
        <f t="shared" si="8"/>
        <v/>
      </c>
      <c r="P269" s="52" t="str">
        <f t="shared" si="9"/>
        <v/>
      </c>
      <c r="Q269" s="52"/>
      <c r="R269" s="52"/>
      <c r="S269" s="55" t="s">
        <v>407</v>
      </c>
      <c r="T269" s="53">
        <v>46230</v>
      </c>
    </row>
    <row r="270" spans="1:20" ht="12" customHeight="1">
      <c r="A270" s="51" t="s">
        <v>136</v>
      </c>
      <c r="B270" s="52">
        <v>11</v>
      </c>
      <c r="C270" s="53">
        <v>46243</v>
      </c>
      <c r="D270" s="54" t="s">
        <v>411</v>
      </c>
      <c r="E270" s="55" t="s">
        <v>207</v>
      </c>
      <c r="F270" s="55" t="s">
        <v>175</v>
      </c>
      <c r="G270" s="55" t="s">
        <v>170</v>
      </c>
      <c r="H270" s="56"/>
      <c r="I270" s="56"/>
      <c r="J270" s="56">
        <v>2026</v>
      </c>
      <c r="K270" s="52" t="s">
        <v>99</v>
      </c>
      <c r="L270" s="52" t="s">
        <v>88</v>
      </c>
      <c r="M270" s="52" t="s">
        <v>399</v>
      </c>
      <c r="N270" s="52" t="s">
        <v>400</v>
      </c>
      <c r="O270" s="52" t="str">
        <f t="shared" si="8"/>
        <v/>
      </c>
      <c r="P270" s="52" t="str">
        <f t="shared" si="9"/>
        <v/>
      </c>
      <c r="Q270" s="52"/>
      <c r="R270" s="52"/>
      <c r="S270" s="55" t="s">
        <v>407</v>
      </c>
      <c r="T270" s="53">
        <v>46230</v>
      </c>
    </row>
    <row r="271" spans="1:20" ht="12" customHeight="1">
      <c r="A271" s="51" t="s">
        <v>136</v>
      </c>
      <c r="B271" s="52">
        <v>11</v>
      </c>
      <c r="C271" s="53">
        <v>46243</v>
      </c>
      <c r="D271" s="54" t="s">
        <v>411</v>
      </c>
      <c r="E271" s="55" t="s">
        <v>207</v>
      </c>
      <c r="F271" s="55" t="s">
        <v>169</v>
      </c>
      <c r="G271" s="55" t="s">
        <v>176</v>
      </c>
      <c r="H271" s="56"/>
      <c r="I271" s="56"/>
      <c r="J271" s="56">
        <v>2026</v>
      </c>
      <c r="K271" s="52" t="s">
        <v>99</v>
      </c>
      <c r="L271" s="52" t="s">
        <v>88</v>
      </c>
      <c r="M271" s="52" t="s">
        <v>402</v>
      </c>
      <c r="N271" s="52" t="s">
        <v>403</v>
      </c>
      <c r="O271" s="52" t="str">
        <f t="shared" si="8"/>
        <v/>
      </c>
      <c r="P271" s="52" t="str">
        <f t="shared" si="9"/>
        <v/>
      </c>
      <c r="Q271" s="52"/>
      <c r="R271" s="52"/>
      <c r="S271" s="55" t="s">
        <v>407</v>
      </c>
      <c r="T271" s="53">
        <v>46230</v>
      </c>
    </row>
    <row r="272" spans="1:20" ht="12" customHeight="1">
      <c r="A272" s="51" t="s">
        <v>136</v>
      </c>
      <c r="B272" s="52">
        <v>12</v>
      </c>
      <c r="C272" s="53">
        <v>46250</v>
      </c>
      <c r="D272" s="54" t="s">
        <v>411</v>
      </c>
      <c r="E272" s="55" t="s">
        <v>210</v>
      </c>
      <c r="F272" s="55" t="s">
        <v>172</v>
      </c>
      <c r="G272" s="55" t="s">
        <v>166</v>
      </c>
      <c r="H272" s="56"/>
      <c r="I272" s="56"/>
      <c r="J272" s="56">
        <v>2026</v>
      </c>
      <c r="K272" s="52" t="s">
        <v>99</v>
      </c>
      <c r="L272" s="52" t="s">
        <v>88</v>
      </c>
      <c r="M272" s="52" t="s">
        <v>395</v>
      </c>
      <c r="N272" s="52" t="s">
        <v>396</v>
      </c>
      <c r="O272" s="52" t="str">
        <f t="shared" si="8"/>
        <v/>
      </c>
      <c r="P272" s="52" t="str">
        <f t="shared" si="9"/>
        <v/>
      </c>
      <c r="Q272" s="52"/>
      <c r="R272" s="52"/>
      <c r="S272" s="55" t="s">
        <v>407</v>
      </c>
      <c r="T272" s="53">
        <v>46230</v>
      </c>
    </row>
    <row r="273" spans="1:20" ht="12" customHeight="1">
      <c r="A273" s="51" t="s">
        <v>136</v>
      </c>
      <c r="B273" s="52">
        <v>12</v>
      </c>
      <c r="C273" s="53">
        <v>46250</v>
      </c>
      <c r="D273" s="54" t="s">
        <v>411</v>
      </c>
      <c r="E273" s="55" t="s">
        <v>205</v>
      </c>
      <c r="F273" s="55" t="s">
        <v>173</v>
      </c>
      <c r="G273" s="55" t="s">
        <v>170</v>
      </c>
      <c r="H273" s="56"/>
      <c r="I273" s="56"/>
      <c r="J273" s="56">
        <v>2026</v>
      </c>
      <c r="K273" s="52" t="s">
        <v>99</v>
      </c>
      <c r="L273" s="52" t="s">
        <v>88</v>
      </c>
      <c r="M273" s="52" t="s">
        <v>399</v>
      </c>
      <c r="N273" s="52" t="s">
        <v>400</v>
      </c>
      <c r="O273" s="52" t="str">
        <f t="shared" si="8"/>
        <v/>
      </c>
      <c r="P273" s="52" t="str">
        <f t="shared" si="9"/>
        <v/>
      </c>
      <c r="Q273" s="52"/>
      <c r="R273" s="52"/>
      <c r="S273" s="55" t="s">
        <v>407</v>
      </c>
      <c r="T273" s="53">
        <v>46230</v>
      </c>
    </row>
    <row r="274" spans="1:20" ht="12" customHeight="1">
      <c r="A274" s="51" t="s">
        <v>136</v>
      </c>
      <c r="B274" s="52">
        <v>12</v>
      </c>
      <c r="C274" s="53">
        <v>46250</v>
      </c>
      <c r="D274" s="54" t="s">
        <v>411</v>
      </c>
      <c r="E274" s="55" t="s">
        <v>207</v>
      </c>
      <c r="F274" s="55" t="s">
        <v>169</v>
      </c>
      <c r="G274" s="55" t="s">
        <v>174</v>
      </c>
      <c r="H274" s="56"/>
      <c r="I274" s="56"/>
      <c r="J274" s="56">
        <v>2026</v>
      </c>
      <c r="K274" s="52" t="s">
        <v>99</v>
      </c>
      <c r="L274" s="52" t="s">
        <v>88</v>
      </c>
      <c r="M274" s="52" t="s">
        <v>402</v>
      </c>
      <c r="N274" s="52" t="s">
        <v>403</v>
      </c>
      <c r="O274" s="52" t="str">
        <f t="shared" si="8"/>
        <v/>
      </c>
      <c r="P274" s="52" t="str">
        <f t="shared" si="9"/>
        <v/>
      </c>
      <c r="Q274" s="52"/>
      <c r="R274" s="52"/>
      <c r="S274" s="55" t="s">
        <v>407</v>
      </c>
      <c r="T274" s="53">
        <v>46230</v>
      </c>
    </row>
    <row r="275" spans="1:20" ht="12" customHeight="1">
      <c r="A275" s="51" t="s">
        <v>136</v>
      </c>
      <c r="B275" s="52">
        <v>12</v>
      </c>
      <c r="C275" s="53">
        <v>46250</v>
      </c>
      <c r="D275" s="54" t="s">
        <v>411</v>
      </c>
      <c r="E275" s="55" t="s">
        <v>207</v>
      </c>
      <c r="F275" s="55" t="s">
        <v>175</v>
      </c>
      <c r="G275" s="55" t="s">
        <v>176</v>
      </c>
      <c r="H275" s="56"/>
      <c r="I275" s="56"/>
      <c r="J275" s="56">
        <v>2026</v>
      </c>
      <c r="K275" s="52" t="s">
        <v>99</v>
      </c>
      <c r="L275" s="52" t="s">
        <v>88</v>
      </c>
      <c r="M275" s="52" t="s">
        <v>396</v>
      </c>
      <c r="N275" s="52" t="s">
        <v>404</v>
      </c>
      <c r="O275" s="52" t="str">
        <f t="shared" si="8"/>
        <v/>
      </c>
      <c r="P275" s="52" t="str">
        <f t="shared" si="9"/>
        <v/>
      </c>
      <c r="Q275" s="52"/>
      <c r="R275" s="52"/>
      <c r="S275" s="55" t="s">
        <v>407</v>
      </c>
      <c r="T275" s="53">
        <v>46230</v>
      </c>
    </row>
    <row r="276" spans="1:20" ht="12" customHeight="1">
      <c r="A276" s="51" t="s">
        <v>136</v>
      </c>
      <c r="B276" s="52">
        <v>13</v>
      </c>
      <c r="C276" s="53">
        <v>46257</v>
      </c>
      <c r="D276" s="54" t="s">
        <v>411</v>
      </c>
      <c r="E276" s="55" t="s">
        <v>205</v>
      </c>
      <c r="F276" s="55" t="s">
        <v>166</v>
      </c>
      <c r="G276" s="55" t="s">
        <v>170</v>
      </c>
      <c r="H276" s="56"/>
      <c r="I276" s="56"/>
      <c r="J276" s="56">
        <v>2026</v>
      </c>
      <c r="K276" s="52" t="s">
        <v>99</v>
      </c>
      <c r="L276" s="52" t="s">
        <v>88</v>
      </c>
      <c r="M276" s="52" t="s">
        <v>399</v>
      </c>
      <c r="N276" s="52" t="s">
        <v>400</v>
      </c>
      <c r="O276" s="52" t="str">
        <f t="shared" si="8"/>
        <v/>
      </c>
      <c r="P276" s="52" t="str">
        <f t="shared" si="9"/>
        <v/>
      </c>
      <c r="Q276" s="52"/>
      <c r="R276" s="52"/>
      <c r="S276" s="55" t="s">
        <v>407</v>
      </c>
      <c r="T276" s="53">
        <v>46230</v>
      </c>
    </row>
    <row r="277" spans="1:20" ht="12" customHeight="1">
      <c r="A277" s="51" t="s">
        <v>136</v>
      </c>
      <c r="B277" s="52">
        <v>13</v>
      </c>
      <c r="C277" s="53">
        <v>46257</v>
      </c>
      <c r="D277" s="54" t="s">
        <v>411</v>
      </c>
      <c r="E277" s="55" t="s">
        <v>207</v>
      </c>
      <c r="F277" s="55" t="s">
        <v>169</v>
      </c>
      <c r="G277" s="55" t="s">
        <v>172</v>
      </c>
      <c r="H277" s="56"/>
      <c r="I277" s="56"/>
      <c r="J277" s="56">
        <v>2026</v>
      </c>
      <c r="K277" s="52" t="s">
        <v>99</v>
      </c>
      <c r="L277" s="52" t="s">
        <v>88</v>
      </c>
      <c r="M277" s="52" t="s">
        <v>402</v>
      </c>
      <c r="N277" s="52" t="s">
        <v>403</v>
      </c>
      <c r="O277" s="52" t="str">
        <f t="shared" si="8"/>
        <v/>
      </c>
      <c r="P277" s="52" t="str">
        <f t="shared" si="9"/>
        <v/>
      </c>
      <c r="Q277" s="52"/>
      <c r="R277" s="52"/>
      <c r="S277" s="55" t="s">
        <v>407</v>
      </c>
      <c r="T277" s="53">
        <v>46230</v>
      </c>
    </row>
    <row r="278" spans="1:20" ht="12" customHeight="1">
      <c r="A278" s="51" t="s">
        <v>136</v>
      </c>
      <c r="B278" s="52">
        <v>13</v>
      </c>
      <c r="C278" s="53">
        <v>46257</v>
      </c>
      <c r="D278" s="54" t="s">
        <v>411</v>
      </c>
      <c r="E278" s="55" t="s">
        <v>205</v>
      </c>
      <c r="F278" s="55" t="s">
        <v>173</v>
      </c>
      <c r="G278" s="55" t="s">
        <v>176</v>
      </c>
      <c r="H278" s="56"/>
      <c r="I278" s="56"/>
      <c r="J278" s="56">
        <v>2026</v>
      </c>
      <c r="K278" s="52" t="s">
        <v>99</v>
      </c>
      <c r="L278" s="52" t="s">
        <v>88</v>
      </c>
      <c r="M278" s="52" t="s">
        <v>396</v>
      </c>
      <c r="N278" s="52" t="s">
        <v>404</v>
      </c>
      <c r="O278" s="52" t="str">
        <f t="shared" si="8"/>
        <v/>
      </c>
      <c r="P278" s="52" t="str">
        <f t="shared" si="9"/>
        <v/>
      </c>
      <c r="Q278" s="52"/>
      <c r="R278" s="52"/>
      <c r="S278" s="55" t="s">
        <v>407</v>
      </c>
      <c r="T278" s="53">
        <v>46230</v>
      </c>
    </row>
    <row r="279" spans="1:20" ht="12" customHeight="1">
      <c r="A279" s="51" t="s">
        <v>136</v>
      </c>
      <c r="B279" s="52">
        <v>13</v>
      </c>
      <c r="C279" s="53">
        <v>46257</v>
      </c>
      <c r="D279" s="54" t="s">
        <v>411</v>
      </c>
      <c r="E279" s="55" t="s">
        <v>207</v>
      </c>
      <c r="F279" s="55" t="s">
        <v>175</v>
      </c>
      <c r="G279" s="55" t="s">
        <v>174</v>
      </c>
      <c r="H279" s="56"/>
      <c r="I279" s="56"/>
      <c r="J279" s="56">
        <v>2026</v>
      </c>
      <c r="K279" s="52" t="s">
        <v>99</v>
      </c>
      <c r="L279" s="52" t="s">
        <v>88</v>
      </c>
      <c r="M279" s="52" t="s">
        <v>400</v>
      </c>
      <c r="N279" s="52" t="s">
        <v>405</v>
      </c>
      <c r="O279" s="52" t="str">
        <f t="shared" si="8"/>
        <v/>
      </c>
      <c r="P279" s="52" t="str">
        <f t="shared" si="9"/>
        <v/>
      </c>
      <c r="Q279" s="52"/>
      <c r="R279" s="52"/>
      <c r="S279" s="55" t="s">
        <v>407</v>
      </c>
      <c r="T279" s="53">
        <v>46230</v>
      </c>
    </row>
    <row r="280" spans="1:20" ht="12" customHeight="1">
      <c r="A280" s="51" t="s">
        <v>136</v>
      </c>
      <c r="B280" s="52">
        <v>14</v>
      </c>
      <c r="C280" s="53">
        <v>46264</v>
      </c>
      <c r="D280" s="54" t="s">
        <v>411</v>
      </c>
      <c r="E280" s="55" t="s">
        <v>207</v>
      </c>
      <c r="F280" s="55" t="s">
        <v>169</v>
      </c>
      <c r="G280" s="55" t="s">
        <v>166</v>
      </c>
      <c r="H280" s="56"/>
      <c r="I280" s="56"/>
      <c r="J280" s="56">
        <v>2026</v>
      </c>
      <c r="K280" s="52" t="s">
        <v>99</v>
      </c>
      <c r="L280" s="52" t="s">
        <v>88</v>
      </c>
      <c r="M280" s="52" t="s">
        <v>402</v>
      </c>
      <c r="N280" s="52" t="s">
        <v>403</v>
      </c>
      <c r="O280" s="52" t="str">
        <f t="shared" si="8"/>
        <v/>
      </c>
      <c r="P280" s="52" t="str">
        <f t="shared" si="9"/>
        <v/>
      </c>
      <c r="Q280" s="52"/>
      <c r="R280" s="52"/>
      <c r="S280" s="55" t="s">
        <v>407</v>
      </c>
      <c r="T280" s="53">
        <v>46230</v>
      </c>
    </row>
    <row r="281" spans="1:20" ht="12" customHeight="1">
      <c r="A281" s="51" t="s">
        <v>136</v>
      </c>
      <c r="B281" s="52">
        <v>14</v>
      </c>
      <c r="C281" s="53">
        <v>46264</v>
      </c>
      <c r="D281" s="54" t="s">
        <v>411</v>
      </c>
      <c r="E281" s="55" t="s">
        <v>171</v>
      </c>
      <c r="F281" s="55" t="s">
        <v>170</v>
      </c>
      <c r="G281" s="55" t="s">
        <v>176</v>
      </c>
      <c r="H281" s="56"/>
      <c r="I281" s="56"/>
      <c r="J281" s="56">
        <v>2026</v>
      </c>
      <c r="K281" s="52" t="s">
        <v>99</v>
      </c>
      <c r="L281" s="52" t="s">
        <v>88</v>
      </c>
      <c r="M281" s="52" t="s">
        <v>396</v>
      </c>
      <c r="N281" s="52" t="s">
        <v>404</v>
      </c>
      <c r="O281" s="52" t="str">
        <f t="shared" si="8"/>
        <v/>
      </c>
      <c r="P281" s="52" t="str">
        <f t="shared" si="9"/>
        <v/>
      </c>
      <c r="Q281" s="52"/>
      <c r="R281" s="52"/>
      <c r="S281" s="55" t="s">
        <v>407</v>
      </c>
      <c r="T281" s="53">
        <v>46230</v>
      </c>
    </row>
    <row r="282" spans="1:20" ht="12" customHeight="1">
      <c r="A282" s="51" t="s">
        <v>136</v>
      </c>
      <c r="B282" s="52">
        <v>14</v>
      </c>
      <c r="C282" s="53">
        <v>46264</v>
      </c>
      <c r="D282" s="54" t="s">
        <v>411</v>
      </c>
      <c r="E282" s="55" t="s">
        <v>207</v>
      </c>
      <c r="F282" s="55" t="s">
        <v>175</v>
      </c>
      <c r="G282" s="55" t="s">
        <v>172</v>
      </c>
      <c r="H282" s="56"/>
      <c r="I282" s="56"/>
      <c r="J282" s="56">
        <v>2026</v>
      </c>
      <c r="K282" s="52" t="s">
        <v>99</v>
      </c>
      <c r="L282" s="52" t="s">
        <v>88</v>
      </c>
      <c r="M282" s="52" t="s">
        <v>400</v>
      </c>
      <c r="N282" s="52" t="s">
        <v>405</v>
      </c>
      <c r="O282" s="52" t="str">
        <f t="shared" si="8"/>
        <v/>
      </c>
      <c r="P282" s="52" t="str">
        <f t="shared" si="9"/>
        <v/>
      </c>
      <c r="Q282" s="52"/>
      <c r="R282" s="52"/>
      <c r="S282" s="55" t="s">
        <v>407</v>
      </c>
      <c r="T282" s="53">
        <v>46230</v>
      </c>
    </row>
    <row r="283" spans="1:20" ht="12" customHeight="1">
      <c r="A283" s="51" t="s">
        <v>136</v>
      </c>
      <c r="B283" s="52">
        <v>14</v>
      </c>
      <c r="C283" s="53">
        <v>46264</v>
      </c>
      <c r="D283" s="54" t="s">
        <v>411</v>
      </c>
      <c r="E283" s="55" t="s">
        <v>205</v>
      </c>
      <c r="F283" s="55" t="s">
        <v>173</v>
      </c>
      <c r="G283" s="55" t="s">
        <v>174</v>
      </c>
      <c r="H283" s="56"/>
      <c r="I283" s="56"/>
      <c r="J283" s="56">
        <v>2026</v>
      </c>
      <c r="K283" s="52" t="s">
        <v>99</v>
      </c>
      <c r="L283" s="52" t="s">
        <v>88</v>
      </c>
      <c r="M283" s="52" t="s">
        <v>403</v>
      </c>
      <c r="N283" s="52" t="s">
        <v>406</v>
      </c>
      <c r="O283" s="52" t="str">
        <f t="shared" si="8"/>
        <v/>
      </c>
      <c r="P283" s="52" t="str">
        <f t="shared" si="9"/>
        <v/>
      </c>
      <c r="Q283" s="52"/>
      <c r="R283" s="52"/>
      <c r="S283" s="55" t="s">
        <v>407</v>
      </c>
      <c r="T283" s="53">
        <v>46230</v>
      </c>
    </row>
    <row r="284" spans="1:20" ht="12" customHeight="1">
      <c r="A284" s="51" t="s">
        <v>143</v>
      </c>
      <c r="B284" s="52">
        <v>1</v>
      </c>
      <c r="C284" s="53">
        <v>46173</v>
      </c>
      <c r="D284" s="54" t="s">
        <v>412</v>
      </c>
      <c r="E284" s="55" t="s">
        <v>205</v>
      </c>
      <c r="F284" s="55" t="s">
        <v>166</v>
      </c>
      <c r="G284" s="55" t="s">
        <v>176</v>
      </c>
      <c r="H284" s="56">
        <v>1</v>
      </c>
      <c r="I284" s="56">
        <v>2</v>
      </c>
      <c r="J284" s="56">
        <v>2026</v>
      </c>
      <c r="K284" s="52" t="s">
        <v>99</v>
      </c>
      <c r="L284" s="52" t="s">
        <v>137</v>
      </c>
      <c r="M284" s="52" t="s">
        <v>403</v>
      </c>
      <c r="N284" s="52" t="s">
        <v>406</v>
      </c>
      <c r="O284" s="52" t="str">
        <f t="shared" si="8"/>
        <v>Maestranza</v>
      </c>
      <c r="P284" s="52" t="str">
        <f t="shared" si="9"/>
        <v>Visita</v>
      </c>
      <c r="Q284" s="52">
        <v>0</v>
      </c>
      <c r="R284" s="52">
        <v>3</v>
      </c>
      <c r="S284" s="55" t="s">
        <v>397</v>
      </c>
      <c r="T284" s="53">
        <v>46230</v>
      </c>
    </row>
    <row r="285" spans="1:20" ht="12" customHeight="1">
      <c r="A285" s="51" t="s">
        <v>143</v>
      </c>
      <c r="B285" s="52">
        <v>1</v>
      </c>
      <c r="C285" s="53">
        <v>46173</v>
      </c>
      <c r="D285" s="54" t="s">
        <v>412</v>
      </c>
      <c r="E285" s="55" t="s">
        <v>207</v>
      </c>
      <c r="F285" s="55" t="s">
        <v>175</v>
      </c>
      <c r="G285" s="55" t="s">
        <v>169</v>
      </c>
      <c r="H285" s="56">
        <v>1</v>
      </c>
      <c r="I285" s="56">
        <v>1</v>
      </c>
      <c r="J285" s="56">
        <v>2026</v>
      </c>
      <c r="K285" s="52" t="s">
        <v>99</v>
      </c>
      <c r="L285" s="52" t="s">
        <v>137</v>
      </c>
      <c r="M285" s="52" t="s">
        <v>404</v>
      </c>
      <c r="N285" s="52" t="s">
        <v>394</v>
      </c>
      <c r="O285" s="52" t="str">
        <f t="shared" si="8"/>
        <v>Empate</v>
      </c>
      <c r="P285" s="52" t="str">
        <f t="shared" si="9"/>
        <v>Empate</v>
      </c>
      <c r="Q285" s="52">
        <v>1</v>
      </c>
      <c r="R285" s="52">
        <v>1</v>
      </c>
      <c r="S285" s="55" t="s">
        <v>397</v>
      </c>
      <c r="T285" s="53">
        <v>46230</v>
      </c>
    </row>
    <row r="286" spans="1:20" ht="12" customHeight="1">
      <c r="A286" s="51" t="s">
        <v>143</v>
      </c>
      <c r="B286" s="52">
        <v>1</v>
      </c>
      <c r="C286" s="53">
        <v>46173</v>
      </c>
      <c r="D286" s="54" t="s">
        <v>412</v>
      </c>
      <c r="E286" s="55" t="s">
        <v>171</v>
      </c>
      <c r="F286" s="55" t="s">
        <v>170</v>
      </c>
      <c r="G286" s="55" t="s">
        <v>174</v>
      </c>
      <c r="H286" s="56">
        <v>2</v>
      </c>
      <c r="I286" s="56">
        <v>0</v>
      </c>
      <c r="J286" s="56">
        <v>2026</v>
      </c>
      <c r="K286" s="52" t="s">
        <v>99</v>
      </c>
      <c r="L286" s="52" t="s">
        <v>137</v>
      </c>
      <c r="M286" s="52" t="s">
        <v>405</v>
      </c>
      <c r="N286" s="52" t="s">
        <v>398</v>
      </c>
      <c r="O286" s="52" t="str">
        <f t="shared" si="8"/>
        <v>Forestal</v>
      </c>
      <c r="P286" s="52" t="str">
        <f t="shared" si="9"/>
        <v>Local</v>
      </c>
      <c r="Q286" s="52">
        <v>3</v>
      </c>
      <c r="R286" s="52">
        <v>0</v>
      </c>
      <c r="S286" s="55" t="s">
        <v>397</v>
      </c>
      <c r="T286" s="53">
        <v>46230</v>
      </c>
    </row>
    <row r="287" spans="1:20" ht="12" customHeight="1">
      <c r="A287" s="51" t="s">
        <v>143</v>
      </c>
      <c r="B287" s="52">
        <v>1</v>
      </c>
      <c r="C287" s="53">
        <v>46173</v>
      </c>
      <c r="D287" s="54" t="s">
        <v>412</v>
      </c>
      <c r="E287" s="55" t="s">
        <v>205</v>
      </c>
      <c r="F287" s="55" t="s">
        <v>173</v>
      </c>
      <c r="G287" s="55" t="s">
        <v>172</v>
      </c>
      <c r="H287" s="56">
        <v>0</v>
      </c>
      <c r="I287" s="56">
        <v>1</v>
      </c>
      <c r="J287" s="56">
        <v>2026</v>
      </c>
      <c r="K287" s="52" t="s">
        <v>99</v>
      </c>
      <c r="L287" s="52" t="s">
        <v>137</v>
      </c>
      <c r="M287" s="52" t="s">
        <v>406</v>
      </c>
      <c r="N287" s="52" t="s">
        <v>401</v>
      </c>
      <c r="O287" s="52" t="str">
        <f t="shared" si="8"/>
        <v>Grinvasul</v>
      </c>
      <c r="P287" s="52" t="str">
        <f t="shared" si="9"/>
        <v>Visita</v>
      </c>
      <c r="Q287" s="52">
        <v>0</v>
      </c>
      <c r="R287" s="52">
        <v>3</v>
      </c>
      <c r="S287" s="55" t="s">
        <v>397</v>
      </c>
      <c r="T287" s="53">
        <v>46230</v>
      </c>
    </row>
    <row r="288" spans="1:20" ht="12" customHeight="1">
      <c r="A288" s="51" t="s">
        <v>143</v>
      </c>
      <c r="B288" s="52">
        <v>2</v>
      </c>
      <c r="C288" s="53">
        <v>46180</v>
      </c>
      <c r="D288" s="54" t="s">
        <v>412</v>
      </c>
      <c r="E288" s="55" t="s">
        <v>207</v>
      </c>
      <c r="F288" s="55" t="s">
        <v>175</v>
      </c>
      <c r="G288" s="55" t="s">
        <v>166</v>
      </c>
      <c r="H288" s="56">
        <v>0</v>
      </c>
      <c r="I288" s="56">
        <v>2</v>
      </c>
      <c r="J288" s="56">
        <v>2026</v>
      </c>
      <c r="K288" s="52" t="s">
        <v>99</v>
      </c>
      <c r="L288" s="52" t="s">
        <v>137</v>
      </c>
      <c r="M288" s="52" t="s">
        <v>404</v>
      </c>
      <c r="N288" s="52" t="s">
        <v>394</v>
      </c>
      <c r="O288" s="52" t="str">
        <f t="shared" si="8"/>
        <v>Villa Alegre</v>
      </c>
      <c r="P288" s="52" t="str">
        <f t="shared" si="9"/>
        <v>Visita</v>
      </c>
      <c r="Q288" s="52">
        <v>0</v>
      </c>
      <c r="R288" s="52">
        <v>3</v>
      </c>
      <c r="S288" s="55" t="s">
        <v>397</v>
      </c>
      <c r="T288" s="53">
        <v>46230</v>
      </c>
    </row>
    <row r="289" spans="1:20" ht="12" customHeight="1">
      <c r="A289" s="51" t="s">
        <v>143</v>
      </c>
      <c r="B289" s="52">
        <v>2</v>
      </c>
      <c r="C289" s="53">
        <v>46180</v>
      </c>
      <c r="D289" s="54" t="s">
        <v>412</v>
      </c>
      <c r="E289" s="55" t="s">
        <v>210</v>
      </c>
      <c r="F289" s="55" t="s">
        <v>176</v>
      </c>
      <c r="G289" s="55" t="s">
        <v>174</v>
      </c>
      <c r="H289" s="56">
        <v>1</v>
      </c>
      <c r="I289" s="56">
        <v>2</v>
      </c>
      <c r="J289" s="56">
        <v>2026</v>
      </c>
      <c r="K289" s="52" t="s">
        <v>99</v>
      </c>
      <c r="L289" s="52" t="s">
        <v>137</v>
      </c>
      <c r="M289" s="52" t="s">
        <v>405</v>
      </c>
      <c r="N289" s="52" t="s">
        <v>398</v>
      </c>
      <c r="O289" s="52" t="str">
        <f t="shared" si="8"/>
        <v>Inca</v>
      </c>
      <c r="P289" s="52" t="str">
        <f t="shared" si="9"/>
        <v>Visita</v>
      </c>
      <c r="Q289" s="52">
        <v>0</v>
      </c>
      <c r="R289" s="52">
        <v>3</v>
      </c>
      <c r="S289" s="55" t="s">
        <v>397</v>
      </c>
      <c r="T289" s="53">
        <v>46230</v>
      </c>
    </row>
    <row r="290" spans="1:20" ht="12" customHeight="1">
      <c r="A290" s="51" t="s">
        <v>143</v>
      </c>
      <c r="B290" s="52">
        <v>2</v>
      </c>
      <c r="C290" s="53">
        <v>46180</v>
      </c>
      <c r="D290" s="54" t="s">
        <v>412</v>
      </c>
      <c r="E290" s="55" t="s">
        <v>205</v>
      </c>
      <c r="F290" s="55" t="s">
        <v>173</v>
      </c>
      <c r="G290" s="55" t="s">
        <v>169</v>
      </c>
      <c r="H290" s="56">
        <v>1</v>
      </c>
      <c r="I290" s="56">
        <v>0</v>
      </c>
      <c r="J290" s="56">
        <v>2026</v>
      </c>
      <c r="K290" s="52" t="s">
        <v>99</v>
      </c>
      <c r="L290" s="52" t="s">
        <v>137</v>
      </c>
      <c r="M290" s="52" t="s">
        <v>406</v>
      </c>
      <c r="N290" s="52" t="s">
        <v>401</v>
      </c>
      <c r="O290" s="52" t="str">
        <f t="shared" si="8"/>
        <v>Jota Montt</v>
      </c>
      <c r="P290" s="52" t="str">
        <f t="shared" si="9"/>
        <v>Local</v>
      </c>
      <c r="Q290" s="52">
        <v>3</v>
      </c>
      <c r="R290" s="52">
        <v>0</v>
      </c>
      <c r="S290" s="55" t="s">
        <v>397</v>
      </c>
      <c r="T290" s="53">
        <v>46230</v>
      </c>
    </row>
    <row r="291" spans="1:20" ht="12" customHeight="1">
      <c r="A291" s="51" t="s">
        <v>143</v>
      </c>
      <c r="B291" s="52">
        <v>2</v>
      </c>
      <c r="C291" s="53">
        <v>46180</v>
      </c>
      <c r="D291" s="54" t="s">
        <v>412</v>
      </c>
      <c r="E291" s="55" t="s">
        <v>171</v>
      </c>
      <c r="F291" s="55" t="s">
        <v>170</v>
      </c>
      <c r="G291" s="55" t="s">
        <v>172</v>
      </c>
      <c r="H291" s="56">
        <v>2</v>
      </c>
      <c r="I291" s="56">
        <v>0</v>
      </c>
      <c r="J291" s="56">
        <v>2026</v>
      </c>
      <c r="K291" s="52" t="s">
        <v>99</v>
      </c>
      <c r="L291" s="52" t="s">
        <v>137</v>
      </c>
      <c r="M291" s="52" t="s">
        <v>394</v>
      </c>
      <c r="N291" s="52" t="s">
        <v>395</v>
      </c>
      <c r="O291" s="52" t="str">
        <f t="shared" si="8"/>
        <v>Forestal</v>
      </c>
      <c r="P291" s="52" t="str">
        <f t="shared" si="9"/>
        <v>Local</v>
      </c>
      <c r="Q291" s="52">
        <v>3</v>
      </c>
      <c r="R291" s="52">
        <v>0</v>
      </c>
      <c r="S291" s="55" t="s">
        <v>397</v>
      </c>
      <c r="T291" s="53">
        <v>46230</v>
      </c>
    </row>
    <row r="292" spans="1:20" ht="12" customHeight="1">
      <c r="A292" s="51" t="s">
        <v>143</v>
      </c>
      <c r="B292" s="52">
        <v>3</v>
      </c>
      <c r="C292" s="53">
        <v>46187</v>
      </c>
      <c r="D292" s="54" t="s">
        <v>412</v>
      </c>
      <c r="E292" s="55" t="s">
        <v>205</v>
      </c>
      <c r="F292" s="55" t="s">
        <v>166</v>
      </c>
      <c r="G292" s="55" t="s">
        <v>174</v>
      </c>
      <c r="H292" s="56">
        <v>1</v>
      </c>
      <c r="I292" s="56">
        <v>0</v>
      </c>
      <c r="J292" s="56">
        <v>2026</v>
      </c>
      <c r="K292" s="52" t="s">
        <v>99</v>
      </c>
      <c r="L292" s="52" t="s">
        <v>137</v>
      </c>
      <c r="M292" s="52" t="s">
        <v>405</v>
      </c>
      <c r="N292" s="52" t="s">
        <v>398</v>
      </c>
      <c r="O292" s="52" t="str">
        <f t="shared" si="8"/>
        <v>Villa Alegre</v>
      </c>
      <c r="P292" s="52" t="str">
        <f t="shared" si="9"/>
        <v>Local</v>
      </c>
      <c r="Q292" s="52">
        <v>3</v>
      </c>
      <c r="R292" s="52">
        <v>0</v>
      </c>
      <c r="S292" s="55" t="s">
        <v>397</v>
      </c>
      <c r="T292" s="53">
        <v>46230</v>
      </c>
    </row>
    <row r="293" spans="1:20" ht="12" customHeight="1">
      <c r="A293" s="51" t="s">
        <v>143</v>
      </c>
      <c r="B293" s="52">
        <v>3</v>
      </c>
      <c r="C293" s="53">
        <v>46187</v>
      </c>
      <c r="D293" s="54" t="s">
        <v>412</v>
      </c>
      <c r="E293" s="55" t="s">
        <v>205</v>
      </c>
      <c r="F293" s="55" t="s">
        <v>173</v>
      </c>
      <c r="G293" s="55" t="s">
        <v>175</v>
      </c>
      <c r="H293" s="56">
        <v>1</v>
      </c>
      <c r="I293" s="56">
        <v>1</v>
      </c>
      <c r="J293" s="56">
        <v>2026</v>
      </c>
      <c r="K293" s="52" t="s">
        <v>99</v>
      </c>
      <c r="L293" s="52" t="s">
        <v>137</v>
      </c>
      <c r="M293" s="52" t="s">
        <v>406</v>
      </c>
      <c r="N293" s="52" t="s">
        <v>401</v>
      </c>
      <c r="O293" s="52" t="str">
        <f t="shared" si="8"/>
        <v>Empate</v>
      </c>
      <c r="P293" s="52" t="str">
        <f t="shared" si="9"/>
        <v>Empate</v>
      </c>
      <c r="Q293" s="52">
        <v>1</v>
      </c>
      <c r="R293" s="52">
        <v>1</v>
      </c>
      <c r="S293" s="55" t="s">
        <v>397</v>
      </c>
      <c r="T293" s="53">
        <v>46230</v>
      </c>
    </row>
    <row r="294" spans="1:20" ht="12" customHeight="1">
      <c r="A294" s="51" t="s">
        <v>143</v>
      </c>
      <c r="B294" s="52">
        <v>3</v>
      </c>
      <c r="C294" s="53">
        <v>46187</v>
      </c>
      <c r="D294" s="54" t="s">
        <v>412</v>
      </c>
      <c r="E294" s="55" t="s">
        <v>210</v>
      </c>
      <c r="F294" s="55" t="s">
        <v>176</v>
      </c>
      <c r="G294" s="55" t="s">
        <v>172</v>
      </c>
      <c r="H294" s="56">
        <v>0</v>
      </c>
      <c r="I294" s="56">
        <v>1</v>
      </c>
      <c r="J294" s="56">
        <v>2026</v>
      </c>
      <c r="K294" s="52" t="s">
        <v>99</v>
      </c>
      <c r="L294" s="52" t="s">
        <v>137</v>
      </c>
      <c r="M294" s="52" t="s">
        <v>394</v>
      </c>
      <c r="N294" s="52" t="s">
        <v>395</v>
      </c>
      <c r="O294" s="52" t="str">
        <f t="shared" si="8"/>
        <v>Grinvasul</v>
      </c>
      <c r="P294" s="52" t="str">
        <f t="shared" si="9"/>
        <v>Visita</v>
      </c>
      <c r="Q294" s="52">
        <v>0</v>
      </c>
      <c r="R294" s="52">
        <v>3</v>
      </c>
      <c r="S294" s="55" t="s">
        <v>397</v>
      </c>
      <c r="T294" s="53">
        <v>46230</v>
      </c>
    </row>
    <row r="295" spans="1:20" ht="12" customHeight="1">
      <c r="A295" s="51" t="s">
        <v>143</v>
      </c>
      <c r="B295" s="52">
        <v>3</v>
      </c>
      <c r="C295" s="53">
        <v>46187</v>
      </c>
      <c r="D295" s="54" t="s">
        <v>412</v>
      </c>
      <c r="E295" s="55" t="s">
        <v>171</v>
      </c>
      <c r="F295" s="55" t="s">
        <v>170</v>
      </c>
      <c r="G295" s="55" t="s">
        <v>169</v>
      </c>
      <c r="H295" s="56">
        <v>0</v>
      </c>
      <c r="I295" s="56">
        <v>1</v>
      </c>
      <c r="J295" s="56">
        <v>2026</v>
      </c>
      <c r="K295" s="52" t="s">
        <v>99</v>
      </c>
      <c r="L295" s="52" t="s">
        <v>137</v>
      </c>
      <c r="M295" s="52" t="s">
        <v>398</v>
      </c>
      <c r="N295" s="52" t="s">
        <v>399</v>
      </c>
      <c r="O295" s="52" t="str">
        <f t="shared" si="8"/>
        <v>U.J. Lautaro</v>
      </c>
      <c r="P295" s="52" t="str">
        <f t="shared" si="9"/>
        <v>Visita</v>
      </c>
      <c r="Q295" s="52">
        <v>0</v>
      </c>
      <c r="R295" s="52">
        <v>3</v>
      </c>
      <c r="S295" s="55" t="s">
        <v>397</v>
      </c>
      <c r="T295" s="53">
        <v>46230</v>
      </c>
    </row>
    <row r="296" spans="1:20" ht="12" customHeight="1">
      <c r="A296" s="51" t="s">
        <v>143</v>
      </c>
      <c r="B296" s="52">
        <v>4</v>
      </c>
      <c r="C296" s="53">
        <v>46194</v>
      </c>
      <c r="D296" s="54" t="s">
        <v>412</v>
      </c>
      <c r="E296" s="55" t="s">
        <v>205</v>
      </c>
      <c r="F296" s="55" t="s">
        <v>173</v>
      </c>
      <c r="G296" s="55" t="s">
        <v>166</v>
      </c>
      <c r="H296" s="56">
        <v>0</v>
      </c>
      <c r="I296" s="56">
        <v>3</v>
      </c>
      <c r="J296" s="56">
        <v>2026</v>
      </c>
      <c r="K296" s="52" t="s">
        <v>99</v>
      </c>
      <c r="L296" s="52" t="s">
        <v>137</v>
      </c>
      <c r="M296" s="52" t="s">
        <v>406</v>
      </c>
      <c r="N296" s="52" t="s">
        <v>401</v>
      </c>
      <c r="O296" s="52" t="str">
        <f t="shared" si="8"/>
        <v>Villa Alegre</v>
      </c>
      <c r="P296" s="52" t="str">
        <f t="shared" si="9"/>
        <v>Visita</v>
      </c>
      <c r="Q296" s="52">
        <v>0</v>
      </c>
      <c r="R296" s="52">
        <v>3</v>
      </c>
      <c r="S296" s="55" t="s">
        <v>397</v>
      </c>
      <c r="T296" s="53">
        <v>46230</v>
      </c>
    </row>
    <row r="297" spans="1:20" ht="12" customHeight="1">
      <c r="A297" s="51" t="s">
        <v>143</v>
      </c>
      <c r="B297" s="52">
        <v>4</v>
      </c>
      <c r="C297" s="53">
        <v>46194</v>
      </c>
      <c r="D297" s="54" t="s">
        <v>412</v>
      </c>
      <c r="E297" s="55" t="s">
        <v>210</v>
      </c>
      <c r="F297" s="55" t="s">
        <v>174</v>
      </c>
      <c r="G297" s="55" t="s">
        <v>172</v>
      </c>
      <c r="H297" s="56">
        <v>1</v>
      </c>
      <c r="I297" s="56">
        <v>1</v>
      </c>
      <c r="J297" s="56">
        <v>2026</v>
      </c>
      <c r="K297" s="52" t="s">
        <v>99</v>
      </c>
      <c r="L297" s="52" t="s">
        <v>137</v>
      </c>
      <c r="M297" s="52" t="s">
        <v>394</v>
      </c>
      <c r="N297" s="52" t="s">
        <v>395</v>
      </c>
      <c r="O297" s="52" t="str">
        <f t="shared" si="8"/>
        <v>Empate</v>
      </c>
      <c r="P297" s="52" t="str">
        <f t="shared" si="9"/>
        <v>Empate</v>
      </c>
      <c r="Q297" s="52">
        <v>1</v>
      </c>
      <c r="R297" s="52">
        <v>1</v>
      </c>
      <c r="S297" s="55" t="s">
        <v>397</v>
      </c>
      <c r="T297" s="53">
        <v>46230</v>
      </c>
    </row>
    <row r="298" spans="1:20" ht="12" customHeight="1">
      <c r="A298" s="51" t="s">
        <v>143</v>
      </c>
      <c r="B298" s="52">
        <v>4</v>
      </c>
      <c r="C298" s="53">
        <v>46194</v>
      </c>
      <c r="D298" s="54" t="s">
        <v>412</v>
      </c>
      <c r="E298" s="55" t="s">
        <v>171</v>
      </c>
      <c r="F298" s="55" t="s">
        <v>170</v>
      </c>
      <c r="G298" s="55" t="s">
        <v>175</v>
      </c>
      <c r="H298" s="56">
        <v>1</v>
      </c>
      <c r="I298" s="56">
        <v>2</v>
      </c>
      <c r="J298" s="56">
        <v>2026</v>
      </c>
      <c r="K298" s="52" t="s">
        <v>99</v>
      </c>
      <c r="L298" s="52" t="s">
        <v>137</v>
      </c>
      <c r="M298" s="52" t="s">
        <v>398</v>
      </c>
      <c r="N298" s="52" t="s">
        <v>399</v>
      </c>
      <c r="O298" s="52" t="str">
        <f t="shared" si="8"/>
        <v>Colo Colo</v>
      </c>
      <c r="P298" s="52" t="str">
        <f t="shared" si="9"/>
        <v>Visita</v>
      </c>
      <c r="Q298" s="52">
        <v>0</v>
      </c>
      <c r="R298" s="52">
        <v>3</v>
      </c>
      <c r="S298" s="55" t="s">
        <v>397</v>
      </c>
      <c r="T298" s="53">
        <v>46230</v>
      </c>
    </row>
    <row r="299" spans="1:20" ht="12" customHeight="1">
      <c r="A299" s="51" t="s">
        <v>143</v>
      </c>
      <c r="B299" s="52">
        <v>4</v>
      </c>
      <c r="C299" s="53">
        <v>46194</v>
      </c>
      <c r="D299" s="54" t="s">
        <v>412</v>
      </c>
      <c r="E299" s="55" t="s">
        <v>210</v>
      </c>
      <c r="F299" s="55" t="s">
        <v>176</v>
      </c>
      <c r="G299" s="55" t="s">
        <v>169</v>
      </c>
      <c r="H299" s="56">
        <v>2</v>
      </c>
      <c r="I299" s="56">
        <v>3</v>
      </c>
      <c r="J299" s="56">
        <v>2026</v>
      </c>
      <c r="K299" s="52" t="s">
        <v>99</v>
      </c>
      <c r="L299" s="52" t="s">
        <v>137</v>
      </c>
      <c r="M299" s="52" t="s">
        <v>401</v>
      </c>
      <c r="N299" s="52" t="s">
        <v>402</v>
      </c>
      <c r="O299" s="52" t="str">
        <f t="shared" si="8"/>
        <v>U.J. Lautaro</v>
      </c>
      <c r="P299" s="52" t="str">
        <f t="shared" si="9"/>
        <v>Visita</v>
      </c>
      <c r="Q299" s="52">
        <v>0</v>
      </c>
      <c r="R299" s="52">
        <v>3</v>
      </c>
      <c r="S299" s="55" t="s">
        <v>397</v>
      </c>
      <c r="T299" s="53">
        <v>46230</v>
      </c>
    </row>
    <row r="300" spans="1:20" ht="12" customHeight="1">
      <c r="A300" s="51" t="s">
        <v>143</v>
      </c>
      <c r="B300" s="52">
        <v>5</v>
      </c>
      <c r="C300" s="53">
        <v>46201</v>
      </c>
      <c r="D300" s="54" t="s">
        <v>412</v>
      </c>
      <c r="E300" s="55" t="s">
        <v>205</v>
      </c>
      <c r="F300" s="55" t="s">
        <v>166</v>
      </c>
      <c r="G300" s="55" t="s">
        <v>172</v>
      </c>
      <c r="H300" s="56">
        <v>0</v>
      </c>
      <c r="I300" s="56">
        <v>1</v>
      </c>
      <c r="J300" s="56">
        <v>2026</v>
      </c>
      <c r="K300" s="52" t="s">
        <v>99</v>
      </c>
      <c r="L300" s="52" t="s">
        <v>137</v>
      </c>
      <c r="M300" s="52" t="s">
        <v>394</v>
      </c>
      <c r="N300" s="52" t="s">
        <v>395</v>
      </c>
      <c r="O300" s="52" t="str">
        <f t="shared" si="8"/>
        <v>Grinvasul</v>
      </c>
      <c r="P300" s="52" t="str">
        <f t="shared" si="9"/>
        <v>Visita</v>
      </c>
      <c r="Q300" s="52">
        <v>0</v>
      </c>
      <c r="R300" s="52">
        <v>3</v>
      </c>
      <c r="S300" s="55" t="s">
        <v>397</v>
      </c>
      <c r="T300" s="53">
        <v>46230</v>
      </c>
    </row>
    <row r="301" spans="1:20" ht="12" customHeight="1">
      <c r="A301" s="51" t="s">
        <v>143</v>
      </c>
      <c r="B301" s="52">
        <v>5</v>
      </c>
      <c r="C301" s="53">
        <v>46201</v>
      </c>
      <c r="D301" s="54" t="s">
        <v>412</v>
      </c>
      <c r="E301" s="55" t="s">
        <v>171</v>
      </c>
      <c r="F301" s="55" t="s">
        <v>170</v>
      </c>
      <c r="G301" s="55" t="s">
        <v>173</v>
      </c>
      <c r="H301" s="56">
        <v>1</v>
      </c>
      <c r="I301" s="56">
        <v>0</v>
      </c>
      <c r="J301" s="56">
        <v>2026</v>
      </c>
      <c r="K301" s="52" t="s">
        <v>99</v>
      </c>
      <c r="L301" s="52" t="s">
        <v>137</v>
      </c>
      <c r="M301" s="52" t="s">
        <v>398</v>
      </c>
      <c r="N301" s="52" t="s">
        <v>399</v>
      </c>
      <c r="O301" s="52" t="str">
        <f t="shared" si="8"/>
        <v>Forestal</v>
      </c>
      <c r="P301" s="52" t="str">
        <f t="shared" si="9"/>
        <v>Local</v>
      </c>
      <c r="Q301" s="52">
        <v>3</v>
      </c>
      <c r="R301" s="52">
        <v>0</v>
      </c>
      <c r="S301" s="55" t="s">
        <v>397</v>
      </c>
      <c r="T301" s="53">
        <v>46230</v>
      </c>
    </row>
    <row r="302" spans="1:20" ht="12" customHeight="1">
      <c r="A302" s="51" t="s">
        <v>143</v>
      </c>
      <c r="B302" s="52">
        <v>5</v>
      </c>
      <c r="C302" s="53">
        <v>46201</v>
      </c>
      <c r="D302" s="54" t="s">
        <v>412</v>
      </c>
      <c r="E302" s="55" t="s">
        <v>210</v>
      </c>
      <c r="F302" s="55" t="s">
        <v>174</v>
      </c>
      <c r="G302" s="55" t="s">
        <v>169</v>
      </c>
      <c r="H302" s="56">
        <v>3</v>
      </c>
      <c r="I302" s="56">
        <v>1</v>
      </c>
      <c r="J302" s="56">
        <v>2026</v>
      </c>
      <c r="K302" s="52" t="s">
        <v>99</v>
      </c>
      <c r="L302" s="52" t="s">
        <v>137</v>
      </c>
      <c r="M302" s="52" t="s">
        <v>401</v>
      </c>
      <c r="N302" s="52" t="s">
        <v>402</v>
      </c>
      <c r="O302" s="52" t="str">
        <f t="shared" si="8"/>
        <v>Inca</v>
      </c>
      <c r="P302" s="52" t="str">
        <f t="shared" si="9"/>
        <v>Local</v>
      </c>
      <c r="Q302" s="52">
        <v>3</v>
      </c>
      <c r="R302" s="52">
        <v>0</v>
      </c>
      <c r="S302" s="55" t="s">
        <v>397</v>
      </c>
      <c r="T302" s="53">
        <v>46230</v>
      </c>
    </row>
    <row r="303" spans="1:20" ht="12" customHeight="1">
      <c r="A303" s="51" t="s">
        <v>143</v>
      </c>
      <c r="B303" s="52">
        <v>5</v>
      </c>
      <c r="C303" s="53">
        <v>46201</v>
      </c>
      <c r="D303" s="54" t="s">
        <v>412</v>
      </c>
      <c r="E303" s="55" t="s">
        <v>210</v>
      </c>
      <c r="F303" s="55" t="s">
        <v>176</v>
      </c>
      <c r="G303" s="55" t="s">
        <v>175</v>
      </c>
      <c r="H303" s="56">
        <v>5</v>
      </c>
      <c r="I303" s="56">
        <v>1</v>
      </c>
      <c r="J303" s="56">
        <v>2026</v>
      </c>
      <c r="K303" s="52" t="s">
        <v>99</v>
      </c>
      <c r="L303" s="52" t="s">
        <v>137</v>
      </c>
      <c r="M303" s="52" t="s">
        <v>395</v>
      </c>
      <c r="N303" s="52" t="s">
        <v>396</v>
      </c>
      <c r="O303" s="52" t="str">
        <f t="shared" si="8"/>
        <v>Maestranza</v>
      </c>
      <c r="P303" s="52" t="str">
        <f t="shared" si="9"/>
        <v>Local</v>
      </c>
      <c r="Q303" s="52">
        <v>3</v>
      </c>
      <c r="R303" s="52">
        <v>0</v>
      </c>
      <c r="S303" s="55" t="s">
        <v>397</v>
      </c>
      <c r="T303" s="53">
        <v>46230</v>
      </c>
    </row>
    <row r="304" spans="1:20" ht="12" customHeight="1">
      <c r="A304" s="51" t="s">
        <v>143</v>
      </c>
      <c r="B304" s="52">
        <v>6</v>
      </c>
      <c r="C304" s="53">
        <v>46208</v>
      </c>
      <c r="D304" s="54" t="s">
        <v>412</v>
      </c>
      <c r="E304" s="55" t="s">
        <v>171</v>
      </c>
      <c r="F304" s="55" t="s">
        <v>170</v>
      </c>
      <c r="G304" s="55" t="s">
        <v>166</v>
      </c>
      <c r="H304" s="56">
        <v>0</v>
      </c>
      <c r="I304" s="56">
        <v>1</v>
      </c>
      <c r="J304" s="56">
        <v>2026</v>
      </c>
      <c r="K304" s="52" t="s">
        <v>99</v>
      </c>
      <c r="L304" s="52" t="s">
        <v>137</v>
      </c>
      <c r="M304" s="52" t="s">
        <v>398</v>
      </c>
      <c r="N304" s="52" t="s">
        <v>399</v>
      </c>
      <c r="O304" s="52" t="str">
        <f t="shared" si="8"/>
        <v>Villa Alegre</v>
      </c>
      <c r="P304" s="52" t="str">
        <f t="shared" si="9"/>
        <v>Visita</v>
      </c>
      <c r="Q304" s="52">
        <v>0</v>
      </c>
      <c r="R304" s="52">
        <v>3</v>
      </c>
      <c r="S304" s="55" t="s">
        <v>397</v>
      </c>
      <c r="T304" s="53">
        <v>46230</v>
      </c>
    </row>
    <row r="305" spans="1:20" ht="12" customHeight="1">
      <c r="A305" s="51" t="s">
        <v>143</v>
      </c>
      <c r="B305" s="52">
        <v>6</v>
      </c>
      <c r="C305" s="53">
        <v>46208</v>
      </c>
      <c r="D305" s="54" t="s">
        <v>412</v>
      </c>
      <c r="E305" s="55" t="s">
        <v>210</v>
      </c>
      <c r="F305" s="55" t="s">
        <v>172</v>
      </c>
      <c r="G305" s="55" t="s">
        <v>169</v>
      </c>
      <c r="H305" s="56">
        <v>1</v>
      </c>
      <c r="I305" s="56">
        <v>2</v>
      </c>
      <c r="J305" s="56">
        <v>2026</v>
      </c>
      <c r="K305" s="52" t="s">
        <v>99</v>
      </c>
      <c r="L305" s="52" t="s">
        <v>137</v>
      </c>
      <c r="M305" s="52" t="s">
        <v>401</v>
      </c>
      <c r="N305" s="52" t="s">
        <v>402</v>
      </c>
      <c r="O305" s="52" t="str">
        <f t="shared" si="8"/>
        <v>U.J. Lautaro</v>
      </c>
      <c r="P305" s="52" t="str">
        <f t="shared" si="9"/>
        <v>Visita</v>
      </c>
      <c r="Q305" s="52">
        <v>0</v>
      </c>
      <c r="R305" s="52">
        <v>3</v>
      </c>
      <c r="S305" s="55" t="s">
        <v>397</v>
      </c>
      <c r="T305" s="53">
        <v>46230</v>
      </c>
    </row>
    <row r="306" spans="1:20" ht="12" customHeight="1">
      <c r="A306" s="51" t="s">
        <v>143</v>
      </c>
      <c r="B306" s="52">
        <v>6</v>
      </c>
      <c r="C306" s="53">
        <v>46208</v>
      </c>
      <c r="D306" s="54" t="s">
        <v>412</v>
      </c>
      <c r="E306" s="55" t="s">
        <v>210</v>
      </c>
      <c r="F306" s="55" t="s">
        <v>176</v>
      </c>
      <c r="G306" s="55" t="s">
        <v>173</v>
      </c>
      <c r="H306" s="56">
        <v>1</v>
      </c>
      <c r="I306" s="56">
        <v>1</v>
      </c>
      <c r="J306" s="56">
        <v>2026</v>
      </c>
      <c r="K306" s="52" t="s">
        <v>99</v>
      </c>
      <c r="L306" s="52" t="s">
        <v>137</v>
      </c>
      <c r="M306" s="52" t="s">
        <v>395</v>
      </c>
      <c r="N306" s="52" t="s">
        <v>396</v>
      </c>
      <c r="O306" s="52" t="str">
        <f t="shared" si="8"/>
        <v>Empate</v>
      </c>
      <c r="P306" s="52" t="str">
        <f t="shared" si="9"/>
        <v>Empate</v>
      </c>
      <c r="Q306" s="52">
        <v>1</v>
      </c>
      <c r="R306" s="52">
        <v>1</v>
      </c>
      <c r="S306" s="55" t="s">
        <v>397</v>
      </c>
      <c r="T306" s="53">
        <v>46230</v>
      </c>
    </row>
    <row r="307" spans="1:20" ht="12" customHeight="1">
      <c r="A307" s="51" t="s">
        <v>143</v>
      </c>
      <c r="B307" s="52">
        <v>6</v>
      </c>
      <c r="C307" s="53">
        <v>46208</v>
      </c>
      <c r="D307" s="54" t="s">
        <v>412</v>
      </c>
      <c r="E307" s="55" t="s">
        <v>210</v>
      </c>
      <c r="F307" s="55" t="s">
        <v>174</v>
      </c>
      <c r="G307" s="55" t="s">
        <v>175</v>
      </c>
      <c r="H307" s="56">
        <v>1</v>
      </c>
      <c r="I307" s="56">
        <v>0</v>
      </c>
      <c r="J307" s="56">
        <v>2026</v>
      </c>
      <c r="K307" s="52" t="s">
        <v>99</v>
      </c>
      <c r="L307" s="52" t="s">
        <v>137</v>
      </c>
      <c r="M307" s="52" t="s">
        <v>399</v>
      </c>
      <c r="N307" s="52" t="s">
        <v>400</v>
      </c>
      <c r="O307" s="52" t="str">
        <f t="shared" si="8"/>
        <v>Inca</v>
      </c>
      <c r="P307" s="52" t="str">
        <f t="shared" si="9"/>
        <v>Local</v>
      </c>
      <c r="Q307" s="52">
        <v>3</v>
      </c>
      <c r="R307" s="52">
        <v>0</v>
      </c>
      <c r="S307" s="55" t="s">
        <v>397</v>
      </c>
      <c r="T307" s="53">
        <v>46230</v>
      </c>
    </row>
    <row r="308" spans="1:20" ht="12" customHeight="1">
      <c r="A308" s="51" t="s">
        <v>143</v>
      </c>
      <c r="B308" s="52">
        <v>7</v>
      </c>
      <c r="C308" s="53">
        <v>46215</v>
      </c>
      <c r="D308" s="54" t="s">
        <v>412</v>
      </c>
      <c r="E308" s="55" t="s">
        <v>205</v>
      </c>
      <c r="F308" s="55" t="s">
        <v>166</v>
      </c>
      <c r="G308" s="55" t="s">
        <v>169</v>
      </c>
      <c r="H308" s="56">
        <v>2</v>
      </c>
      <c r="I308" s="56">
        <v>2</v>
      </c>
      <c r="J308" s="56">
        <v>2026</v>
      </c>
      <c r="K308" s="52" t="s">
        <v>99</v>
      </c>
      <c r="L308" s="52" t="s">
        <v>137</v>
      </c>
      <c r="M308" s="52" t="s">
        <v>401</v>
      </c>
      <c r="N308" s="52" t="s">
        <v>402</v>
      </c>
      <c r="O308" s="52" t="str">
        <f t="shared" si="8"/>
        <v>Empate</v>
      </c>
      <c r="P308" s="52" t="str">
        <f t="shared" si="9"/>
        <v>Empate</v>
      </c>
      <c r="Q308" s="52">
        <v>1</v>
      </c>
      <c r="R308" s="52">
        <v>1</v>
      </c>
      <c r="S308" s="55" t="s">
        <v>397</v>
      </c>
      <c r="T308" s="53">
        <v>46230</v>
      </c>
    </row>
    <row r="309" spans="1:20" ht="12" customHeight="1">
      <c r="A309" s="51" t="s">
        <v>143</v>
      </c>
      <c r="B309" s="52">
        <v>7</v>
      </c>
      <c r="C309" s="53">
        <v>46215</v>
      </c>
      <c r="D309" s="54" t="s">
        <v>412</v>
      </c>
      <c r="E309" s="55" t="s">
        <v>210</v>
      </c>
      <c r="F309" s="55" t="s">
        <v>176</v>
      </c>
      <c r="G309" s="55" t="s">
        <v>170</v>
      </c>
      <c r="H309" s="56">
        <v>0</v>
      </c>
      <c r="I309" s="56">
        <v>2</v>
      </c>
      <c r="J309" s="56">
        <v>2026</v>
      </c>
      <c r="K309" s="52" t="s">
        <v>99</v>
      </c>
      <c r="L309" s="52" t="s">
        <v>137</v>
      </c>
      <c r="M309" s="52" t="s">
        <v>395</v>
      </c>
      <c r="N309" s="52" t="s">
        <v>396</v>
      </c>
      <c r="O309" s="52" t="str">
        <f t="shared" si="8"/>
        <v>Forestal</v>
      </c>
      <c r="P309" s="52" t="str">
        <f t="shared" si="9"/>
        <v>Visita</v>
      </c>
      <c r="Q309" s="52">
        <v>0</v>
      </c>
      <c r="R309" s="52">
        <v>3</v>
      </c>
      <c r="S309" s="55" t="s">
        <v>397</v>
      </c>
      <c r="T309" s="53">
        <v>46230</v>
      </c>
    </row>
    <row r="310" spans="1:20" ht="12" customHeight="1">
      <c r="A310" s="51" t="s">
        <v>143</v>
      </c>
      <c r="B310" s="52">
        <v>7</v>
      </c>
      <c r="C310" s="53">
        <v>46215</v>
      </c>
      <c r="D310" s="54" t="s">
        <v>412</v>
      </c>
      <c r="E310" s="55" t="s">
        <v>210</v>
      </c>
      <c r="F310" s="55" t="s">
        <v>172</v>
      </c>
      <c r="G310" s="55" t="s">
        <v>175</v>
      </c>
      <c r="H310" s="56">
        <v>0</v>
      </c>
      <c r="I310" s="56">
        <v>2</v>
      </c>
      <c r="J310" s="56">
        <v>2026</v>
      </c>
      <c r="K310" s="52" t="s">
        <v>99</v>
      </c>
      <c r="L310" s="52" t="s">
        <v>137</v>
      </c>
      <c r="M310" s="52" t="s">
        <v>399</v>
      </c>
      <c r="N310" s="52" t="s">
        <v>400</v>
      </c>
      <c r="O310" s="52" t="str">
        <f t="shared" si="8"/>
        <v>Colo Colo</v>
      </c>
      <c r="P310" s="52" t="str">
        <f t="shared" si="9"/>
        <v>Visita</v>
      </c>
      <c r="Q310" s="52">
        <v>0</v>
      </c>
      <c r="R310" s="52">
        <v>3</v>
      </c>
      <c r="S310" s="55" t="s">
        <v>397</v>
      </c>
      <c r="T310" s="53">
        <v>46230</v>
      </c>
    </row>
    <row r="311" spans="1:20" ht="12" customHeight="1">
      <c r="A311" s="51" t="s">
        <v>143</v>
      </c>
      <c r="B311" s="52">
        <v>7</v>
      </c>
      <c r="C311" s="53">
        <v>46215</v>
      </c>
      <c r="D311" s="54" t="s">
        <v>412</v>
      </c>
      <c r="E311" s="55" t="s">
        <v>210</v>
      </c>
      <c r="F311" s="55" t="s">
        <v>174</v>
      </c>
      <c r="G311" s="55" t="s">
        <v>173</v>
      </c>
      <c r="H311" s="56">
        <v>3</v>
      </c>
      <c r="I311" s="56">
        <v>0</v>
      </c>
      <c r="J311" s="56">
        <v>2026</v>
      </c>
      <c r="K311" s="52" t="s">
        <v>99</v>
      </c>
      <c r="L311" s="52" t="s">
        <v>137</v>
      </c>
      <c r="M311" s="52" t="s">
        <v>402</v>
      </c>
      <c r="N311" s="52" t="s">
        <v>403</v>
      </c>
      <c r="O311" s="52" t="str">
        <f t="shared" si="8"/>
        <v>Inca</v>
      </c>
      <c r="P311" s="52" t="str">
        <f t="shared" si="9"/>
        <v>Local</v>
      </c>
      <c r="Q311" s="52">
        <v>3</v>
      </c>
      <c r="R311" s="52">
        <v>0</v>
      </c>
      <c r="S311" s="55" t="s">
        <v>397</v>
      </c>
      <c r="T311" s="53">
        <v>46230</v>
      </c>
    </row>
    <row r="312" spans="1:20" ht="12" customHeight="1">
      <c r="A312" s="51" t="s">
        <v>143</v>
      </c>
      <c r="B312" s="52">
        <v>8</v>
      </c>
      <c r="C312" s="53">
        <v>46222</v>
      </c>
      <c r="D312" s="54" t="s">
        <v>412</v>
      </c>
      <c r="E312" s="55" t="s">
        <v>210</v>
      </c>
      <c r="F312" s="55" t="s">
        <v>176</v>
      </c>
      <c r="G312" s="55" t="s">
        <v>166</v>
      </c>
      <c r="H312" s="56">
        <v>0</v>
      </c>
      <c r="I312" s="56">
        <v>1</v>
      </c>
      <c r="J312" s="56">
        <v>2026</v>
      </c>
      <c r="K312" s="52" t="s">
        <v>99</v>
      </c>
      <c r="L312" s="52" t="s">
        <v>137</v>
      </c>
      <c r="M312" s="52" t="s">
        <v>395</v>
      </c>
      <c r="N312" s="52" t="s">
        <v>396</v>
      </c>
      <c r="O312" s="52" t="str">
        <f t="shared" si="8"/>
        <v>Villa Alegre</v>
      </c>
      <c r="P312" s="52" t="str">
        <f t="shared" si="9"/>
        <v>Visita</v>
      </c>
      <c r="Q312" s="52">
        <v>0</v>
      </c>
      <c r="R312" s="52">
        <v>3</v>
      </c>
      <c r="S312" s="55" t="s">
        <v>397</v>
      </c>
      <c r="T312" s="53">
        <v>46230</v>
      </c>
    </row>
    <row r="313" spans="1:20" ht="12" customHeight="1">
      <c r="A313" s="51" t="s">
        <v>143</v>
      </c>
      <c r="B313" s="52">
        <v>8</v>
      </c>
      <c r="C313" s="53">
        <v>46222</v>
      </c>
      <c r="D313" s="54" t="s">
        <v>412</v>
      </c>
      <c r="E313" s="55" t="s">
        <v>207</v>
      </c>
      <c r="F313" s="55" t="s">
        <v>169</v>
      </c>
      <c r="G313" s="55" t="s">
        <v>175</v>
      </c>
      <c r="H313" s="56">
        <v>2</v>
      </c>
      <c r="I313" s="56">
        <v>1</v>
      </c>
      <c r="J313" s="56">
        <v>2026</v>
      </c>
      <c r="K313" s="52" t="s">
        <v>99</v>
      </c>
      <c r="L313" s="52" t="s">
        <v>137</v>
      </c>
      <c r="M313" s="52" t="s">
        <v>399</v>
      </c>
      <c r="N313" s="52" t="s">
        <v>400</v>
      </c>
      <c r="O313" s="52" t="str">
        <f t="shared" si="8"/>
        <v>U.J. Lautaro</v>
      </c>
      <c r="P313" s="52" t="str">
        <f t="shared" si="9"/>
        <v>Local</v>
      </c>
      <c r="Q313" s="52">
        <v>3</v>
      </c>
      <c r="R313" s="52">
        <v>0</v>
      </c>
      <c r="S313" s="55" t="s">
        <v>397</v>
      </c>
      <c r="T313" s="53">
        <v>46230</v>
      </c>
    </row>
    <row r="314" spans="1:20" ht="12" customHeight="1">
      <c r="A314" s="51" t="s">
        <v>143</v>
      </c>
      <c r="B314" s="52">
        <v>8</v>
      </c>
      <c r="C314" s="53">
        <v>46222</v>
      </c>
      <c r="D314" s="54" t="s">
        <v>412</v>
      </c>
      <c r="E314" s="55" t="s">
        <v>210</v>
      </c>
      <c r="F314" s="55" t="s">
        <v>174</v>
      </c>
      <c r="G314" s="55" t="s">
        <v>170</v>
      </c>
      <c r="H314" s="56">
        <v>1</v>
      </c>
      <c r="I314" s="56">
        <v>0</v>
      </c>
      <c r="J314" s="56">
        <v>2026</v>
      </c>
      <c r="K314" s="52" t="s">
        <v>99</v>
      </c>
      <c r="L314" s="52" t="s">
        <v>137</v>
      </c>
      <c r="M314" s="52" t="s">
        <v>402</v>
      </c>
      <c r="N314" s="52" t="s">
        <v>403</v>
      </c>
      <c r="O314" s="52" t="str">
        <f t="shared" si="8"/>
        <v>Inca</v>
      </c>
      <c r="P314" s="52" t="str">
        <f t="shared" si="9"/>
        <v>Local</v>
      </c>
      <c r="Q314" s="52">
        <v>3</v>
      </c>
      <c r="R314" s="52">
        <v>0</v>
      </c>
      <c r="S314" s="55" t="s">
        <v>397</v>
      </c>
      <c r="T314" s="53">
        <v>46230</v>
      </c>
    </row>
    <row r="315" spans="1:20" ht="12" customHeight="1">
      <c r="A315" s="51" t="s">
        <v>143</v>
      </c>
      <c r="B315" s="52">
        <v>8</v>
      </c>
      <c r="C315" s="53">
        <v>46222</v>
      </c>
      <c r="D315" s="54" t="s">
        <v>412</v>
      </c>
      <c r="E315" s="55" t="s">
        <v>210</v>
      </c>
      <c r="F315" s="55" t="s">
        <v>172</v>
      </c>
      <c r="G315" s="55" t="s">
        <v>173</v>
      </c>
      <c r="H315" s="56">
        <v>1</v>
      </c>
      <c r="I315" s="56">
        <v>0</v>
      </c>
      <c r="J315" s="56">
        <v>2026</v>
      </c>
      <c r="K315" s="52" t="s">
        <v>99</v>
      </c>
      <c r="L315" s="52" t="s">
        <v>137</v>
      </c>
      <c r="M315" s="52" t="s">
        <v>396</v>
      </c>
      <c r="N315" s="52" t="s">
        <v>404</v>
      </c>
      <c r="O315" s="52" t="str">
        <f t="shared" si="8"/>
        <v>Grinvasul</v>
      </c>
      <c r="P315" s="52" t="str">
        <f t="shared" si="9"/>
        <v>Local</v>
      </c>
      <c r="Q315" s="52">
        <v>3</v>
      </c>
      <c r="R315" s="52">
        <v>0</v>
      </c>
      <c r="S315" s="55" t="s">
        <v>397</v>
      </c>
      <c r="T315" s="53">
        <v>46230</v>
      </c>
    </row>
    <row r="316" spans="1:20" ht="12" customHeight="1">
      <c r="A316" s="51" t="s">
        <v>143</v>
      </c>
      <c r="B316" s="52">
        <v>9</v>
      </c>
      <c r="C316" s="53">
        <v>46229</v>
      </c>
      <c r="D316" s="54" t="s">
        <v>412</v>
      </c>
      <c r="E316" s="55" t="s">
        <v>205</v>
      </c>
      <c r="F316" s="55" t="s">
        <v>166</v>
      </c>
      <c r="G316" s="55" t="s">
        <v>175</v>
      </c>
      <c r="H316" s="56">
        <v>1</v>
      </c>
      <c r="I316" s="56">
        <v>1</v>
      </c>
      <c r="J316" s="56">
        <v>2026</v>
      </c>
      <c r="K316" s="52" t="s">
        <v>99</v>
      </c>
      <c r="L316" s="52" t="s">
        <v>137</v>
      </c>
      <c r="M316" s="52" t="s">
        <v>399</v>
      </c>
      <c r="N316" s="52" t="s">
        <v>400</v>
      </c>
      <c r="O316" s="52" t="str">
        <f t="shared" si="8"/>
        <v>Empate</v>
      </c>
      <c r="P316" s="52" t="str">
        <f t="shared" si="9"/>
        <v>Empate</v>
      </c>
      <c r="Q316" s="52">
        <v>1</v>
      </c>
      <c r="R316" s="52">
        <v>1</v>
      </c>
      <c r="S316" s="55" t="s">
        <v>397</v>
      </c>
      <c r="T316" s="53">
        <v>46230</v>
      </c>
    </row>
    <row r="317" spans="1:20" ht="12" customHeight="1">
      <c r="A317" s="51" t="s">
        <v>143</v>
      </c>
      <c r="B317" s="52">
        <v>9</v>
      </c>
      <c r="C317" s="53">
        <v>46229</v>
      </c>
      <c r="D317" s="54" t="s">
        <v>412</v>
      </c>
      <c r="E317" s="55" t="s">
        <v>210</v>
      </c>
      <c r="F317" s="55" t="s">
        <v>174</v>
      </c>
      <c r="G317" s="55" t="s">
        <v>176</v>
      </c>
      <c r="H317" s="56">
        <v>0</v>
      </c>
      <c r="I317" s="56">
        <v>2</v>
      </c>
      <c r="J317" s="56">
        <v>2026</v>
      </c>
      <c r="K317" s="52" t="s">
        <v>99</v>
      </c>
      <c r="L317" s="52" t="s">
        <v>137</v>
      </c>
      <c r="M317" s="52" t="s">
        <v>402</v>
      </c>
      <c r="N317" s="52" t="s">
        <v>403</v>
      </c>
      <c r="O317" s="52" t="str">
        <f t="shared" si="8"/>
        <v>Maestranza</v>
      </c>
      <c r="P317" s="52" t="str">
        <f t="shared" si="9"/>
        <v>Visita</v>
      </c>
      <c r="Q317" s="52">
        <v>0</v>
      </c>
      <c r="R317" s="52">
        <v>3</v>
      </c>
      <c r="S317" s="55" t="s">
        <v>397</v>
      </c>
      <c r="T317" s="53">
        <v>46230</v>
      </c>
    </row>
    <row r="318" spans="1:20" ht="12" customHeight="1">
      <c r="A318" s="51" t="s">
        <v>143</v>
      </c>
      <c r="B318" s="52">
        <v>9</v>
      </c>
      <c r="C318" s="53">
        <v>46229</v>
      </c>
      <c r="D318" s="54" t="s">
        <v>412</v>
      </c>
      <c r="E318" s="55" t="s">
        <v>207</v>
      </c>
      <c r="F318" s="55" t="s">
        <v>169</v>
      </c>
      <c r="G318" s="55" t="s">
        <v>173</v>
      </c>
      <c r="H318" s="56">
        <v>4</v>
      </c>
      <c r="I318" s="56">
        <v>1</v>
      </c>
      <c r="J318" s="56">
        <v>2026</v>
      </c>
      <c r="K318" s="52" t="s">
        <v>99</v>
      </c>
      <c r="L318" s="52" t="s">
        <v>137</v>
      </c>
      <c r="M318" s="52" t="s">
        <v>396</v>
      </c>
      <c r="N318" s="52" t="s">
        <v>404</v>
      </c>
      <c r="O318" s="52" t="str">
        <f t="shared" si="8"/>
        <v>U.J. Lautaro</v>
      </c>
      <c r="P318" s="52" t="str">
        <f t="shared" si="9"/>
        <v>Local</v>
      </c>
      <c r="Q318" s="52">
        <v>3</v>
      </c>
      <c r="R318" s="52">
        <v>0</v>
      </c>
      <c r="S318" s="55" t="s">
        <v>397</v>
      </c>
      <c r="T318" s="53">
        <v>46230</v>
      </c>
    </row>
    <row r="319" spans="1:20" ht="12" customHeight="1">
      <c r="A319" s="51" t="s">
        <v>143</v>
      </c>
      <c r="B319" s="52">
        <v>9</v>
      </c>
      <c r="C319" s="53">
        <v>46229</v>
      </c>
      <c r="D319" s="54" t="s">
        <v>412</v>
      </c>
      <c r="E319" s="55" t="s">
        <v>210</v>
      </c>
      <c r="F319" s="55" t="s">
        <v>172</v>
      </c>
      <c r="G319" s="55" t="s">
        <v>170</v>
      </c>
      <c r="H319" s="56">
        <v>0</v>
      </c>
      <c r="I319" s="56">
        <v>0</v>
      </c>
      <c r="J319" s="56">
        <v>2026</v>
      </c>
      <c r="K319" s="52" t="s">
        <v>99</v>
      </c>
      <c r="L319" s="52" t="s">
        <v>137</v>
      </c>
      <c r="M319" s="52" t="s">
        <v>400</v>
      </c>
      <c r="N319" s="52" t="s">
        <v>405</v>
      </c>
      <c r="O319" s="52" t="str">
        <f t="shared" si="8"/>
        <v>Empate</v>
      </c>
      <c r="P319" s="52" t="str">
        <f t="shared" si="9"/>
        <v>Empate</v>
      </c>
      <c r="Q319" s="52">
        <v>1</v>
      </c>
      <c r="R319" s="52">
        <v>1</v>
      </c>
      <c r="S319" s="55" t="s">
        <v>397</v>
      </c>
      <c r="T319" s="53">
        <v>46230</v>
      </c>
    </row>
    <row r="320" spans="1:20" ht="12" customHeight="1">
      <c r="A320" s="51" t="s">
        <v>143</v>
      </c>
      <c r="B320" s="52">
        <v>10</v>
      </c>
      <c r="C320" s="53">
        <v>46236</v>
      </c>
      <c r="D320" s="54" t="s">
        <v>412</v>
      </c>
      <c r="E320" s="55" t="s">
        <v>210</v>
      </c>
      <c r="F320" s="55" t="s">
        <v>174</v>
      </c>
      <c r="G320" s="55" t="s">
        <v>166</v>
      </c>
      <c r="H320" s="56"/>
      <c r="I320" s="56"/>
      <c r="J320" s="56">
        <v>2026</v>
      </c>
      <c r="K320" s="52" t="s">
        <v>99</v>
      </c>
      <c r="L320" s="52" t="s">
        <v>88</v>
      </c>
      <c r="M320" s="52" t="s">
        <v>402</v>
      </c>
      <c r="N320" s="52" t="s">
        <v>403</v>
      </c>
      <c r="O320" s="52" t="str">
        <f t="shared" si="8"/>
        <v/>
      </c>
      <c r="P320" s="52" t="str">
        <f t="shared" si="9"/>
        <v/>
      </c>
      <c r="Q320" s="52"/>
      <c r="R320" s="52"/>
      <c r="S320" s="55" t="s">
        <v>407</v>
      </c>
      <c r="T320" s="53">
        <v>46230</v>
      </c>
    </row>
    <row r="321" spans="1:20" ht="12" customHeight="1">
      <c r="A321" s="51" t="s">
        <v>143</v>
      </c>
      <c r="B321" s="52">
        <v>10</v>
      </c>
      <c r="C321" s="53">
        <v>46236</v>
      </c>
      <c r="D321" s="54" t="s">
        <v>412</v>
      </c>
      <c r="E321" s="55" t="s">
        <v>207</v>
      </c>
      <c r="F321" s="55" t="s">
        <v>175</v>
      </c>
      <c r="G321" s="55" t="s">
        <v>173</v>
      </c>
      <c r="H321" s="56"/>
      <c r="I321" s="56"/>
      <c r="J321" s="56">
        <v>2026</v>
      </c>
      <c r="K321" s="52" t="s">
        <v>99</v>
      </c>
      <c r="L321" s="52" t="s">
        <v>88</v>
      </c>
      <c r="M321" s="52" t="s">
        <v>396</v>
      </c>
      <c r="N321" s="52" t="s">
        <v>404</v>
      </c>
      <c r="O321" s="52" t="str">
        <f t="shared" si="8"/>
        <v/>
      </c>
      <c r="P321" s="52" t="str">
        <f t="shared" si="9"/>
        <v/>
      </c>
      <c r="Q321" s="52"/>
      <c r="R321" s="52"/>
      <c r="S321" s="55" t="s">
        <v>407</v>
      </c>
      <c r="T321" s="53">
        <v>46230</v>
      </c>
    </row>
    <row r="322" spans="1:20" ht="12" customHeight="1">
      <c r="A322" s="51" t="s">
        <v>143</v>
      </c>
      <c r="B322" s="52">
        <v>10</v>
      </c>
      <c r="C322" s="53">
        <v>46236</v>
      </c>
      <c r="D322" s="54" t="s">
        <v>412</v>
      </c>
      <c r="E322" s="55" t="s">
        <v>210</v>
      </c>
      <c r="F322" s="55" t="s">
        <v>172</v>
      </c>
      <c r="G322" s="55" t="s">
        <v>176</v>
      </c>
      <c r="H322" s="56"/>
      <c r="I322" s="56"/>
      <c r="J322" s="56">
        <v>2026</v>
      </c>
      <c r="K322" s="52" t="s">
        <v>99</v>
      </c>
      <c r="L322" s="52" t="s">
        <v>88</v>
      </c>
      <c r="M322" s="52" t="s">
        <v>400</v>
      </c>
      <c r="N322" s="52" t="s">
        <v>405</v>
      </c>
      <c r="O322" s="52" t="str">
        <f t="shared" si="8"/>
        <v/>
      </c>
      <c r="P322" s="52" t="str">
        <f t="shared" si="9"/>
        <v/>
      </c>
      <c r="Q322" s="52"/>
      <c r="R322" s="52"/>
      <c r="S322" s="55" t="s">
        <v>407</v>
      </c>
      <c r="T322" s="53">
        <v>46230</v>
      </c>
    </row>
    <row r="323" spans="1:20" ht="12" customHeight="1">
      <c r="A323" s="51" t="s">
        <v>143</v>
      </c>
      <c r="B323" s="52">
        <v>10</v>
      </c>
      <c r="C323" s="53">
        <v>46236</v>
      </c>
      <c r="D323" s="54" t="s">
        <v>412</v>
      </c>
      <c r="E323" s="55" t="s">
        <v>207</v>
      </c>
      <c r="F323" s="55" t="s">
        <v>169</v>
      </c>
      <c r="G323" s="55" t="s">
        <v>170</v>
      </c>
      <c r="H323" s="56"/>
      <c r="I323" s="56"/>
      <c r="J323" s="56">
        <v>2026</v>
      </c>
      <c r="K323" s="52" t="s">
        <v>99</v>
      </c>
      <c r="L323" s="52" t="s">
        <v>88</v>
      </c>
      <c r="M323" s="52" t="s">
        <v>403</v>
      </c>
      <c r="N323" s="52" t="s">
        <v>406</v>
      </c>
      <c r="O323" s="52" t="str">
        <f t="shared" si="8"/>
        <v/>
      </c>
      <c r="P323" s="52" t="str">
        <f t="shared" si="9"/>
        <v/>
      </c>
      <c r="Q323" s="52"/>
      <c r="R323" s="52"/>
      <c r="S323" s="55" t="s">
        <v>407</v>
      </c>
      <c r="T323" s="53">
        <v>46230</v>
      </c>
    </row>
    <row r="324" spans="1:20" ht="12" customHeight="1">
      <c r="A324" s="51" t="s">
        <v>143</v>
      </c>
      <c r="B324" s="52">
        <v>11</v>
      </c>
      <c r="C324" s="53">
        <v>46243</v>
      </c>
      <c r="D324" s="54" t="s">
        <v>412</v>
      </c>
      <c r="E324" s="55" t="s">
        <v>205</v>
      </c>
      <c r="F324" s="55" t="s">
        <v>166</v>
      </c>
      <c r="G324" s="55" t="s">
        <v>173</v>
      </c>
      <c r="H324" s="56"/>
      <c r="I324" s="56"/>
      <c r="J324" s="56">
        <v>2026</v>
      </c>
      <c r="K324" s="52" t="s">
        <v>99</v>
      </c>
      <c r="L324" s="52" t="s">
        <v>88</v>
      </c>
      <c r="M324" s="52" t="s">
        <v>396</v>
      </c>
      <c r="N324" s="52" t="s">
        <v>404</v>
      </c>
      <c r="O324" s="52" t="str">
        <f t="shared" ref="O324:O387" si="10">IF(OR(L324&lt;&gt;"Finalizado",H324="",I324=""),"",IF(H324&gt;I324,F324,IF(I324&gt;H324,G324,"Empate")))</f>
        <v/>
      </c>
      <c r="P324" s="52" t="str">
        <f t="shared" ref="P324:P387" si="11">IF(OR(L324&lt;&gt;"Finalizado",H324="",I324=""),"",IF(H324=I324,"Empate",IF(H324&gt;I324,"Local","Visita")))</f>
        <v/>
      </c>
      <c r="Q324" s="52"/>
      <c r="R324" s="52"/>
      <c r="S324" s="55" t="s">
        <v>407</v>
      </c>
      <c r="T324" s="53">
        <v>46230</v>
      </c>
    </row>
    <row r="325" spans="1:20" ht="12" customHeight="1">
      <c r="A325" s="51" t="s">
        <v>143</v>
      </c>
      <c r="B325" s="52">
        <v>11</v>
      </c>
      <c r="C325" s="53">
        <v>46243</v>
      </c>
      <c r="D325" s="54" t="s">
        <v>412</v>
      </c>
      <c r="E325" s="55" t="s">
        <v>210</v>
      </c>
      <c r="F325" s="55" t="s">
        <v>172</v>
      </c>
      <c r="G325" s="55" t="s">
        <v>174</v>
      </c>
      <c r="H325" s="56"/>
      <c r="I325" s="56"/>
      <c r="J325" s="56">
        <v>2026</v>
      </c>
      <c r="K325" s="52" t="s">
        <v>99</v>
      </c>
      <c r="L325" s="52" t="s">
        <v>88</v>
      </c>
      <c r="M325" s="52" t="s">
        <v>400</v>
      </c>
      <c r="N325" s="52" t="s">
        <v>405</v>
      </c>
      <c r="O325" s="52" t="str">
        <f t="shared" si="10"/>
        <v/>
      </c>
      <c r="P325" s="52" t="str">
        <f t="shared" si="11"/>
        <v/>
      </c>
      <c r="Q325" s="52"/>
      <c r="R325" s="52"/>
      <c r="S325" s="55" t="s">
        <v>407</v>
      </c>
      <c r="T325" s="53">
        <v>46230</v>
      </c>
    </row>
    <row r="326" spans="1:20" ht="12" customHeight="1">
      <c r="A326" s="51" t="s">
        <v>143</v>
      </c>
      <c r="B326" s="52">
        <v>11</v>
      </c>
      <c r="C326" s="53">
        <v>46243</v>
      </c>
      <c r="D326" s="54" t="s">
        <v>412</v>
      </c>
      <c r="E326" s="55" t="s">
        <v>207</v>
      </c>
      <c r="F326" s="55" t="s">
        <v>175</v>
      </c>
      <c r="G326" s="55" t="s">
        <v>170</v>
      </c>
      <c r="H326" s="56"/>
      <c r="I326" s="56"/>
      <c r="J326" s="56">
        <v>2026</v>
      </c>
      <c r="K326" s="52" t="s">
        <v>99</v>
      </c>
      <c r="L326" s="52" t="s">
        <v>88</v>
      </c>
      <c r="M326" s="52" t="s">
        <v>403</v>
      </c>
      <c r="N326" s="52" t="s">
        <v>406</v>
      </c>
      <c r="O326" s="52" t="str">
        <f t="shared" si="10"/>
        <v/>
      </c>
      <c r="P326" s="52" t="str">
        <f t="shared" si="11"/>
        <v/>
      </c>
      <c r="Q326" s="52"/>
      <c r="R326" s="52"/>
      <c r="S326" s="55" t="s">
        <v>407</v>
      </c>
      <c r="T326" s="53">
        <v>46230</v>
      </c>
    </row>
    <row r="327" spans="1:20" ht="12" customHeight="1">
      <c r="A327" s="51" t="s">
        <v>143</v>
      </c>
      <c r="B327" s="52">
        <v>11</v>
      </c>
      <c r="C327" s="53">
        <v>46243</v>
      </c>
      <c r="D327" s="54" t="s">
        <v>412</v>
      </c>
      <c r="E327" s="55" t="s">
        <v>207</v>
      </c>
      <c r="F327" s="55" t="s">
        <v>169</v>
      </c>
      <c r="G327" s="55" t="s">
        <v>176</v>
      </c>
      <c r="H327" s="56"/>
      <c r="I327" s="56"/>
      <c r="J327" s="56">
        <v>2026</v>
      </c>
      <c r="K327" s="52" t="s">
        <v>99</v>
      </c>
      <c r="L327" s="52" t="s">
        <v>88</v>
      </c>
      <c r="M327" s="52" t="s">
        <v>404</v>
      </c>
      <c r="N327" s="52" t="s">
        <v>394</v>
      </c>
      <c r="O327" s="52" t="str">
        <f t="shared" si="10"/>
        <v/>
      </c>
      <c r="P327" s="52" t="str">
        <f t="shared" si="11"/>
        <v/>
      </c>
      <c r="Q327" s="52"/>
      <c r="R327" s="52"/>
      <c r="S327" s="55" t="s">
        <v>407</v>
      </c>
      <c r="T327" s="53">
        <v>46230</v>
      </c>
    </row>
    <row r="328" spans="1:20" ht="12" customHeight="1">
      <c r="A328" s="51" t="s">
        <v>143</v>
      </c>
      <c r="B328" s="52">
        <v>12</v>
      </c>
      <c r="C328" s="53">
        <v>46250</v>
      </c>
      <c r="D328" s="54" t="s">
        <v>412</v>
      </c>
      <c r="E328" s="55" t="s">
        <v>210</v>
      </c>
      <c r="F328" s="55" t="s">
        <v>172</v>
      </c>
      <c r="G328" s="55" t="s">
        <v>166</v>
      </c>
      <c r="H328" s="56"/>
      <c r="I328" s="56"/>
      <c r="J328" s="56">
        <v>2026</v>
      </c>
      <c r="K328" s="52" t="s">
        <v>99</v>
      </c>
      <c r="L328" s="52" t="s">
        <v>88</v>
      </c>
      <c r="M328" s="52" t="s">
        <v>400</v>
      </c>
      <c r="N328" s="52" t="s">
        <v>405</v>
      </c>
      <c r="O328" s="52" t="str">
        <f t="shared" si="10"/>
        <v/>
      </c>
      <c r="P328" s="52" t="str">
        <f t="shared" si="11"/>
        <v/>
      </c>
      <c r="Q328" s="52"/>
      <c r="R328" s="52"/>
      <c r="S328" s="55" t="s">
        <v>407</v>
      </c>
      <c r="T328" s="53">
        <v>46230</v>
      </c>
    </row>
    <row r="329" spans="1:20" ht="12" customHeight="1">
      <c r="A329" s="51" t="s">
        <v>143</v>
      </c>
      <c r="B329" s="52">
        <v>12</v>
      </c>
      <c r="C329" s="53">
        <v>46250</v>
      </c>
      <c r="D329" s="54" t="s">
        <v>412</v>
      </c>
      <c r="E329" s="55" t="s">
        <v>205</v>
      </c>
      <c r="F329" s="55" t="s">
        <v>173</v>
      </c>
      <c r="G329" s="55" t="s">
        <v>170</v>
      </c>
      <c r="H329" s="56"/>
      <c r="I329" s="56"/>
      <c r="J329" s="56">
        <v>2026</v>
      </c>
      <c r="K329" s="52" t="s">
        <v>99</v>
      </c>
      <c r="L329" s="52" t="s">
        <v>88</v>
      </c>
      <c r="M329" s="52" t="s">
        <v>403</v>
      </c>
      <c r="N329" s="52" t="s">
        <v>406</v>
      </c>
      <c r="O329" s="52" t="str">
        <f t="shared" si="10"/>
        <v/>
      </c>
      <c r="P329" s="52" t="str">
        <f t="shared" si="11"/>
        <v/>
      </c>
      <c r="Q329" s="52"/>
      <c r="R329" s="52"/>
      <c r="S329" s="55" t="s">
        <v>407</v>
      </c>
      <c r="T329" s="53">
        <v>46230</v>
      </c>
    </row>
    <row r="330" spans="1:20" ht="12" customHeight="1">
      <c r="A330" s="51" t="s">
        <v>143</v>
      </c>
      <c r="B330" s="52">
        <v>12</v>
      </c>
      <c r="C330" s="53">
        <v>46250</v>
      </c>
      <c r="D330" s="54" t="s">
        <v>412</v>
      </c>
      <c r="E330" s="55" t="s">
        <v>207</v>
      </c>
      <c r="F330" s="55" t="s">
        <v>169</v>
      </c>
      <c r="G330" s="55" t="s">
        <v>174</v>
      </c>
      <c r="H330" s="56"/>
      <c r="I330" s="56"/>
      <c r="J330" s="56">
        <v>2026</v>
      </c>
      <c r="K330" s="52" t="s">
        <v>99</v>
      </c>
      <c r="L330" s="52" t="s">
        <v>88</v>
      </c>
      <c r="M330" s="52" t="s">
        <v>404</v>
      </c>
      <c r="N330" s="52" t="s">
        <v>394</v>
      </c>
      <c r="O330" s="52" t="str">
        <f t="shared" si="10"/>
        <v/>
      </c>
      <c r="P330" s="52" t="str">
        <f t="shared" si="11"/>
        <v/>
      </c>
      <c r="Q330" s="52"/>
      <c r="R330" s="52"/>
      <c r="S330" s="55" t="s">
        <v>407</v>
      </c>
      <c r="T330" s="53">
        <v>46230</v>
      </c>
    </row>
    <row r="331" spans="1:20" ht="12" customHeight="1">
      <c r="A331" s="51" t="s">
        <v>143</v>
      </c>
      <c r="B331" s="52">
        <v>12</v>
      </c>
      <c r="C331" s="53">
        <v>46250</v>
      </c>
      <c r="D331" s="54" t="s">
        <v>412</v>
      </c>
      <c r="E331" s="55" t="s">
        <v>207</v>
      </c>
      <c r="F331" s="55" t="s">
        <v>175</v>
      </c>
      <c r="G331" s="55" t="s">
        <v>176</v>
      </c>
      <c r="H331" s="56"/>
      <c r="I331" s="56"/>
      <c r="J331" s="56">
        <v>2026</v>
      </c>
      <c r="K331" s="52" t="s">
        <v>99</v>
      </c>
      <c r="L331" s="52" t="s">
        <v>88</v>
      </c>
      <c r="M331" s="52" t="s">
        <v>405</v>
      </c>
      <c r="N331" s="52" t="s">
        <v>398</v>
      </c>
      <c r="O331" s="52" t="str">
        <f t="shared" si="10"/>
        <v/>
      </c>
      <c r="P331" s="52" t="str">
        <f t="shared" si="11"/>
        <v/>
      </c>
      <c r="Q331" s="52"/>
      <c r="R331" s="52"/>
      <c r="S331" s="55" t="s">
        <v>407</v>
      </c>
      <c r="T331" s="53">
        <v>46230</v>
      </c>
    </row>
    <row r="332" spans="1:20" ht="12" customHeight="1">
      <c r="A332" s="51" t="s">
        <v>143</v>
      </c>
      <c r="B332" s="52">
        <v>13</v>
      </c>
      <c r="C332" s="53">
        <v>46257</v>
      </c>
      <c r="D332" s="54" t="s">
        <v>412</v>
      </c>
      <c r="E332" s="55" t="s">
        <v>205</v>
      </c>
      <c r="F332" s="55" t="s">
        <v>166</v>
      </c>
      <c r="G332" s="55" t="s">
        <v>170</v>
      </c>
      <c r="H332" s="56"/>
      <c r="I332" s="56"/>
      <c r="J332" s="56">
        <v>2026</v>
      </c>
      <c r="K332" s="52" t="s">
        <v>99</v>
      </c>
      <c r="L332" s="52" t="s">
        <v>88</v>
      </c>
      <c r="M332" s="52" t="s">
        <v>403</v>
      </c>
      <c r="N332" s="52" t="s">
        <v>406</v>
      </c>
      <c r="O332" s="52" t="str">
        <f t="shared" si="10"/>
        <v/>
      </c>
      <c r="P332" s="52" t="str">
        <f t="shared" si="11"/>
        <v/>
      </c>
      <c r="Q332" s="52"/>
      <c r="R332" s="52"/>
      <c r="S332" s="55" t="s">
        <v>407</v>
      </c>
      <c r="T332" s="53">
        <v>46230</v>
      </c>
    </row>
    <row r="333" spans="1:20" ht="12" customHeight="1">
      <c r="A333" s="51" t="s">
        <v>143</v>
      </c>
      <c r="B333" s="52">
        <v>13</v>
      </c>
      <c r="C333" s="53">
        <v>46257</v>
      </c>
      <c r="D333" s="54" t="s">
        <v>412</v>
      </c>
      <c r="E333" s="55" t="s">
        <v>207</v>
      </c>
      <c r="F333" s="55" t="s">
        <v>169</v>
      </c>
      <c r="G333" s="55" t="s">
        <v>172</v>
      </c>
      <c r="H333" s="56"/>
      <c r="I333" s="56"/>
      <c r="J333" s="56">
        <v>2026</v>
      </c>
      <c r="K333" s="52" t="s">
        <v>99</v>
      </c>
      <c r="L333" s="52" t="s">
        <v>88</v>
      </c>
      <c r="M333" s="52" t="s">
        <v>404</v>
      </c>
      <c r="N333" s="52" t="s">
        <v>394</v>
      </c>
      <c r="O333" s="52" t="str">
        <f t="shared" si="10"/>
        <v/>
      </c>
      <c r="P333" s="52" t="str">
        <f t="shared" si="11"/>
        <v/>
      </c>
      <c r="Q333" s="52"/>
      <c r="R333" s="52"/>
      <c r="S333" s="55" t="s">
        <v>407</v>
      </c>
      <c r="T333" s="53">
        <v>46230</v>
      </c>
    </row>
    <row r="334" spans="1:20" ht="12" customHeight="1">
      <c r="A334" s="51" t="s">
        <v>143</v>
      </c>
      <c r="B334" s="52">
        <v>13</v>
      </c>
      <c r="C334" s="53">
        <v>46257</v>
      </c>
      <c r="D334" s="54" t="s">
        <v>412</v>
      </c>
      <c r="E334" s="55" t="s">
        <v>205</v>
      </c>
      <c r="F334" s="55" t="s">
        <v>173</v>
      </c>
      <c r="G334" s="55" t="s">
        <v>176</v>
      </c>
      <c r="H334" s="56"/>
      <c r="I334" s="56"/>
      <c r="J334" s="56">
        <v>2026</v>
      </c>
      <c r="K334" s="52" t="s">
        <v>99</v>
      </c>
      <c r="L334" s="52" t="s">
        <v>88</v>
      </c>
      <c r="M334" s="52" t="s">
        <v>405</v>
      </c>
      <c r="N334" s="52" t="s">
        <v>398</v>
      </c>
      <c r="O334" s="52" t="str">
        <f t="shared" si="10"/>
        <v/>
      </c>
      <c r="P334" s="52" t="str">
        <f t="shared" si="11"/>
        <v/>
      </c>
      <c r="Q334" s="52"/>
      <c r="R334" s="52"/>
      <c r="S334" s="55" t="s">
        <v>407</v>
      </c>
      <c r="T334" s="53">
        <v>46230</v>
      </c>
    </row>
    <row r="335" spans="1:20" ht="12" customHeight="1">
      <c r="A335" s="51" t="s">
        <v>143</v>
      </c>
      <c r="B335" s="52">
        <v>13</v>
      </c>
      <c r="C335" s="53">
        <v>46257</v>
      </c>
      <c r="D335" s="54" t="s">
        <v>412</v>
      </c>
      <c r="E335" s="55" t="s">
        <v>207</v>
      </c>
      <c r="F335" s="55" t="s">
        <v>175</v>
      </c>
      <c r="G335" s="55" t="s">
        <v>174</v>
      </c>
      <c r="H335" s="56"/>
      <c r="I335" s="56"/>
      <c r="J335" s="56">
        <v>2026</v>
      </c>
      <c r="K335" s="52" t="s">
        <v>99</v>
      </c>
      <c r="L335" s="52" t="s">
        <v>88</v>
      </c>
      <c r="M335" s="52" t="s">
        <v>406</v>
      </c>
      <c r="N335" s="52" t="s">
        <v>401</v>
      </c>
      <c r="O335" s="52" t="str">
        <f t="shared" si="10"/>
        <v/>
      </c>
      <c r="P335" s="52" t="str">
        <f t="shared" si="11"/>
        <v/>
      </c>
      <c r="Q335" s="52"/>
      <c r="R335" s="52"/>
      <c r="S335" s="55" t="s">
        <v>407</v>
      </c>
      <c r="T335" s="53">
        <v>46230</v>
      </c>
    </row>
    <row r="336" spans="1:20" ht="12" customHeight="1">
      <c r="A336" s="51" t="s">
        <v>143</v>
      </c>
      <c r="B336" s="52">
        <v>14</v>
      </c>
      <c r="C336" s="53">
        <v>46264</v>
      </c>
      <c r="D336" s="54" t="s">
        <v>412</v>
      </c>
      <c r="E336" s="55" t="s">
        <v>207</v>
      </c>
      <c r="F336" s="55" t="s">
        <v>169</v>
      </c>
      <c r="G336" s="55" t="s">
        <v>166</v>
      </c>
      <c r="H336" s="56"/>
      <c r="I336" s="56"/>
      <c r="J336" s="56">
        <v>2026</v>
      </c>
      <c r="K336" s="52" t="s">
        <v>99</v>
      </c>
      <c r="L336" s="52" t="s">
        <v>88</v>
      </c>
      <c r="M336" s="52" t="s">
        <v>404</v>
      </c>
      <c r="N336" s="52" t="s">
        <v>394</v>
      </c>
      <c r="O336" s="52" t="str">
        <f t="shared" si="10"/>
        <v/>
      </c>
      <c r="P336" s="52" t="str">
        <f t="shared" si="11"/>
        <v/>
      </c>
      <c r="Q336" s="52"/>
      <c r="R336" s="52"/>
      <c r="S336" s="55" t="s">
        <v>407</v>
      </c>
      <c r="T336" s="53">
        <v>46230</v>
      </c>
    </row>
    <row r="337" spans="1:20" ht="12" customHeight="1">
      <c r="A337" s="51" t="s">
        <v>143</v>
      </c>
      <c r="B337" s="52">
        <v>14</v>
      </c>
      <c r="C337" s="53">
        <v>46264</v>
      </c>
      <c r="D337" s="54" t="s">
        <v>412</v>
      </c>
      <c r="E337" s="55" t="s">
        <v>171</v>
      </c>
      <c r="F337" s="55" t="s">
        <v>170</v>
      </c>
      <c r="G337" s="55" t="s">
        <v>176</v>
      </c>
      <c r="H337" s="56"/>
      <c r="I337" s="56"/>
      <c r="J337" s="56">
        <v>2026</v>
      </c>
      <c r="K337" s="52" t="s">
        <v>99</v>
      </c>
      <c r="L337" s="52" t="s">
        <v>88</v>
      </c>
      <c r="M337" s="52" t="s">
        <v>405</v>
      </c>
      <c r="N337" s="52" t="s">
        <v>398</v>
      </c>
      <c r="O337" s="52" t="str">
        <f t="shared" si="10"/>
        <v/>
      </c>
      <c r="P337" s="52" t="str">
        <f t="shared" si="11"/>
        <v/>
      </c>
      <c r="Q337" s="52"/>
      <c r="R337" s="52"/>
      <c r="S337" s="55" t="s">
        <v>407</v>
      </c>
      <c r="T337" s="53">
        <v>46230</v>
      </c>
    </row>
    <row r="338" spans="1:20" ht="12" customHeight="1">
      <c r="A338" s="51" t="s">
        <v>143</v>
      </c>
      <c r="B338" s="52">
        <v>14</v>
      </c>
      <c r="C338" s="53">
        <v>46264</v>
      </c>
      <c r="D338" s="54" t="s">
        <v>412</v>
      </c>
      <c r="E338" s="55" t="s">
        <v>207</v>
      </c>
      <c r="F338" s="55" t="s">
        <v>175</v>
      </c>
      <c r="G338" s="55" t="s">
        <v>172</v>
      </c>
      <c r="H338" s="56"/>
      <c r="I338" s="56"/>
      <c r="J338" s="56">
        <v>2026</v>
      </c>
      <c r="K338" s="52" t="s">
        <v>99</v>
      </c>
      <c r="L338" s="52" t="s">
        <v>88</v>
      </c>
      <c r="M338" s="52" t="s">
        <v>406</v>
      </c>
      <c r="N338" s="52" t="s">
        <v>401</v>
      </c>
      <c r="O338" s="52" t="str">
        <f t="shared" si="10"/>
        <v/>
      </c>
      <c r="P338" s="52" t="str">
        <f t="shared" si="11"/>
        <v/>
      </c>
      <c r="Q338" s="52"/>
      <c r="R338" s="52"/>
      <c r="S338" s="55" t="s">
        <v>407</v>
      </c>
      <c r="T338" s="53">
        <v>46230</v>
      </c>
    </row>
    <row r="339" spans="1:20" ht="12" customHeight="1">
      <c r="A339" s="51" t="s">
        <v>143</v>
      </c>
      <c r="B339" s="52">
        <v>14</v>
      </c>
      <c r="C339" s="53">
        <v>46264</v>
      </c>
      <c r="D339" s="54" t="s">
        <v>412</v>
      </c>
      <c r="E339" s="55" t="s">
        <v>205</v>
      </c>
      <c r="F339" s="55" t="s">
        <v>173</v>
      </c>
      <c r="G339" s="55" t="s">
        <v>174</v>
      </c>
      <c r="H339" s="56"/>
      <c r="I339" s="56"/>
      <c r="J339" s="56">
        <v>2026</v>
      </c>
      <c r="K339" s="52" t="s">
        <v>99</v>
      </c>
      <c r="L339" s="52" t="s">
        <v>88</v>
      </c>
      <c r="M339" s="52" t="s">
        <v>394</v>
      </c>
      <c r="N339" s="52" t="s">
        <v>395</v>
      </c>
      <c r="O339" s="52" t="str">
        <f t="shared" si="10"/>
        <v/>
      </c>
      <c r="P339" s="52" t="str">
        <f t="shared" si="11"/>
        <v/>
      </c>
      <c r="Q339" s="52"/>
      <c r="R339" s="52"/>
      <c r="S339" s="55" t="s">
        <v>407</v>
      </c>
      <c r="T339" s="53">
        <v>46230</v>
      </c>
    </row>
    <row r="340" spans="1:20" ht="12" customHeight="1">
      <c r="A340" s="51" t="s">
        <v>147</v>
      </c>
      <c r="B340" s="52">
        <v>1</v>
      </c>
      <c r="C340" s="53">
        <v>46173</v>
      </c>
      <c r="D340" s="54" t="s">
        <v>413</v>
      </c>
      <c r="E340" s="55" t="s">
        <v>205</v>
      </c>
      <c r="F340" s="55" t="s">
        <v>166</v>
      </c>
      <c r="G340" s="55" t="s">
        <v>176</v>
      </c>
      <c r="H340" s="56">
        <v>2</v>
      </c>
      <c r="I340" s="56">
        <v>2</v>
      </c>
      <c r="J340" s="56">
        <v>2026</v>
      </c>
      <c r="K340" s="52" t="s">
        <v>99</v>
      </c>
      <c r="L340" s="52" t="s">
        <v>137</v>
      </c>
      <c r="M340" s="52" t="s">
        <v>394</v>
      </c>
      <c r="N340" s="52" t="s">
        <v>395</v>
      </c>
      <c r="O340" s="52" t="str">
        <f t="shared" si="10"/>
        <v>Empate</v>
      </c>
      <c r="P340" s="52" t="str">
        <f t="shared" si="11"/>
        <v>Empate</v>
      </c>
      <c r="Q340" s="52">
        <v>1</v>
      </c>
      <c r="R340" s="52">
        <v>1</v>
      </c>
      <c r="S340" s="55" t="s">
        <v>397</v>
      </c>
      <c r="T340" s="53">
        <v>46230</v>
      </c>
    </row>
    <row r="341" spans="1:20" ht="12" customHeight="1">
      <c r="A341" s="51" t="s">
        <v>147</v>
      </c>
      <c r="B341" s="52">
        <v>1</v>
      </c>
      <c r="C341" s="53">
        <v>46173</v>
      </c>
      <c r="D341" s="54" t="s">
        <v>413</v>
      </c>
      <c r="E341" s="55" t="s">
        <v>207</v>
      </c>
      <c r="F341" s="55" t="s">
        <v>175</v>
      </c>
      <c r="G341" s="55" t="s">
        <v>169</v>
      </c>
      <c r="H341" s="56">
        <v>2</v>
      </c>
      <c r="I341" s="56">
        <v>0</v>
      </c>
      <c r="J341" s="56">
        <v>2026</v>
      </c>
      <c r="K341" s="52" t="s">
        <v>99</v>
      </c>
      <c r="L341" s="52" t="s">
        <v>137</v>
      </c>
      <c r="M341" s="52" t="s">
        <v>398</v>
      </c>
      <c r="N341" s="52" t="s">
        <v>399</v>
      </c>
      <c r="O341" s="52" t="str">
        <f t="shared" si="10"/>
        <v>Colo Colo</v>
      </c>
      <c r="P341" s="52" t="str">
        <f t="shared" si="11"/>
        <v>Local</v>
      </c>
      <c r="Q341" s="52">
        <v>3</v>
      </c>
      <c r="R341" s="52">
        <v>0</v>
      </c>
      <c r="S341" s="55" t="s">
        <v>397</v>
      </c>
      <c r="T341" s="53">
        <v>46230</v>
      </c>
    </row>
    <row r="342" spans="1:20" ht="12" customHeight="1">
      <c r="A342" s="51" t="s">
        <v>147</v>
      </c>
      <c r="B342" s="52">
        <v>1</v>
      </c>
      <c r="C342" s="53">
        <v>46173</v>
      </c>
      <c r="D342" s="54" t="s">
        <v>413</v>
      </c>
      <c r="E342" s="55" t="s">
        <v>171</v>
      </c>
      <c r="F342" s="55" t="s">
        <v>170</v>
      </c>
      <c r="G342" s="55" t="s">
        <v>174</v>
      </c>
      <c r="H342" s="56">
        <v>2</v>
      </c>
      <c r="I342" s="56">
        <v>2</v>
      </c>
      <c r="J342" s="56">
        <v>2026</v>
      </c>
      <c r="K342" s="52" t="s">
        <v>99</v>
      </c>
      <c r="L342" s="52" t="s">
        <v>137</v>
      </c>
      <c r="M342" s="52" t="s">
        <v>401</v>
      </c>
      <c r="N342" s="52" t="s">
        <v>402</v>
      </c>
      <c r="O342" s="52" t="str">
        <f t="shared" si="10"/>
        <v>Empate</v>
      </c>
      <c r="P342" s="52" t="str">
        <f t="shared" si="11"/>
        <v>Empate</v>
      </c>
      <c r="Q342" s="52">
        <v>1</v>
      </c>
      <c r="R342" s="52">
        <v>1</v>
      </c>
      <c r="S342" s="55" t="s">
        <v>397</v>
      </c>
      <c r="T342" s="53">
        <v>46230</v>
      </c>
    </row>
    <row r="343" spans="1:20" ht="12" customHeight="1">
      <c r="A343" s="51" t="s">
        <v>147</v>
      </c>
      <c r="B343" s="52">
        <v>1</v>
      </c>
      <c r="C343" s="53">
        <v>46173</v>
      </c>
      <c r="D343" s="54" t="s">
        <v>413</v>
      </c>
      <c r="E343" s="55" t="s">
        <v>205</v>
      </c>
      <c r="F343" s="55" t="s">
        <v>173</v>
      </c>
      <c r="G343" s="55" t="s">
        <v>172</v>
      </c>
      <c r="H343" s="56">
        <v>4</v>
      </c>
      <c r="I343" s="56">
        <v>0</v>
      </c>
      <c r="J343" s="56">
        <v>2026</v>
      </c>
      <c r="K343" s="52" t="s">
        <v>99</v>
      </c>
      <c r="L343" s="52" t="s">
        <v>137</v>
      </c>
      <c r="M343" s="52" t="s">
        <v>395</v>
      </c>
      <c r="N343" s="52" t="s">
        <v>396</v>
      </c>
      <c r="O343" s="52" t="str">
        <f t="shared" si="10"/>
        <v>Jota Montt</v>
      </c>
      <c r="P343" s="52" t="str">
        <f t="shared" si="11"/>
        <v>Local</v>
      </c>
      <c r="Q343" s="52">
        <v>3</v>
      </c>
      <c r="R343" s="52">
        <v>0</v>
      </c>
      <c r="S343" s="55" t="s">
        <v>397</v>
      </c>
      <c r="T343" s="53">
        <v>46230</v>
      </c>
    </row>
    <row r="344" spans="1:20" ht="12" customHeight="1">
      <c r="A344" s="51" t="s">
        <v>147</v>
      </c>
      <c r="B344" s="52">
        <v>2</v>
      </c>
      <c r="C344" s="53">
        <v>46180</v>
      </c>
      <c r="D344" s="54" t="s">
        <v>413</v>
      </c>
      <c r="E344" s="55" t="s">
        <v>207</v>
      </c>
      <c r="F344" s="55" t="s">
        <v>175</v>
      </c>
      <c r="G344" s="55" t="s">
        <v>166</v>
      </c>
      <c r="H344" s="56">
        <v>0</v>
      </c>
      <c r="I344" s="56">
        <v>2</v>
      </c>
      <c r="J344" s="56">
        <v>2026</v>
      </c>
      <c r="K344" s="52" t="s">
        <v>99</v>
      </c>
      <c r="L344" s="52" t="s">
        <v>137</v>
      </c>
      <c r="M344" s="52" t="s">
        <v>398</v>
      </c>
      <c r="N344" s="52" t="s">
        <v>399</v>
      </c>
      <c r="O344" s="52" t="str">
        <f t="shared" si="10"/>
        <v>Villa Alegre</v>
      </c>
      <c r="P344" s="52" t="str">
        <f t="shared" si="11"/>
        <v>Visita</v>
      </c>
      <c r="Q344" s="52">
        <v>0</v>
      </c>
      <c r="R344" s="52">
        <v>3</v>
      </c>
      <c r="S344" s="55" t="s">
        <v>397</v>
      </c>
      <c r="T344" s="53">
        <v>46230</v>
      </c>
    </row>
    <row r="345" spans="1:20" ht="12" customHeight="1">
      <c r="A345" s="51" t="s">
        <v>147</v>
      </c>
      <c r="B345" s="52">
        <v>2</v>
      </c>
      <c r="C345" s="53">
        <v>46180</v>
      </c>
      <c r="D345" s="54" t="s">
        <v>413</v>
      </c>
      <c r="E345" s="55" t="s">
        <v>210</v>
      </c>
      <c r="F345" s="55" t="s">
        <v>176</v>
      </c>
      <c r="G345" s="55" t="s">
        <v>174</v>
      </c>
      <c r="H345" s="56">
        <v>1</v>
      </c>
      <c r="I345" s="56">
        <v>3</v>
      </c>
      <c r="J345" s="56">
        <v>2026</v>
      </c>
      <c r="K345" s="52" t="s">
        <v>99</v>
      </c>
      <c r="L345" s="52" t="s">
        <v>137</v>
      </c>
      <c r="M345" s="52" t="s">
        <v>401</v>
      </c>
      <c r="N345" s="52" t="s">
        <v>402</v>
      </c>
      <c r="O345" s="52" t="str">
        <f t="shared" si="10"/>
        <v>Inca</v>
      </c>
      <c r="P345" s="52" t="str">
        <f t="shared" si="11"/>
        <v>Visita</v>
      </c>
      <c r="Q345" s="52">
        <v>0</v>
      </c>
      <c r="R345" s="52">
        <v>3</v>
      </c>
      <c r="S345" s="55" t="s">
        <v>397</v>
      </c>
      <c r="T345" s="53">
        <v>46230</v>
      </c>
    </row>
    <row r="346" spans="1:20" ht="12" customHeight="1">
      <c r="A346" s="51" t="s">
        <v>147</v>
      </c>
      <c r="B346" s="52">
        <v>2</v>
      </c>
      <c r="C346" s="53">
        <v>46180</v>
      </c>
      <c r="D346" s="54" t="s">
        <v>413</v>
      </c>
      <c r="E346" s="55" t="s">
        <v>205</v>
      </c>
      <c r="F346" s="55" t="s">
        <v>173</v>
      </c>
      <c r="G346" s="55" t="s">
        <v>169</v>
      </c>
      <c r="H346" s="56">
        <v>0</v>
      </c>
      <c r="I346" s="56">
        <v>0</v>
      </c>
      <c r="J346" s="56">
        <v>2026</v>
      </c>
      <c r="K346" s="52" t="s">
        <v>99</v>
      </c>
      <c r="L346" s="52" t="s">
        <v>137</v>
      </c>
      <c r="M346" s="52" t="s">
        <v>395</v>
      </c>
      <c r="N346" s="52" t="s">
        <v>396</v>
      </c>
      <c r="O346" s="52" t="str">
        <f t="shared" si="10"/>
        <v>Empate</v>
      </c>
      <c r="P346" s="52" t="str">
        <f t="shared" si="11"/>
        <v>Empate</v>
      </c>
      <c r="Q346" s="52">
        <v>1</v>
      </c>
      <c r="R346" s="52">
        <v>1</v>
      </c>
      <c r="S346" s="55" t="s">
        <v>397</v>
      </c>
      <c r="T346" s="53">
        <v>46230</v>
      </c>
    </row>
    <row r="347" spans="1:20" ht="12" customHeight="1">
      <c r="A347" s="51" t="s">
        <v>147</v>
      </c>
      <c r="B347" s="52">
        <v>2</v>
      </c>
      <c r="C347" s="53">
        <v>46180</v>
      </c>
      <c r="D347" s="54" t="s">
        <v>413</v>
      </c>
      <c r="E347" s="55" t="s">
        <v>171</v>
      </c>
      <c r="F347" s="55" t="s">
        <v>170</v>
      </c>
      <c r="G347" s="55" t="s">
        <v>172</v>
      </c>
      <c r="H347" s="56">
        <v>1</v>
      </c>
      <c r="I347" s="56">
        <v>1</v>
      </c>
      <c r="J347" s="56">
        <v>2026</v>
      </c>
      <c r="K347" s="52" t="s">
        <v>99</v>
      </c>
      <c r="L347" s="52" t="s">
        <v>137</v>
      </c>
      <c r="M347" s="52" t="s">
        <v>399</v>
      </c>
      <c r="N347" s="52" t="s">
        <v>400</v>
      </c>
      <c r="O347" s="52" t="str">
        <f t="shared" si="10"/>
        <v>Empate</v>
      </c>
      <c r="P347" s="52" t="str">
        <f t="shared" si="11"/>
        <v>Empate</v>
      </c>
      <c r="Q347" s="52">
        <v>1</v>
      </c>
      <c r="R347" s="52">
        <v>1</v>
      </c>
      <c r="S347" s="55" t="s">
        <v>397</v>
      </c>
      <c r="T347" s="53">
        <v>46230</v>
      </c>
    </row>
    <row r="348" spans="1:20" ht="12" customHeight="1">
      <c r="A348" s="51" t="s">
        <v>147</v>
      </c>
      <c r="B348" s="52">
        <v>3</v>
      </c>
      <c r="C348" s="53">
        <v>46187</v>
      </c>
      <c r="D348" s="54" t="s">
        <v>413</v>
      </c>
      <c r="E348" s="55" t="s">
        <v>205</v>
      </c>
      <c r="F348" s="55" t="s">
        <v>166</v>
      </c>
      <c r="G348" s="55" t="s">
        <v>174</v>
      </c>
      <c r="H348" s="56">
        <v>1</v>
      </c>
      <c r="I348" s="56">
        <v>2</v>
      </c>
      <c r="J348" s="56">
        <v>2026</v>
      </c>
      <c r="K348" s="52" t="s">
        <v>99</v>
      </c>
      <c r="L348" s="52" t="s">
        <v>137</v>
      </c>
      <c r="M348" s="52" t="s">
        <v>401</v>
      </c>
      <c r="N348" s="52" t="s">
        <v>402</v>
      </c>
      <c r="O348" s="52" t="str">
        <f t="shared" si="10"/>
        <v>Inca</v>
      </c>
      <c r="P348" s="52" t="str">
        <f t="shared" si="11"/>
        <v>Visita</v>
      </c>
      <c r="Q348" s="52">
        <v>0</v>
      </c>
      <c r="R348" s="52">
        <v>3</v>
      </c>
      <c r="S348" s="55" t="s">
        <v>397</v>
      </c>
      <c r="T348" s="53">
        <v>46230</v>
      </c>
    </row>
    <row r="349" spans="1:20" ht="12" customHeight="1">
      <c r="A349" s="51" t="s">
        <v>147</v>
      </c>
      <c r="B349" s="52">
        <v>3</v>
      </c>
      <c r="C349" s="53">
        <v>46187</v>
      </c>
      <c r="D349" s="54" t="s">
        <v>413</v>
      </c>
      <c r="E349" s="55" t="s">
        <v>205</v>
      </c>
      <c r="F349" s="55" t="s">
        <v>173</v>
      </c>
      <c r="G349" s="55" t="s">
        <v>175</v>
      </c>
      <c r="H349" s="56">
        <v>1</v>
      </c>
      <c r="I349" s="56">
        <v>0</v>
      </c>
      <c r="J349" s="56">
        <v>2026</v>
      </c>
      <c r="K349" s="52" t="s">
        <v>99</v>
      </c>
      <c r="L349" s="52" t="s">
        <v>137</v>
      </c>
      <c r="M349" s="52" t="s">
        <v>395</v>
      </c>
      <c r="N349" s="52" t="s">
        <v>396</v>
      </c>
      <c r="O349" s="52" t="str">
        <f t="shared" si="10"/>
        <v>Jota Montt</v>
      </c>
      <c r="P349" s="52" t="str">
        <f t="shared" si="11"/>
        <v>Local</v>
      </c>
      <c r="Q349" s="52">
        <v>3</v>
      </c>
      <c r="R349" s="52">
        <v>0</v>
      </c>
      <c r="S349" s="55" t="s">
        <v>397</v>
      </c>
      <c r="T349" s="53">
        <v>46230</v>
      </c>
    </row>
    <row r="350" spans="1:20" ht="12" customHeight="1">
      <c r="A350" s="51" t="s">
        <v>147</v>
      </c>
      <c r="B350" s="52">
        <v>3</v>
      </c>
      <c r="C350" s="53">
        <v>46187</v>
      </c>
      <c r="D350" s="54" t="s">
        <v>413</v>
      </c>
      <c r="E350" s="55" t="s">
        <v>210</v>
      </c>
      <c r="F350" s="55" t="s">
        <v>176</v>
      </c>
      <c r="G350" s="55" t="s">
        <v>172</v>
      </c>
      <c r="H350" s="56">
        <v>0</v>
      </c>
      <c r="I350" s="56">
        <v>3</v>
      </c>
      <c r="J350" s="56">
        <v>2026</v>
      </c>
      <c r="K350" s="52" t="s">
        <v>99</v>
      </c>
      <c r="L350" s="52" t="s">
        <v>137</v>
      </c>
      <c r="M350" s="52" t="s">
        <v>399</v>
      </c>
      <c r="N350" s="52" t="s">
        <v>400</v>
      </c>
      <c r="O350" s="52" t="str">
        <f t="shared" si="10"/>
        <v>Grinvasul</v>
      </c>
      <c r="P350" s="52" t="str">
        <f t="shared" si="11"/>
        <v>Visita</v>
      </c>
      <c r="Q350" s="52">
        <v>0</v>
      </c>
      <c r="R350" s="52">
        <v>3</v>
      </c>
      <c r="S350" s="55" t="s">
        <v>397</v>
      </c>
      <c r="T350" s="53">
        <v>46230</v>
      </c>
    </row>
    <row r="351" spans="1:20" ht="12" customHeight="1">
      <c r="A351" s="51" t="s">
        <v>147</v>
      </c>
      <c r="B351" s="52">
        <v>3</v>
      </c>
      <c r="C351" s="53">
        <v>46187</v>
      </c>
      <c r="D351" s="54" t="s">
        <v>413</v>
      </c>
      <c r="E351" s="55" t="s">
        <v>171</v>
      </c>
      <c r="F351" s="55" t="s">
        <v>170</v>
      </c>
      <c r="G351" s="55" t="s">
        <v>169</v>
      </c>
      <c r="H351" s="56">
        <v>4</v>
      </c>
      <c r="I351" s="56">
        <v>3</v>
      </c>
      <c r="J351" s="56">
        <v>2026</v>
      </c>
      <c r="K351" s="52" t="s">
        <v>99</v>
      </c>
      <c r="L351" s="52" t="s">
        <v>137</v>
      </c>
      <c r="M351" s="52" t="s">
        <v>402</v>
      </c>
      <c r="N351" s="52" t="s">
        <v>403</v>
      </c>
      <c r="O351" s="52" t="str">
        <f t="shared" si="10"/>
        <v>Forestal</v>
      </c>
      <c r="P351" s="52" t="str">
        <f t="shared" si="11"/>
        <v>Local</v>
      </c>
      <c r="Q351" s="52">
        <v>3</v>
      </c>
      <c r="R351" s="52">
        <v>0</v>
      </c>
      <c r="S351" s="55" t="s">
        <v>397</v>
      </c>
      <c r="T351" s="53">
        <v>46230</v>
      </c>
    </row>
    <row r="352" spans="1:20" ht="12" customHeight="1">
      <c r="A352" s="51" t="s">
        <v>147</v>
      </c>
      <c r="B352" s="52">
        <v>4</v>
      </c>
      <c r="C352" s="53">
        <v>46194</v>
      </c>
      <c r="D352" s="54" t="s">
        <v>413</v>
      </c>
      <c r="E352" s="55" t="s">
        <v>205</v>
      </c>
      <c r="F352" s="55" t="s">
        <v>173</v>
      </c>
      <c r="G352" s="55" t="s">
        <v>166</v>
      </c>
      <c r="H352" s="56">
        <v>0</v>
      </c>
      <c r="I352" s="56">
        <v>1</v>
      </c>
      <c r="J352" s="56">
        <v>2026</v>
      </c>
      <c r="K352" s="52" t="s">
        <v>99</v>
      </c>
      <c r="L352" s="52" t="s">
        <v>137</v>
      </c>
      <c r="M352" s="52" t="s">
        <v>395</v>
      </c>
      <c r="N352" s="52" t="s">
        <v>396</v>
      </c>
      <c r="O352" s="52" t="str">
        <f t="shared" si="10"/>
        <v>Villa Alegre</v>
      </c>
      <c r="P352" s="52" t="str">
        <f t="shared" si="11"/>
        <v>Visita</v>
      </c>
      <c r="Q352" s="52">
        <v>0</v>
      </c>
      <c r="R352" s="52">
        <v>3</v>
      </c>
      <c r="S352" s="55" t="s">
        <v>397</v>
      </c>
      <c r="T352" s="53">
        <v>46230</v>
      </c>
    </row>
    <row r="353" spans="1:20" ht="12" customHeight="1">
      <c r="A353" s="51" t="s">
        <v>147</v>
      </c>
      <c r="B353" s="52">
        <v>4</v>
      </c>
      <c r="C353" s="53">
        <v>46194</v>
      </c>
      <c r="D353" s="54" t="s">
        <v>413</v>
      </c>
      <c r="E353" s="55" t="s">
        <v>210</v>
      </c>
      <c r="F353" s="55" t="s">
        <v>174</v>
      </c>
      <c r="G353" s="55" t="s">
        <v>172</v>
      </c>
      <c r="H353" s="56">
        <v>0</v>
      </c>
      <c r="I353" s="56">
        <v>1</v>
      </c>
      <c r="J353" s="56">
        <v>2026</v>
      </c>
      <c r="K353" s="52" t="s">
        <v>99</v>
      </c>
      <c r="L353" s="52" t="s">
        <v>137</v>
      </c>
      <c r="M353" s="52" t="s">
        <v>399</v>
      </c>
      <c r="N353" s="52" t="s">
        <v>400</v>
      </c>
      <c r="O353" s="52" t="str">
        <f t="shared" si="10"/>
        <v>Grinvasul</v>
      </c>
      <c r="P353" s="52" t="str">
        <f t="shared" si="11"/>
        <v>Visita</v>
      </c>
      <c r="Q353" s="52">
        <v>0</v>
      </c>
      <c r="R353" s="52">
        <v>3</v>
      </c>
      <c r="S353" s="55" t="s">
        <v>397</v>
      </c>
      <c r="T353" s="53">
        <v>46230</v>
      </c>
    </row>
    <row r="354" spans="1:20" ht="12" customHeight="1">
      <c r="A354" s="51" t="s">
        <v>147</v>
      </c>
      <c r="B354" s="52">
        <v>4</v>
      </c>
      <c r="C354" s="53">
        <v>46194</v>
      </c>
      <c r="D354" s="54" t="s">
        <v>413</v>
      </c>
      <c r="E354" s="55" t="s">
        <v>171</v>
      </c>
      <c r="F354" s="55" t="s">
        <v>170</v>
      </c>
      <c r="G354" s="55" t="s">
        <v>175</v>
      </c>
      <c r="H354" s="56">
        <v>0</v>
      </c>
      <c r="I354" s="56">
        <v>1</v>
      </c>
      <c r="J354" s="56">
        <v>2026</v>
      </c>
      <c r="K354" s="52" t="s">
        <v>99</v>
      </c>
      <c r="L354" s="52" t="s">
        <v>137</v>
      </c>
      <c r="M354" s="52" t="s">
        <v>402</v>
      </c>
      <c r="N354" s="52" t="s">
        <v>403</v>
      </c>
      <c r="O354" s="52" t="str">
        <f t="shared" si="10"/>
        <v>Colo Colo</v>
      </c>
      <c r="P354" s="52" t="str">
        <f t="shared" si="11"/>
        <v>Visita</v>
      </c>
      <c r="Q354" s="52">
        <v>0</v>
      </c>
      <c r="R354" s="52">
        <v>3</v>
      </c>
      <c r="S354" s="55" t="s">
        <v>397</v>
      </c>
      <c r="T354" s="53">
        <v>46230</v>
      </c>
    </row>
    <row r="355" spans="1:20" ht="12" customHeight="1">
      <c r="A355" s="51" t="s">
        <v>147</v>
      </c>
      <c r="B355" s="52">
        <v>4</v>
      </c>
      <c r="C355" s="53">
        <v>46194</v>
      </c>
      <c r="D355" s="54" t="s">
        <v>413</v>
      </c>
      <c r="E355" s="55" t="s">
        <v>210</v>
      </c>
      <c r="F355" s="55" t="s">
        <v>176</v>
      </c>
      <c r="G355" s="55" t="s">
        <v>169</v>
      </c>
      <c r="H355" s="56">
        <v>0</v>
      </c>
      <c r="I355" s="56">
        <v>4</v>
      </c>
      <c r="J355" s="56">
        <v>2026</v>
      </c>
      <c r="K355" s="52" t="s">
        <v>99</v>
      </c>
      <c r="L355" s="52" t="s">
        <v>137</v>
      </c>
      <c r="M355" s="52" t="s">
        <v>396</v>
      </c>
      <c r="N355" s="52" t="s">
        <v>404</v>
      </c>
      <c r="O355" s="52" t="str">
        <f t="shared" si="10"/>
        <v>U.J. Lautaro</v>
      </c>
      <c r="P355" s="52" t="str">
        <f t="shared" si="11"/>
        <v>Visita</v>
      </c>
      <c r="Q355" s="52">
        <v>0</v>
      </c>
      <c r="R355" s="52">
        <v>3</v>
      </c>
      <c r="S355" s="55" t="s">
        <v>397</v>
      </c>
      <c r="T355" s="53">
        <v>46230</v>
      </c>
    </row>
    <row r="356" spans="1:20" ht="12" customHeight="1">
      <c r="A356" s="51" t="s">
        <v>147</v>
      </c>
      <c r="B356" s="52">
        <v>5</v>
      </c>
      <c r="C356" s="53">
        <v>46201</v>
      </c>
      <c r="D356" s="54" t="s">
        <v>413</v>
      </c>
      <c r="E356" s="55" t="s">
        <v>205</v>
      </c>
      <c r="F356" s="55" t="s">
        <v>166</v>
      </c>
      <c r="G356" s="55" t="s">
        <v>172</v>
      </c>
      <c r="H356" s="56">
        <v>1</v>
      </c>
      <c r="I356" s="56">
        <v>1</v>
      </c>
      <c r="J356" s="56">
        <v>2026</v>
      </c>
      <c r="K356" s="52" t="s">
        <v>99</v>
      </c>
      <c r="L356" s="52" t="s">
        <v>137</v>
      </c>
      <c r="M356" s="52" t="s">
        <v>399</v>
      </c>
      <c r="N356" s="52" t="s">
        <v>400</v>
      </c>
      <c r="O356" s="52" t="str">
        <f t="shared" si="10"/>
        <v>Empate</v>
      </c>
      <c r="P356" s="52" t="str">
        <f t="shared" si="11"/>
        <v>Empate</v>
      </c>
      <c r="Q356" s="52">
        <v>1</v>
      </c>
      <c r="R356" s="52">
        <v>1</v>
      </c>
      <c r="S356" s="55" t="s">
        <v>397</v>
      </c>
      <c r="T356" s="53">
        <v>46230</v>
      </c>
    </row>
    <row r="357" spans="1:20" ht="12" customHeight="1">
      <c r="A357" s="51" t="s">
        <v>147</v>
      </c>
      <c r="B357" s="52">
        <v>5</v>
      </c>
      <c r="C357" s="53">
        <v>46201</v>
      </c>
      <c r="D357" s="54" t="s">
        <v>413</v>
      </c>
      <c r="E357" s="55" t="s">
        <v>171</v>
      </c>
      <c r="F357" s="55" t="s">
        <v>170</v>
      </c>
      <c r="G357" s="55" t="s">
        <v>173</v>
      </c>
      <c r="H357" s="56">
        <v>1</v>
      </c>
      <c r="I357" s="56">
        <v>0</v>
      </c>
      <c r="J357" s="56">
        <v>2026</v>
      </c>
      <c r="K357" s="52" t="s">
        <v>99</v>
      </c>
      <c r="L357" s="52" t="s">
        <v>137</v>
      </c>
      <c r="M357" s="52" t="s">
        <v>402</v>
      </c>
      <c r="N357" s="52" t="s">
        <v>403</v>
      </c>
      <c r="O357" s="52" t="str">
        <f t="shared" si="10"/>
        <v>Forestal</v>
      </c>
      <c r="P357" s="52" t="str">
        <f t="shared" si="11"/>
        <v>Local</v>
      </c>
      <c r="Q357" s="52">
        <v>3</v>
      </c>
      <c r="R357" s="52">
        <v>0</v>
      </c>
      <c r="S357" s="55" t="s">
        <v>397</v>
      </c>
      <c r="T357" s="53">
        <v>46230</v>
      </c>
    </row>
    <row r="358" spans="1:20" ht="12" customHeight="1">
      <c r="A358" s="51" t="s">
        <v>147</v>
      </c>
      <c r="B358" s="52">
        <v>5</v>
      </c>
      <c r="C358" s="53">
        <v>46201</v>
      </c>
      <c r="D358" s="54" t="s">
        <v>413</v>
      </c>
      <c r="E358" s="55" t="s">
        <v>210</v>
      </c>
      <c r="F358" s="55" t="s">
        <v>174</v>
      </c>
      <c r="G358" s="55" t="s">
        <v>169</v>
      </c>
      <c r="H358" s="56">
        <v>1</v>
      </c>
      <c r="I358" s="56">
        <v>1</v>
      </c>
      <c r="J358" s="56">
        <v>2026</v>
      </c>
      <c r="K358" s="52" t="s">
        <v>99</v>
      </c>
      <c r="L358" s="52" t="s">
        <v>137</v>
      </c>
      <c r="M358" s="52" t="s">
        <v>396</v>
      </c>
      <c r="N358" s="52" t="s">
        <v>404</v>
      </c>
      <c r="O358" s="52" t="str">
        <f t="shared" si="10"/>
        <v>Empate</v>
      </c>
      <c r="P358" s="52" t="str">
        <f t="shared" si="11"/>
        <v>Empate</v>
      </c>
      <c r="Q358" s="52">
        <v>1</v>
      </c>
      <c r="R358" s="52">
        <v>1</v>
      </c>
      <c r="S358" s="55" t="s">
        <v>397</v>
      </c>
      <c r="T358" s="53">
        <v>46230</v>
      </c>
    </row>
    <row r="359" spans="1:20" ht="12" customHeight="1">
      <c r="A359" s="51" t="s">
        <v>147</v>
      </c>
      <c r="B359" s="52">
        <v>5</v>
      </c>
      <c r="C359" s="53">
        <v>46201</v>
      </c>
      <c r="D359" s="54" t="s">
        <v>413</v>
      </c>
      <c r="E359" s="55" t="s">
        <v>210</v>
      </c>
      <c r="F359" s="55" t="s">
        <v>176</v>
      </c>
      <c r="G359" s="55" t="s">
        <v>175</v>
      </c>
      <c r="H359" s="56">
        <v>1</v>
      </c>
      <c r="I359" s="56">
        <v>3</v>
      </c>
      <c r="J359" s="56">
        <v>2026</v>
      </c>
      <c r="K359" s="52" t="s">
        <v>99</v>
      </c>
      <c r="L359" s="52" t="s">
        <v>137</v>
      </c>
      <c r="M359" s="52" t="s">
        <v>400</v>
      </c>
      <c r="N359" s="52" t="s">
        <v>405</v>
      </c>
      <c r="O359" s="52" t="str">
        <f t="shared" si="10"/>
        <v>Colo Colo</v>
      </c>
      <c r="P359" s="52" t="str">
        <f t="shared" si="11"/>
        <v>Visita</v>
      </c>
      <c r="Q359" s="52">
        <v>0</v>
      </c>
      <c r="R359" s="52">
        <v>3</v>
      </c>
      <c r="S359" s="55" t="s">
        <v>397</v>
      </c>
      <c r="T359" s="53">
        <v>46230</v>
      </c>
    </row>
    <row r="360" spans="1:20" ht="12" customHeight="1">
      <c r="A360" s="51" t="s">
        <v>147</v>
      </c>
      <c r="B360" s="52">
        <v>6</v>
      </c>
      <c r="C360" s="53">
        <v>46208</v>
      </c>
      <c r="D360" s="54" t="s">
        <v>413</v>
      </c>
      <c r="E360" s="55" t="s">
        <v>171</v>
      </c>
      <c r="F360" s="55" t="s">
        <v>170</v>
      </c>
      <c r="G360" s="55" t="s">
        <v>166</v>
      </c>
      <c r="H360" s="56">
        <v>1</v>
      </c>
      <c r="I360" s="56">
        <v>1</v>
      </c>
      <c r="J360" s="56">
        <v>2026</v>
      </c>
      <c r="K360" s="52" t="s">
        <v>99</v>
      </c>
      <c r="L360" s="52" t="s">
        <v>137</v>
      </c>
      <c r="M360" s="52" t="s">
        <v>402</v>
      </c>
      <c r="N360" s="52" t="s">
        <v>403</v>
      </c>
      <c r="O360" s="52" t="str">
        <f t="shared" si="10"/>
        <v>Empate</v>
      </c>
      <c r="P360" s="52" t="str">
        <f t="shared" si="11"/>
        <v>Empate</v>
      </c>
      <c r="Q360" s="52">
        <v>1</v>
      </c>
      <c r="R360" s="52">
        <v>1</v>
      </c>
      <c r="S360" s="55" t="s">
        <v>397</v>
      </c>
      <c r="T360" s="53">
        <v>46230</v>
      </c>
    </row>
    <row r="361" spans="1:20" ht="12" customHeight="1">
      <c r="A361" s="51" t="s">
        <v>147</v>
      </c>
      <c r="B361" s="52">
        <v>6</v>
      </c>
      <c r="C361" s="53">
        <v>46208</v>
      </c>
      <c r="D361" s="54" t="s">
        <v>413</v>
      </c>
      <c r="E361" s="55" t="s">
        <v>210</v>
      </c>
      <c r="F361" s="55" t="s">
        <v>172</v>
      </c>
      <c r="G361" s="55" t="s">
        <v>169</v>
      </c>
      <c r="H361" s="56">
        <v>2</v>
      </c>
      <c r="I361" s="56">
        <v>2</v>
      </c>
      <c r="J361" s="56">
        <v>2026</v>
      </c>
      <c r="K361" s="52" t="s">
        <v>99</v>
      </c>
      <c r="L361" s="52" t="s">
        <v>137</v>
      </c>
      <c r="M361" s="52" t="s">
        <v>396</v>
      </c>
      <c r="N361" s="52" t="s">
        <v>404</v>
      </c>
      <c r="O361" s="52" t="str">
        <f t="shared" si="10"/>
        <v>Empate</v>
      </c>
      <c r="P361" s="52" t="str">
        <f t="shared" si="11"/>
        <v>Empate</v>
      </c>
      <c r="Q361" s="52">
        <v>1</v>
      </c>
      <c r="R361" s="52">
        <v>1</v>
      </c>
      <c r="S361" s="55" t="s">
        <v>397</v>
      </c>
      <c r="T361" s="53">
        <v>46230</v>
      </c>
    </row>
    <row r="362" spans="1:20" ht="12" customHeight="1">
      <c r="A362" s="51" t="s">
        <v>147</v>
      </c>
      <c r="B362" s="52">
        <v>6</v>
      </c>
      <c r="C362" s="53">
        <v>46208</v>
      </c>
      <c r="D362" s="54" t="s">
        <v>413</v>
      </c>
      <c r="E362" s="55" t="s">
        <v>210</v>
      </c>
      <c r="F362" s="55" t="s">
        <v>176</v>
      </c>
      <c r="G362" s="55" t="s">
        <v>173</v>
      </c>
      <c r="H362" s="56">
        <v>1</v>
      </c>
      <c r="I362" s="56">
        <v>1</v>
      </c>
      <c r="J362" s="56">
        <v>2026</v>
      </c>
      <c r="K362" s="52" t="s">
        <v>99</v>
      </c>
      <c r="L362" s="52" t="s">
        <v>137</v>
      </c>
      <c r="M362" s="52" t="s">
        <v>400</v>
      </c>
      <c r="N362" s="52" t="s">
        <v>405</v>
      </c>
      <c r="O362" s="52" t="str">
        <f t="shared" si="10"/>
        <v>Empate</v>
      </c>
      <c r="P362" s="52" t="str">
        <f t="shared" si="11"/>
        <v>Empate</v>
      </c>
      <c r="Q362" s="52">
        <v>1</v>
      </c>
      <c r="R362" s="52">
        <v>1</v>
      </c>
      <c r="S362" s="55" t="s">
        <v>397</v>
      </c>
      <c r="T362" s="53">
        <v>46230</v>
      </c>
    </row>
    <row r="363" spans="1:20" ht="12" customHeight="1">
      <c r="A363" s="51" t="s">
        <v>147</v>
      </c>
      <c r="B363" s="52">
        <v>6</v>
      </c>
      <c r="C363" s="53">
        <v>46208</v>
      </c>
      <c r="D363" s="54" t="s">
        <v>413</v>
      </c>
      <c r="E363" s="55" t="s">
        <v>210</v>
      </c>
      <c r="F363" s="55" t="s">
        <v>174</v>
      </c>
      <c r="G363" s="55" t="s">
        <v>175</v>
      </c>
      <c r="H363" s="56">
        <v>0</v>
      </c>
      <c r="I363" s="56">
        <v>1</v>
      </c>
      <c r="J363" s="56">
        <v>2026</v>
      </c>
      <c r="K363" s="52" t="s">
        <v>99</v>
      </c>
      <c r="L363" s="52" t="s">
        <v>137</v>
      </c>
      <c r="M363" s="52" t="s">
        <v>403</v>
      </c>
      <c r="N363" s="52" t="s">
        <v>406</v>
      </c>
      <c r="O363" s="52" t="str">
        <f t="shared" si="10"/>
        <v>Colo Colo</v>
      </c>
      <c r="P363" s="52" t="str">
        <f t="shared" si="11"/>
        <v>Visita</v>
      </c>
      <c r="Q363" s="52">
        <v>0</v>
      </c>
      <c r="R363" s="52">
        <v>3</v>
      </c>
      <c r="S363" s="55" t="s">
        <v>397</v>
      </c>
      <c r="T363" s="53">
        <v>46230</v>
      </c>
    </row>
    <row r="364" spans="1:20" ht="12" customHeight="1">
      <c r="A364" s="51" t="s">
        <v>147</v>
      </c>
      <c r="B364" s="52">
        <v>7</v>
      </c>
      <c r="C364" s="53">
        <v>46215</v>
      </c>
      <c r="D364" s="54" t="s">
        <v>413</v>
      </c>
      <c r="E364" s="55" t="s">
        <v>205</v>
      </c>
      <c r="F364" s="55" t="s">
        <v>166</v>
      </c>
      <c r="G364" s="55" t="s">
        <v>169</v>
      </c>
      <c r="H364" s="56">
        <v>2</v>
      </c>
      <c r="I364" s="56">
        <v>0</v>
      </c>
      <c r="J364" s="56">
        <v>2026</v>
      </c>
      <c r="K364" s="52" t="s">
        <v>99</v>
      </c>
      <c r="L364" s="52" t="s">
        <v>137</v>
      </c>
      <c r="M364" s="52" t="s">
        <v>396</v>
      </c>
      <c r="N364" s="52" t="s">
        <v>404</v>
      </c>
      <c r="O364" s="52" t="str">
        <f t="shared" si="10"/>
        <v>Villa Alegre</v>
      </c>
      <c r="P364" s="52" t="str">
        <f t="shared" si="11"/>
        <v>Local</v>
      </c>
      <c r="Q364" s="52">
        <v>3</v>
      </c>
      <c r="R364" s="52">
        <v>0</v>
      </c>
      <c r="S364" s="55" t="s">
        <v>397</v>
      </c>
      <c r="T364" s="53">
        <v>46230</v>
      </c>
    </row>
    <row r="365" spans="1:20" ht="12" customHeight="1">
      <c r="A365" s="51" t="s">
        <v>147</v>
      </c>
      <c r="B365" s="52">
        <v>7</v>
      </c>
      <c r="C365" s="53">
        <v>46215</v>
      </c>
      <c r="D365" s="54" t="s">
        <v>413</v>
      </c>
      <c r="E365" s="55" t="s">
        <v>210</v>
      </c>
      <c r="F365" s="55" t="s">
        <v>176</v>
      </c>
      <c r="G365" s="55" t="s">
        <v>170</v>
      </c>
      <c r="H365" s="56">
        <v>2</v>
      </c>
      <c r="I365" s="56">
        <v>2</v>
      </c>
      <c r="J365" s="56">
        <v>2026</v>
      </c>
      <c r="K365" s="52" t="s">
        <v>99</v>
      </c>
      <c r="L365" s="52" t="s">
        <v>137</v>
      </c>
      <c r="M365" s="52" t="s">
        <v>400</v>
      </c>
      <c r="N365" s="52" t="s">
        <v>405</v>
      </c>
      <c r="O365" s="52" t="str">
        <f t="shared" si="10"/>
        <v>Empate</v>
      </c>
      <c r="P365" s="52" t="str">
        <f t="shared" si="11"/>
        <v>Empate</v>
      </c>
      <c r="Q365" s="52">
        <v>1</v>
      </c>
      <c r="R365" s="52">
        <v>1</v>
      </c>
      <c r="S365" s="55" t="s">
        <v>397</v>
      </c>
      <c r="T365" s="53">
        <v>46230</v>
      </c>
    </row>
    <row r="366" spans="1:20" ht="12" customHeight="1">
      <c r="A366" s="51" t="s">
        <v>147</v>
      </c>
      <c r="B366" s="52">
        <v>7</v>
      </c>
      <c r="C366" s="53">
        <v>46215</v>
      </c>
      <c r="D366" s="54" t="s">
        <v>413</v>
      </c>
      <c r="E366" s="55" t="s">
        <v>210</v>
      </c>
      <c r="F366" s="55" t="s">
        <v>172</v>
      </c>
      <c r="G366" s="55" t="s">
        <v>175</v>
      </c>
      <c r="H366" s="56">
        <v>3</v>
      </c>
      <c r="I366" s="56">
        <v>1</v>
      </c>
      <c r="J366" s="56">
        <v>2026</v>
      </c>
      <c r="K366" s="52" t="s">
        <v>99</v>
      </c>
      <c r="L366" s="52" t="s">
        <v>137</v>
      </c>
      <c r="M366" s="52" t="s">
        <v>403</v>
      </c>
      <c r="N366" s="52" t="s">
        <v>406</v>
      </c>
      <c r="O366" s="52" t="str">
        <f t="shared" si="10"/>
        <v>Grinvasul</v>
      </c>
      <c r="P366" s="52" t="str">
        <f t="shared" si="11"/>
        <v>Local</v>
      </c>
      <c r="Q366" s="52">
        <v>3</v>
      </c>
      <c r="R366" s="52">
        <v>0</v>
      </c>
      <c r="S366" s="55" t="s">
        <v>397</v>
      </c>
      <c r="T366" s="53">
        <v>46230</v>
      </c>
    </row>
    <row r="367" spans="1:20" ht="12" customHeight="1">
      <c r="A367" s="51" t="s">
        <v>147</v>
      </c>
      <c r="B367" s="52">
        <v>7</v>
      </c>
      <c r="C367" s="53">
        <v>46215</v>
      </c>
      <c r="D367" s="54" t="s">
        <v>413</v>
      </c>
      <c r="E367" s="55" t="s">
        <v>210</v>
      </c>
      <c r="F367" s="55" t="s">
        <v>174</v>
      </c>
      <c r="G367" s="55" t="s">
        <v>173</v>
      </c>
      <c r="H367" s="56">
        <v>2</v>
      </c>
      <c r="I367" s="56">
        <v>1</v>
      </c>
      <c r="J367" s="56">
        <v>2026</v>
      </c>
      <c r="K367" s="52" t="s">
        <v>99</v>
      </c>
      <c r="L367" s="52" t="s">
        <v>137</v>
      </c>
      <c r="M367" s="52" t="s">
        <v>404</v>
      </c>
      <c r="N367" s="52" t="s">
        <v>394</v>
      </c>
      <c r="O367" s="52" t="str">
        <f t="shared" si="10"/>
        <v>Inca</v>
      </c>
      <c r="P367" s="52" t="str">
        <f t="shared" si="11"/>
        <v>Local</v>
      </c>
      <c r="Q367" s="52">
        <v>3</v>
      </c>
      <c r="R367" s="52">
        <v>0</v>
      </c>
      <c r="S367" s="55" t="s">
        <v>397</v>
      </c>
      <c r="T367" s="53">
        <v>46230</v>
      </c>
    </row>
    <row r="368" spans="1:20" ht="12" customHeight="1">
      <c r="A368" s="51" t="s">
        <v>147</v>
      </c>
      <c r="B368" s="52">
        <v>8</v>
      </c>
      <c r="C368" s="53">
        <v>46222</v>
      </c>
      <c r="D368" s="54" t="s">
        <v>413</v>
      </c>
      <c r="E368" s="55" t="s">
        <v>210</v>
      </c>
      <c r="F368" s="55" t="s">
        <v>176</v>
      </c>
      <c r="G368" s="55" t="s">
        <v>166</v>
      </c>
      <c r="H368" s="56">
        <v>0</v>
      </c>
      <c r="I368" s="56">
        <v>2</v>
      </c>
      <c r="J368" s="56">
        <v>2026</v>
      </c>
      <c r="K368" s="52" t="s">
        <v>99</v>
      </c>
      <c r="L368" s="52" t="s">
        <v>137</v>
      </c>
      <c r="M368" s="52" t="s">
        <v>400</v>
      </c>
      <c r="N368" s="52" t="s">
        <v>405</v>
      </c>
      <c r="O368" s="52" t="str">
        <f t="shared" si="10"/>
        <v>Villa Alegre</v>
      </c>
      <c r="P368" s="52" t="str">
        <f t="shared" si="11"/>
        <v>Visita</v>
      </c>
      <c r="Q368" s="52">
        <v>0</v>
      </c>
      <c r="R368" s="52">
        <v>3</v>
      </c>
      <c r="S368" s="55" t="s">
        <v>397</v>
      </c>
      <c r="T368" s="53">
        <v>46230</v>
      </c>
    </row>
    <row r="369" spans="1:20" ht="12" customHeight="1">
      <c r="A369" s="51" t="s">
        <v>147</v>
      </c>
      <c r="B369" s="52">
        <v>8</v>
      </c>
      <c r="C369" s="53">
        <v>46222</v>
      </c>
      <c r="D369" s="54" t="s">
        <v>413</v>
      </c>
      <c r="E369" s="55" t="s">
        <v>207</v>
      </c>
      <c r="F369" s="55" t="s">
        <v>169</v>
      </c>
      <c r="G369" s="55" t="s">
        <v>175</v>
      </c>
      <c r="H369" s="56">
        <v>3</v>
      </c>
      <c r="I369" s="56">
        <v>1</v>
      </c>
      <c r="J369" s="56">
        <v>2026</v>
      </c>
      <c r="K369" s="52" t="s">
        <v>99</v>
      </c>
      <c r="L369" s="52" t="s">
        <v>137</v>
      </c>
      <c r="M369" s="52" t="s">
        <v>403</v>
      </c>
      <c r="N369" s="52" t="s">
        <v>406</v>
      </c>
      <c r="O369" s="52" t="str">
        <f t="shared" si="10"/>
        <v>U.J. Lautaro</v>
      </c>
      <c r="P369" s="52" t="str">
        <f t="shared" si="11"/>
        <v>Local</v>
      </c>
      <c r="Q369" s="52">
        <v>3</v>
      </c>
      <c r="R369" s="52">
        <v>0</v>
      </c>
      <c r="S369" s="55" t="s">
        <v>397</v>
      </c>
      <c r="T369" s="53">
        <v>46230</v>
      </c>
    </row>
    <row r="370" spans="1:20" ht="12" customHeight="1">
      <c r="A370" s="51" t="s">
        <v>147</v>
      </c>
      <c r="B370" s="52">
        <v>8</v>
      </c>
      <c r="C370" s="53">
        <v>46222</v>
      </c>
      <c r="D370" s="54" t="s">
        <v>413</v>
      </c>
      <c r="E370" s="55" t="s">
        <v>210</v>
      </c>
      <c r="F370" s="55" t="s">
        <v>174</v>
      </c>
      <c r="G370" s="55" t="s">
        <v>170</v>
      </c>
      <c r="H370" s="56">
        <v>3</v>
      </c>
      <c r="I370" s="56">
        <v>2</v>
      </c>
      <c r="J370" s="56">
        <v>2026</v>
      </c>
      <c r="K370" s="52" t="s">
        <v>99</v>
      </c>
      <c r="L370" s="52" t="s">
        <v>137</v>
      </c>
      <c r="M370" s="52" t="s">
        <v>404</v>
      </c>
      <c r="N370" s="52" t="s">
        <v>394</v>
      </c>
      <c r="O370" s="52" t="str">
        <f t="shared" si="10"/>
        <v>Inca</v>
      </c>
      <c r="P370" s="52" t="str">
        <f t="shared" si="11"/>
        <v>Local</v>
      </c>
      <c r="Q370" s="52">
        <v>3</v>
      </c>
      <c r="R370" s="52">
        <v>0</v>
      </c>
      <c r="S370" s="55" t="s">
        <v>397</v>
      </c>
      <c r="T370" s="53">
        <v>46230</v>
      </c>
    </row>
    <row r="371" spans="1:20" ht="12" customHeight="1">
      <c r="A371" s="51" t="s">
        <v>147</v>
      </c>
      <c r="B371" s="52">
        <v>8</v>
      </c>
      <c r="C371" s="53">
        <v>46222</v>
      </c>
      <c r="D371" s="54" t="s">
        <v>413</v>
      </c>
      <c r="E371" s="55" t="s">
        <v>210</v>
      </c>
      <c r="F371" s="55" t="s">
        <v>172</v>
      </c>
      <c r="G371" s="55" t="s">
        <v>173</v>
      </c>
      <c r="H371" s="56">
        <v>2</v>
      </c>
      <c r="I371" s="56">
        <v>2</v>
      </c>
      <c r="J371" s="56">
        <v>2026</v>
      </c>
      <c r="K371" s="52" t="s">
        <v>99</v>
      </c>
      <c r="L371" s="52" t="s">
        <v>137</v>
      </c>
      <c r="M371" s="52" t="s">
        <v>405</v>
      </c>
      <c r="N371" s="52" t="s">
        <v>398</v>
      </c>
      <c r="O371" s="52" t="str">
        <f t="shared" si="10"/>
        <v>Empate</v>
      </c>
      <c r="P371" s="52" t="str">
        <f t="shared" si="11"/>
        <v>Empate</v>
      </c>
      <c r="Q371" s="52">
        <v>1</v>
      </c>
      <c r="R371" s="52">
        <v>1</v>
      </c>
      <c r="S371" s="55" t="s">
        <v>397</v>
      </c>
      <c r="T371" s="53">
        <v>46230</v>
      </c>
    </row>
    <row r="372" spans="1:20" ht="12" customHeight="1">
      <c r="A372" s="51" t="s">
        <v>147</v>
      </c>
      <c r="B372" s="52">
        <v>9</v>
      </c>
      <c r="C372" s="53">
        <v>46229</v>
      </c>
      <c r="D372" s="54" t="s">
        <v>413</v>
      </c>
      <c r="E372" s="55" t="s">
        <v>205</v>
      </c>
      <c r="F372" s="55" t="s">
        <v>166</v>
      </c>
      <c r="G372" s="55" t="s">
        <v>175</v>
      </c>
      <c r="H372" s="56">
        <v>5</v>
      </c>
      <c r="I372" s="56">
        <v>0</v>
      </c>
      <c r="J372" s="56">
        <v>2026</v>
      </c>
      <c r="K372" s="52" t="s">
        <v>99</v>
      </c>
      <c r="L372" s="52" t="s">
        <v>137</v>
      </c>
      <c r="M372" s="52" t="s">
        <v>403</v>
      </c>
      <c r="N372" s="52" t="s">
        <v>406</v>
      </c>
      <c r="O372" s="52" t="str">
        <f t="shared" si="10"/>
        <v>Villa Alegre</v>
      </c>
      <c r="P372" s="52" t="str">
        <f t="shared" si="11"/>
        <v>Local</v>
      </c>
      <c r="Q372" s="52">
        <v>3</v>
      </c>
      <c r="R372" s="52">
        <v>0</v>
      </c>
      <c r="S372" s="55" t="s">
        <v>397</v>
      </c>
      <c r="T372" s="53">
        <v>46230</v>
      </c>
    </row>
    <row r="373" spans="1:20" ht="12" customHeight="1">
      <c r="A373" s="51" t="s">
        <v>147</v>
      </c>
      <c r="B373" s="52">
        <v>9</v>
      </c>
      <c r="C373" s="53">
        <v>46229</v>
      </c>
      <c r="D373" s="54" t="s">
        <v>413</v>
      </c>
      <c r="E373" s="55" t="s">
        <v>210</v>
      </c>
      <c r="F373" s="55" t="s">
        <v>174</v>
      </c>
      <c r="G373" s="55" t="s">
        <v>176</v>
      </c>
      <c r="H373" s="56">
        <v>1</v>
      </c>
      <c r="I373" s="56">
        <v>3</v>
      </c>
      <c r="J373" s="56">
        <v>2026</v>
      </c>
      <c r="K373" s="52" t="s">
        <v>99</v>
      </c>
      <c r="L373" s="52" t="s">
        <v>137</v>
      </c>
      <c r="M373" s="52" t="s">
        <v>404</v>
      </c>
      <c r="N373" s="52" t="s">
        <v>394</v>
      </c>
      <c r="O373" s="52" t="str">
        <f t="shared" si="10"/>
        <v>Maestranza</v>
      </c>
      <c r="P373" s="52" t="str">
        <f t="shared" si="11"/>
        <v>Visita</v>
      </c>
      <c r="Q373" s="52">
        <v>0</v>
      </c>
      <c r="R373" s="52">
        <v>3</v>
      </c>
      <c r="S373" s="55" t="s">
        <v>397</v>
      </c>
      <c r="T373" s="53">
        <v>46230</v>
      </c>
    </row>
    <row r="374" spans="1:20" ht="12" customHeight="1">
      <c r="A374" s="51" t="s">
        <v>147</v>
      </c>
      <c r="B374" s="52">
        <v>9</v>
      </c>
      <c r="C374" s="53">
        <v>46229</v>
      </c>
      <c r="D374" s="54" t="s">
        <v>413</v>
      </c>
      <c r="E374" s="55" t="s">
        <v>207</v>
      </c>
      <c r="F374" s="55" t="s">
        <v>169</v>
      </c>
      <c r="G374" s="55" t="s">
        <v>173</v>
      </c>
      <c r="H374" s="56">
        <v>2</v>
      </c>
      <c r="I374" s="56">
        <v>1</v>
      </c>
      <c r="J374" s="56">
        <v>2026</v>
      </c>
      <c r="K374" s="52" t="s">
        <v>99</v>
      </c>
      <c r="L374" s="52" t="s">
        <v>137</v>
      </c>
      <c r="M374" s="52" t="s">
        <v>405</v>
      </c>
      <c r="N374" s="52" t="s">
        <v>398</v>
      </c>
      <c r="O374" s="52" t="str">
        <f t="shared" si="10"/>
        <v>U.J. Lautaro</v>
      </c>
      <c r="P374" s="52" t="str">
        <f t="shared" si="11"/>
        <v>Local</v>
      </c>
      <c r="Q374" s="52">
        <v>3</v>
      </c>
      <c r="R374" s="52">
        <v>0</v>
      </c>
      <c r="S374" s="55" t="s">
        <v>397</v>
      </c>
      <c r="T374" s="53">
        <v>46230</v>
      </c>
    </row>
    <row r="375" spans="1:20" ht="12" customHeight="1">
      <c r="A375" s="51" t="s">
        <v>147</v>
      </c>
      <c r="B375" s="52">
        <v>9</v>
      </c>
      <c r="C375" s="53">
        <v>46229</v>
      </c>
      <c r="D375" s="54" t="s">
        <v>413</v>
      </c>
      <c r="E375" s="55" t="s">
        <v>210</v>
      </c>
      <c r="F375" s="55" t="s">
        <v>172</v>
      </c>
      <c r="G375" s="55" t="s">
        <v>170</v>
      </c>
      <c r="H375" s="56">
        <v>2</v>
      </c>
      <c r="I375" s="56">
        <v>4</v>
      </c>
      <c r="J375" s="56">
        <v>2026</v>
      </c>
      <c r="K375" s="52" t="s">
        <v>99</v>
      </c>
      <c r="L375" s="52" t="s">
        <v>137</v>
      </c>
      <c r="M375" s="52" t="s">
        <v>406</v>
      </c>
      <c r="N375" s="52" t="s">
        <v>401</v>
      </c>
      <c r="O375" s="52" t="str">
        <f t="shared" si="10"/>
        <v>Forestal</v>
      </c>
      <c r="P375" s="52" t="str">
        <f t="shared" si="11"/>
        <v>Visita</v>
      </c>
      <c r="Q375" s="52">
        <v>0</v>
      </c>
      <c r="R375" s="52">
        <v>3</v>
      </c>
      <c r="S375" s="55" t="s">
        <v>397</v>
      </c>
      <c r="T375" s="53">
        <v>46230</v>
      </c>
    </row>
    <row r="376" spans="1:20" ht="12" customHeight="1">
      <c r="A376" s="51" t="s">
        <v>147</v>
      </c>
      <c r="B376" s="52">
        <v>10</v>
      </c>
      <c r="C376" s="53">
        <v>46236</v>
      </c>
      <c r="D376" s="54" t="s">
        <v>413</v>
      </c>
      <c r="E376" s="55" t="s">
        <v>210</v>
      </c>
      <c r="F376" s="55" t="s">
        <v>174</v>
      </c>
      <c r="G376" s="55" t="s">
        <v>166</v>
      </c>
      <c r="H376" s="56"/>
      <c r="I376" s="56"/>
      <c r="J376" s="56">
        <v>2026</v>
      </c>
      <c r="K376" s="52" t="s">
        <v>99</v>
      </c>
      <c r="L376" s="52" t="s">
        <v>88</v>
      </c>
      <c r="M376" s="52" t="s">
        <v>404</v>
      </c>
      <c r="N376" s="52" t="s">
        <v>394</v>
      </c>
      <c r="O376" s="52" t="str">
        <f t="shared" si="10"/>
        <v/>
      </c>
      <c r="P376" s="52" t="str">
        <f t="shared" si="11"/>
        <v/>
      </c>
      <c r="Q376" s="52"/>
      <c r="R376" s="52"/>
      <c r="S376" s="55" t="s">
        <v>407</v>
      </c>
      <c r="T376" s="53">
        <v>46230</v>
      </c>
    </row>
    <row r="377" spans="1:20" ht="12" customHeight="1">
      <c r="A377" s="51" t="s">
        <v>147</v>
      </c>
      <c r="B377" s="52">
        <v>10</v>
      </c>
      <c r="C377" s="53">
        <v>46236</v>
      </c>
      <c r="D377" s="54" t="s">
        <v>413</v>
      </c>
      <c r="E377" s="55" t="s">
        <v>207</v>
      </c>
      <c r="F377" s="55" t="s">
        <v>175</v>
      </c>
      <c r="G377" s="55" t="s">
        <v>173</v>
      </c>
      <c r="H377" s="56"/>
      <c r="I377" s="56"/>
      <c r="J377" s="56">
        <v>2026</v>
      </c>
      <c r="K377" s="52" t="s">
        <v>99</v>
      </c>
      <c r="L377" s="52" t="s">
        <v>88</v>
      </c>
      <c r="M377" s="52" t="s">
        <v>405</v>
      </c>
      <c r="N377" s="52" t="s">
        <v>398</v>
      </c>
      <c r="O377" s="52" t="str">
        <f t="shared" si="10"/>
        <v/>
      </c>
      <c r="P377" s="52" t="str">
        <f t="shared" si="11"/>
        <v/>
      </c>
      <c r="Q377" s="52"/>
      <c r="R377" s="52"/>
      <c r="S377" s="55" t="s">
        <v>407</v>
      </c>
      <c r="T377" s="53">
        <v>46230</v>
      </c>
    </row>
    <row r="378" spans="1:20" ht="12" customHeight="1">
      <c r="A378" s="51" t="s">
        <v>147</v>
      </c>
      <c r="B378" s="52">
        <v>10</v>
      </c>
      <c r="C378" s="53">
        <v>46236</v>
      </c>
      <c r="D378" s="54" t="s">
        <v>413</v>
      </c>
      <c r="E378" s="55" t="s">
        <v>210</v>
      </c>
      <c r="F378" s="55" t="s">
        <v>172</v>
      </c>
      <c r="G378" s="55" t="s">
        <v>176</v>
      </c>
      <c r="H378" s="56"/>
      <c r="I378" s="56"/>
      <c r="J378" s="56">
        <v>2026</v>
      </c>
      <c r="K378" s="52" t="s">
        <v>99</v>
      </c>
      <c r="L378" s="52" t="s">
        <v>88</v>
      </c>
      <c r="M378" s="52" t="s">
        <v>406</v>
      </c>
      <c r="N378" s="52" t="s">
        <v>401</v>
      </c>
      <c r="O378" s="52" t="str">
        <f t="shared" si="10"/>
        <v/>
      </c>
      <c r="P378" s="52" t="str">
        <f t="shared" si="11"/>
        <v/>
      </c>
      <c r="Q378" s="52"/>
      <c r="R378" s="52"/>
      <c r="S378" s="55" t="s">
        <v>407</v>
      </c>
      <c r="T378" s="53">
        <v>46230</v>
      </c>
    </row>
    <row r="379" spans="1:20" ht="12" customHeight="1">
      <c r="A379" s="51" t="s">
        <v>147</v>
      </c>
      <c r="B379" s="52">
        <v>10</v>
      </c>
      <c r="C379" s="53">
        <v>46236</v>
      </c>
      <c r="D379" s="54" t="s">
        <v>413</v>
      </c>
      <c r="E379" s="55" t="s">
        <v>207</v>
      </c>
      <c r="F379" s="55" t="s">
        <v>169</v>
      </c>
      <c r="G379" s="55" t="s">
        <v>170</v>
      </c>
      <c r="H379" s="56"/>
      <c r="I379" s="56"/>
      <c r="J379" s="56">
        <v>2026</v>
      </c>
      <c r="K379" s="52" t="s">
        <v>99</v>
      </c>
      <c r="L379" s="52" t="s">
        <v>88</v>
      </c>
      <c r="M379" s="52" t="s">
        <v>394</v>
      </c>
      <c r="N379" s="52" t="s">
        <v>395</v>
      </c>
      <c r="O379" s="52" t="str">
        <f t="shared" si="10"/>
        <v/>
      </c>
      <c r="P379" s="52" t="str">
        <f t="shared" si="11"/>
        <v/>
      </c>
      <c r="Q379" s="52"/>
      <c r="R379" s="52"/>
      <c r="S379" s="55" t="s">
        <v>407</v>
      </c>
      <c r="T379" s="53">
        <v>46230</v>
      </c>
    </row>
    <row r="380" spans="1:20" ht="12" customHeight="1">
      <c r="A380" s="51" t="s">
        <v>147</v>
      </c>
      <c r="B380" s="52">
        <v>11</v>
      </c>
      <c r="C380" s="53">
        <v>46243</v>
      </c>
      <c r="D380" s="54" t="s">
        <v>413</v>
      </c>
      <c r="E380" s="55" t="s">
        <v>205</v>
      </c>
      <c r="F380" s="55" t="s">
        <v>166</v>
      </c>
      <c r="G380" s="55" t="s">
        <v>173</v>
      </c>
      <c r="H380" s="56"/>
      <c r="I380" s="56"/>
      <c r="J380" s="56">
        <v>2026</v>
      </c>
      <c r="K380" s="52" t="s">
        <v>99</v>
      </c>
      <c r="L380" s="52" t="s">
        <v>88</v>
      </c>
      <c r="M380" s="52" t="s">
        <v>405</v>
      </c>
      <c r="N380" s="52" t="s">
        <v>398</v>
      </c>
      <c r="O380" s="52" t="str">
        <f t="shared" si="10"/>
        <v/>
      </c>
      <c r="P380" s="52" t="str">
        <f t="shared" si="11"/>
        <v/>
      </c>
      <c r="Q380" s="52"/>
      <c r="R380" s="52"/>
      <c r="S380" s="55" t="s">
        <v>407</v>
      </c>
      <c r="T380" s="53">
        <v>46230</v>
      </c>
    </row>
    <row r="381" spans="1:20" ht="12" customHeight="1">
      <c r="A381" s="51" t="s">
        <v>147</v>
      </c>
      <c r="B381" s="52">
        <v>11</v>
      </c>
      <c r="C381" s="53">
        <v>46243</v>
      </c>
      <c r="D381" s="54" t="s">
        <v>413</v>
      </c>
      <c r="E381" s="55" t="s">
        <v>210</v>
      </c>
      <c r="F381" s="55" t="s">
        <v>172</v>
      </c>
      <c r="G381" s="55" t="s">
        <v>174</v>
      </c>
      <c r="H381" s="56"/>
      <c r="I381" s="56"/>
      <c r="J381" s="56">
        <v>2026</v>
      </c>
      <c r="K381" s="52" t="s">
        <v>99</v>
      </c>
      <c r="L381" s="52" t="s">
        <v>88</v>
      </c>
      <c r="M381" s="52" t="s">
        <v>406</v>
      </c>
      <c r="N381" s="52" t="s">
        <v>401</v>
      </c>
      <c r="O381" s="52" t="str">
        <f t="shared" si="10"/>
        <v/>
      </c>
      <c r="P381" s="52" t="str">
        <f t="shared" si="11"/>
        <v/>
      </c>
      <c r="Q381" s="52"/>
      <c r="R381" s="52"/>
      <c r="S381" s="55" t="s">
        <v>407</v>
      </c>
      <c r="T381" s="53">
        <v>46230</v>
      </c>
    </row>
    <row r="382" spans="1:20" ht="12" customHeight="1">
      <c r="A382" s="51" t="s">
        <v>147</v>
      </c>
      <c r="B382" s="52">
        <v>11</v>
      </c>
      <c r="C382" s="53">
        <v>46243</v>
      </c>
      <c r="D382" s="54" t="s">
        <v>413</v>
      </c>
      <c r="E382" s="55" t="s">
        <v>207</v>
      </c>
      <c r="F382" s="55" t="s">
        <v>175</v>
      </c>
      <c r="G382" s="55" t="s">
        <v>170</v>
      </c>
      <c r="H382" s="56"/>
      <c r="I382" s="56"/>
      <c r="J382" s="56">
        <v>2026</v>
      </c>
      <c r="K382" s="52" t="s">
        <v>99</v>
      </c>
      <c r="L382" s="52" t="s">
        <v>88</v>
      </c>
      <c r="M382" s="52" t="s">
        <v>394</v>
      </c>
      <c r="N382" s="52" t="s">
        <v>395</v>
      </c>
      <c r="O382" s="52" t="str">
        <f t="shared" si="10"/>
        <v/>
      </c>
      <c r="P382" s="52" t="str">
        <f t="shared" si="11"/>
        <v/>
      </c>
      <c r="Q382" s="52"/>
      <c r="R382" s="52"/>
      <c r="S382" s="55" t="s">
        <v>407</v>
      </c>
      <c r="T382" s="53">
        <v>46230</v>
      </c>
    </row>
    <row r="383" spans="1:20" ht="12" customHeight="1">
      <c r="A383" s="51" t="s">
        <v>147</v>
      </c>
      <c r="B383" s="52">
        <v>11</v>
      </c>
      <c r="C383" s="53">
        <v>46243</v>
      </c>
      <c r="D383" s="54" t="s">
        <v>413</v>
      </c>
      <c r="E383" s="55" t="s">
        <v>207</v>
      </c>
      <c r="F383" s="55" t="s">
        <v>169</v>
      </c>
      <c r="G383" s="55" t="s">
        <v>176</v>
      </c>
      <c r="H383" s="56"/>
      <c r="I383" s="56"/>
      <c r="J383" s="56">
        <v>2026</v>
      </c>
      <c r="K383" s="52" t="s">
        <v>99</v>
      </c>
      <c r="L383" s="52" t="s">
        <v>88</v>
      </c>
      <c r="M383" s="52" t="s">
        <v>398</v>
      </c>
      <c r="N383" s="52" t="s">
        <v>399</v>
      </c>
      <c r="O383" s="52" t="str">
        <f t="shared" si="10"/>
        <v/>
      </c>
      <c r="P383" s="52" t="str">
        <f t="shared" si="11"/>
        <v/>
      </c>
      <c r="Q383" s="52"/>
      <c r="R383" s="52"/>
      <c r="S383" s="55" t="s">
        <v>407</v>
      </c>
      <c r="T383" s="53">
        <v>46230</v>
      </c>
    </row>
    <row r="384" spans="1:20" ht="12" customHeight="1">
      <c r="A384" s="51" t="s">
        <v>147</v>
      </c>
      <c r="B384" s="52">
        <v>12</v>
      </c>
      <c r="C384" s="53">
        <v>46250</v>
      </c>
      <c r="D384" s="54" t="s">
        <v>413</v>
      </c>
      <c r="E384" s="55" t="s">
        <v>210</v>
      </c>
      <c r="F384" s="55" t="s">
        <v>172</v>
      </c>
      <c r="G384" s="55" t="s">
        <v>166</v>
      </c>
      <c r="H384" s="56"/>
      <c r="I384" s="56"/>
      <c r="J384" s="56">
        <v>2026</v>
      </c>
      <c r="K384" s="52" t="s">
        <v>99</v>
      </c>
      <c r="L384" s="52" t="s">
        <v>88</v>
      </c>
      <c r="M384" s="52" t="s">
        <v>406</v>
      </c>
      <c r="N384" s="52" t="s">
        <v>401</v>
      </c>
      <c r="O384" s="52" t="str">
        <f t="shared" si="10"/>
        <v/>
      </c>
      <c r="P384" s="52" t="str">
        <f t="shared" si="11"/>
        <v/>
      </c>
      <c r="Q384" s="52"/>
      <c r="R384" s="52"/>
      <c r="S384" s="55" t="s">
        <v>407</v>
      </c>
      <c r="T384" s="53">
        <v>46230</v>
      </c>
    </row>
    <row r="385" spans="1:20" ht="12" customHeight="1">
      <c r="A385" s="51" t="s">
        <v>147</v>
      </c>
      <c r="B385" s="52">
        <v>12</v>
      </c>
      <c r="C385" s="53">
        <v>46250</v>
      </c>
      <c r="D385" s="54" t="s">
        <v>413</v>
      </c>
      <c r="E385" s="55" t="s">
        <v>205</v>
      </c>
      <c r="F385" s="55" t="s">
        <v>173</v>
      </c>
      <c r="G385" s="55" t="s">
        <v>170</v>
      </c>
      <c r="H385" s="56"/>
      <c r="I385" s="56"/>
      <c r="J385" s="56">
        <v>2026</v>
      </c>
      <c r="K385" s="52" t="s">
        <v>99</v>
      </c>
      <c r="L385" s="52" t="s">
        <v>88</v>
      </c>
      <c r="M385" s="52" t="s">
        <v>394</v>
      </c>
      <c r="N385" s="52" t="s">
        <v>395</v>
      </c>
      <c r="O385" s="52" t="str">
        <f t="shared" si="10"/>
        <v/>
      </c>
      <c r="P385" s="52" t="str">
        <f t="shared" si="11"/>
        <v/>
      </c>
      <c r="Q385" s="52"/>
      <c r="R385" s="52"/>
      <c r="S385" s="55" t="s">
        <v>407</v>
      </c>
      <c r="T385" s="53">
        <v>46230</v>
      </c>
    </row>
    <row r="386" spans="1:20" ht="12" customHeight="1">
      <c r="A386" s="51" t="s">
        <v>147</v>
      </c>
      <c r="B386" s="52">
        <v>12</v>
      </c>
      <c r="C386" s="53">
        <v>46250</v>
      </c>
      <c r="D386" s="54" t="s">
        <v>413</v>
      </c>
      <c r="E386" s="55" t="s">
        <v>207</v>
      </c>
      <c r="F386" s="55" t="s">
        <v>169</v>
      </c>
      <c r="G386" s="55" t="s">
        <v>174</v>
      </c>
      <c r="H386" s="56"/>
      <c r="I386" s="56"/>
      <c r="J386" s="56">
        <v>2026</v>
      </c>
      <c r="K386" s="52" t="s">
        <v>99</v>
      </c>
      <c r="L386" s="52" t="s">
        <v>88</v>
      </c>
      <c r="M386" s="52" t="s">
        <v>398</v>
      </c>
      <c r="N386" s="52" t="s">
        <v>399</v>
      </c>
      <c r="O386" s="52" t="str">
        <f t="shared" si="10"/>
        <v/>
      </c>
      <c r="P386" s="52" t="str">
        <f t="shared" si="11"/>
        <v/>
      </c>
      <c r="Q386" s="52"/>
      <c r="R386" s="52"/>
      <c r="S386" s="55" t="s">
        <v>407</v>
      </c>
      <c r="T386" s="53">
        <v>46230</v>
      </c>
    </row>
    <row r="387" spans="1:20" ht="12" customHeight="1">
      <c r="A387" s="51" t="s">
        <v>147</v>
      </c>
      <c r="B387" s="52">
        <v>12</v>
      </c>
      <c r="C387" s="53">
        <v>46250</v>
      </c>
      <c r="D387" s="54" t="s">
        <v>413</v>
      </c>
      <c r="E387" s="55" t="s">
        <v>207</v>
      </c>
      <c r="F387" s="55" t="s">
        <v>175</v>
      </c>
      <c r="G387" s="55" t="s">
        <v>176</v>
      </c>
      <c r="H387" s="56"/>
      <c r="I387" s="56"/>
      <c r="J387" s="56">
        <v>2026</v>
      </c>
      <c r="K387" s="52" t="s">
        <v>99</v>
      </c>
      <c r="L387" s="52" t="s">
        <v>88</v>
      </c>
      <c r="M387" s="52" t="s">
        <v>401</v>
      </c>
      <c r="N387" s="52" t="s">
        <v>402</v>
      </c>
      <c r="O387" s="52" t="str">
        <f t="shared" si="10"/>
        <v/>
      </c>
      <c r="P387" s="52" t="str">
        <f t="shared" si="11"/>
        <v/>
      </c>
      <c r="Q387" s="52"/>
      <c r="R387" s="52"/>
      <c r="S387" s="55" t="s">
        <v>407</v>
      </c>
      <c r="T387" s="53">
        <v>46230</v>
      </c>
    </row>
    <row r="388" spans="1:20" ht="12" customHeight="1">
      <c r="A388" s="51" t="s">
        <v>147</v>
      </c>
      <c r="B388" s="52">
        <v>13</v>
      </c>
      <c r="C388" s="53">
        <v>46257</v>
      </c>
      <c r="D388" s="54" t="s">
        <v>413</v>
      </c>
      <c r="E388" s="55" t="s">
        <v>205</v>
      </c>
      <c r="F388" s="55" t="s">
        <v>166</v>
      </c>
      <c r="G388" s="55" t="s">
        <v>170</v>
      </c>
      <c r="H388" s="56"/>
      <c r="I388" s="56"/>
      <c r="J388" s="56">
        <v>2026</v>
      </c>
      <c r="K388" s="52" t="s">
        <v>99</v>
      </c>
      <c r="L388" s="52" t="s">
        <v>88</v>
      </c>
      <c r="M388" s="52" t="s">
        <v>394</v>
      </c>
      <c r="N388" s="52" t="s">
        <v>395</v>
      </c>
      <c r="O388" s="52" t="str">
        <f t="shared" ref="O388:O451" si="12">IF(OR(L388&lt;&gt;"Finalizado",H388="",I388=""),"",IF(H388&gt;I388,F388,IF(I388&gt;H388,G388,"Empate")))</f>
        <v/>
      </c>
      <c r="P388" s="52" t="str">
        <f t="shared" ref="P388:P451" si="13">IF(OR(L388&lt;&gt;"Finalizado",H388="",I388=""),"",IF(H388=I388,"Empate",IF(H388&gt;I388,"Local","Visita")))</f>
        <v/>
      </c>
      <c r="Q388" s="52"/>
      <c r="R388" s="52"/>
      <c r="S388" s="55" t="s">
        <v>407</v>
      </c>
      <c r="T388" s="53">
        <v>46230</v>
      </c>
    </row>
    <row r="389" spans="1:20" ht="12" customHeight="1">
      <c r="A389" s="51" t="s">
        <v>147</v>
      </c>
      <c r="B389" s="52">
        <v>13</v>
      </c>
      <c r="C389" s="53">
        <v>46257</v>
      </c>
      <c r="D389" s="54" t="s">
        <v>413</v>
      </c>
      <c r="E389" s="55" t="s">
        <v>207</v>
      </c>
      <c r="F389" s="55" t="s">
        <v>169</v>
      </c>
      <c r="G389" s="55" t="s">
        <v>172</v>
      </c>
      <c r="H389" s="56"/>
      <c r="I389" s="56"/>
      <c r="J389" s="56">
        <v>2026</v>
      </c>
      <c r="K389" s="52" t="s">
        <v>99</v>
      </c>
      <c r="L389" s="52" t="s">
        <v>88</v>
      </c>
      <c r="M389" s="52" t="s">
        <v>398</v>
      </c>
      <c r="N389" s="52" t="s">
        <v>399</v>
      </c>
      <c r="O389" s="52" t="str">
        <f t="shared" si="12"/>
        <v/>
      </c>
      <c r="P389" s="52" t="str">
        <f t="shared" si="13"/>
        <v/>
      </c>
      <c r="Q389" s="52"/>
      <c r="R389" s="52"/>
      <c r="S389" s="55" t="s">
        <v>407</v>
      </c>
      <c r="T389" s="53">
        <v>46230</v>
      </c>
    </row>
    <row r="390" spans="1:20" ht="12" customHeight="1">
      <c r="A390" s="51" t="s">
        <v>147</v>
      </c>
      <c r="B390" s="52">
        <v>13</v>
      </c>
      <c r="C390" s="53">
        <v>46257</v>
      </c>
      <c r="D390" s="54" t="s">
        <v>413</v>
      </c>
      <c r="E390" s="55" t="s">
        <v>205</v>
      </c>
      <c r="F390" s="55" t="s">
        <v>173</v>
      </c>
      <c r="G390" s="55" t="s">
        <v>176</v>
      </c>
      <c r="H390" s="56"/>
      <c r="I390" s="56"/>
      <c r="J390" s="56">
        <v>2026</v>
      </c>
      <c r="K390" s="52" t="s">
        <v>99</v>
      </c>
      <c r="L390" s="52" t="s">
        <v>88</v>
      </c>
      <c r="M390" s="52" t="s">
        <v>401</v>
      </c>
      <c r="N390" s="52" t="s">
        <v>402</v>
      </c>
      <c r="O390" s="52" t="str">
        <f t="shared" si="12"/>
        <v/>
      </c>
      <c r="P390" s="52" t="str">
        <f t="shared" si="13"/>
        <v/>
      </c>
      <c r="Q390" s="52"/>
      <c r="R390" s="52"/>
      <c r="S390" s="55" t="s">
        <v>407</v>
      </c>
      <c r="T390" s="53">
        <v>46230</v>
      </c>
    </row>
    <row r="391" spans="1:20" ht="12" customHeight="1">
      <c r="A391" s="51" t="s">
        <v>147</v>
      </c>
      <c r="B391" s="52">
        <v>13</v>
      </c>
      <c r="C391" s="53">
        <v>46257</v>
      </c>
      <c r="D391" s="54" t="s">
        <v>413</v>
      </c>
      <c r="E391" s="55" t="s">
        <v>207</v>
      </c>
      <c r="F391" s="55" t="s">
        <v>175</v>
      </c>
      <c r="G391" s="55" t="s">
        <v>174</v>
      </c>
      <c r="H391" s="56"/>
      <c r="I391" s="56"/>
      <c r="J391" s="56">
        <v>2026</v>
      </c>
      <c r="K391" s="52" t="s">
        <v>99</v>
      </c>
      <c r="L391" s="52" t="s">
        <v>88</v>
      </c>
      <c r="M391" s="52" t="s">
        <v>395</v>
      </c>
      <c r="N391" s="52" t="s">
        <v>396</v>
      </c>
      <c r="O391" s="52" t="str">
        <f t="shared" si="12"/>
        <v/>
      </c>
      <c r="P391" s="52" t="str">
        <f t="shared" si="13"/>
        <v/>
      </c>
      <c r="Q391" s="52"/>
      <c r="R391" s="52"/>
      <c r="S391" s="55" t="s">
        <v>407</v>
      </c>
      <c r="T391" s="53">
        <v>46230</v>
      </c>
    </row>
    <row r="392" spans="1:20" ht="12" customHeight="1">
      <c r="A392" s="51" t="s">
        <v>147</v>
      </c>
      <c r="B392" s="52">
        <v>14</v>
      </c>
      <c r="C392" s="53">
        <v>46264</v>
      </c>
      <c r="D392" s="54" t="s">
        <v>413</v>
      </c>
      <c r="E392" s="55" t="s">
        <v>207</v>
      </c>
      <c r="F392" s="55" t="s">
        <v>169</v>
      </c>
      <c r="G392" s="55" t="s">
        <v>166</v>
      </c>
      <c r="H392" s="56"/>
      <c r="I392" s="56"/>
      <c r="J392" s="56">
        <v>2026</v>
      </c>
      <c r="K392" s="52" t="s">
        <v>99</v>
      </c>
      <c r="L392" s="52" t="s">
        <v>88</v>
      </c>
      <c r="M392" s="52" t="s">
        <v>398</v>
      </c>
      <c r="N392" s="52" t="s">
        <v>399</v>
      </c>
      <c r="O392" s="52" t="str">
        <f t="shared" si="12"/>
        <v/>
      </c>
      <c r="P392" s="52" t="str">
        <f t="shared" si="13"/>
        <v/>
      </c>
      <c r="Q392" s="52"/>
      <c r="R392" s="52"/>
      <c r="S392" s="55" t="s">
        <v>407</v>
      </c>
      <c r="T392" s="53">
        <v>46230</v>
      </c>
    </row>
    <row r="393" spans="1:20" ht="12" customHeight="1">
      <c r="A393" s="51" t="s">
        <v>147</v>
      </c>
      <c r="B393" s="52">
        <v>14</v>
      </c>
      <c r="C393" s="53">
        <v>46264</v>
      </c>
      <c r="D393" s="54" t="s">
        <v>413</v>
      </c>
      <c r="E393" s="55" t="s">
        <v>171</v>
      </c>
      <c r="F393" s="55" t="s">
        <v>170</v>
      </c>
      <c r="G393" s="55" t="s">
        <v>176</v>
      </c>
      <c r="H393" s="56"/>
      <c r="I393" s="56"/>
      <c r="J393" s="56">
        <v>2026</v>
      </c>
      <c r="K393" s="52" t="s">
        <v>99</v>
      </c>
      <c r="L393" s="52" t="s">
        <v>88</v>
      </c>
      <c r="M393" s="52" t="s">
        <v>401</v>
      </c>
      <c r="N393" s="52" t="s">
        <v>402</v>
      </c>
      <c r="O393" s="52" t="str">
        <f t="shared" si="12"/>
        <v/>
      </c>
      <c r="P393" s="52" t="str">
        <f t="shared" si="13"/>
        <v/>
      </c>
      <c r="Q393" s="52"/>
      <c r="R393" s="52"/>
      <c r="S393" s="55" t="s">
        <v>407</v>
      </c>
      <c r="T393" s="53">
        <v>46230</v>
      </c>
    </row>
    <row r="394" spans="1:20" ht="12" customHeight="1">
      <c r="A394" s="51" t="s">
        <v>147</v>
      </c>
      <c r="B394" s="52">
        <v>14</v>
      </c>
      <c r="C394" s="53">
        <v>46264</v>
      </c>
      <c r="D394" s="54" t="s">
        <v>413</v>
      </c>
      <c r="E394" s="55" t="s">
        <v>207</v>
      </c>
      <c r="F394" s="55" t="s">
        <v>175</v>
      </c>
      <c r="G394" s="55" t="s">
        <v>172</v>
      </c>
      <c r="H394" s="56"/>
      <c r="I394" s="56"/>
      <c r="J394" s="56">
        <v>2026</v>
      </c>
      <c r="K394" s="52" t="s">
        <v>99</v>
      </c>
      <c r="L394" s="52" t="s">
        <v>88</v>
      </c>
      <c r="M394" s="52" t="s">
        <v>395</v>
      </c>
      <c r="N394" s="52" t="s">
        <v>396</v>
      </c>
      <c r="O394" s="52" t="str">
        <f t="shared" si="12"/>
        <v/>
      </c>
      <c r="P394" s="52" t="str">
        <f t="shared" si="13"/>
        <v/>
      </c>
      <c r="Q394" s="52"/>
      <c r="R394" s="52"/>
      <c r="S394" s="55" t="s">
        <v>407</v>
      </c>
      <c r="T394" s="53">
        <v>46230</v>
      </c>
    </row>
    <row r="395" spans="1:20" ht="12" customHeight="1">
      <c r="A395" s="51" t="s">
        <v>147</v>
      </c>
      <c r="B395" s="52">
        <v>14</v>
      </c>
      <c r="C395" s="53">
        <v>46264</v>
      </c>
      <c r="D395" s="54" t="s">
        <v>413</v>
      </c>
      <c r="E395" s="55" t="s">
        <v>205</v>
      </c>
      <c r="F395" s="55" t="s">
        <v>173</v>
      </c>
      <c r="G395" s="55" t="s">
        <v>174</v>
      </c>
      <c r="H395" s="56"/>
      <c r="I395" s="56"/>
      <c r="J395" s="56">
        <v>2026</v>
      </c>
      <c r="K395" s="52" t="s">
        <v>99</v>
      </c>
      <c r="L395" s="52" t="s">
        <v>88</v>
      </c>
      <c r="M395" s="52" t="s">
        <v>399</v>
      </c>
      <c r="N395" s="52" t="s">
        <v>400</v>
      </c>
      <c r="O395" s="52" t="str">
        <f t="shared" si="12"/>
        <v/>
      </c>
      <c r="P395" s="52" t="str">
        <f t="shared" si="13"/>
        <v/>
      </c>
      <c r="Q395" s="52"/>
      <c r="R395" s="52"/>
      <c r="S395" s="55" t="s">
        <v>407</v>
      </c>
      <c r="T395" s="53">
        <v>46230</v>
      </c>
    </row>
    <row r="396" spans="1:20" ht="12" customHeight="1">
      <c r="A396" s="51" t="s">
        <v>149</v>
      </c>
      <c r="B396" s="52">
        <v>1</v>
      </c>
      <c r="C396" s="53">
        <v>46173</v>
      </c>
      <c r="D396" s="54" t="s">
        <v>414</v>
      </c>
      <c r="E396" s="55" t="s">
        <v>205</v>
      </c>
      <c r="F396" s="55" t="s">
        <v>166</v>
      </c>
      <c r="G396" s="55" t="s">
        <v>176</v>
      </c>
      <c r="H396" s="56">
        <v>2</v>
      </c>
      <c r="I396" s="56">
        <v>2</v>
      </c>
      <c r="J396" s="56">
        <v>2026</v>
      </c>
      <c r="K396" s="52" t="s">
        <v>99</v>
      </c>
      <c r="L396" s="52" t="s">
        <v>137</v>
      </c>
      <c r="M396" s="52" t="s">
        <v>399</v>
      </c>
      <c r="N396" s="52" t="s">
        <v>400</v>
      </c>
      <c r="O396" s="52" t="str">
        <f t="shared" si="12"/>
        <v>Empate</v>
      </c>
      <c r="P396" s="52" t="str">
        <f t="shared" si="13"/>
        <v>Empate</v>
      </c>
      <c r="Q396" s="52">
        <v>1</v>
      </c>
      <c r="R396" s="52">
        <v>1</v>
      </c>
      <c r="S396" s="55" t="s">
        <v>397</v>
      </c>
      <c r="T396" s="53">
        <v>46230</v>
      </c>
    </row>
    <row r="397" spans="1:20" ht="12" customHeight="1">
      <c r="A397" s="51" t="s">
        <v>149</v>
      </c>
      <c r="B397" s="52">
        <v>1</v>
      </c>
      <c r="C397" s="53">
        <v>46173</v>
      </c>
      <c r="D397" s="54" t="s">
        <v>414</v>
      </c>
      <c r="E397" s="55" t="s">
        <v>207</v>
      </c>
      <c r="F397" s="55" t="s">
        <v>175</v>
      </c>
      <c r="G397" s="55" t="s">
        <v>169</v>
      </c>
      <c r="H397" s="56">
        <v>2</v>
      </c>
      <c r="I397" s="56">
        <v>0</v>
      </c>
      <c r="J397" s="56">
        <v>2026</v>
      </c>
      <c r="K397" s="52" t="s">
        <v>99</v>
      </c>
      <c r="L397" s="52" t="s">
        <v>137</v>
      </c>
      <c r="M397" s="52" t="s">
        <v>402</v>
      </c>
      <c r="N397" s="52" t="s">
        <v>403</v>
      </c>
      <c r="O397" s="52" t="str">
        <f t="shared" si="12"/>
        <v>Colo Colo</v>
      </c>
      <c r="P397" s="52" t="str">
        <f t="shared" si="13"/>
        <v>Local</v>
      </c>
      <c r="Q397" s="52">
        <v>3</v>
      </c>
      <c r="R397" s="52">
        <v>0</v>
      </c>
      <c r="S397" s="55" t="s">
        <v>397</v>
      </c>
      <c r="T397" s="53">
        <v>46230</v>
      </c>
    </row>
    <row r="398" spans="1:20" ht="12" customHeight="1">
      <c r="A398" s="51" t="s">
        <v>149</v>
      </c>
      <c r="B398" s="52">
        <v>1</v>
      </c>
      <c r="C398" s="53">
        <v>46173</v>
      </c>
      <c r="D398" s="54" t="s">
        <v>414</v>
      </c>
      <c r="E398" s="55" t="s">
        <v>171</v>
      </c>
      <c r="F398" s="55" t="s">
        <v>170</v>
      </c>
      <c r="G398" s="55" t="s">
        <v>174</v>
      </c>
      <c r="H398" s="56">
        <v>1</v>
      </c>
      <c r="I398" s="56">
        <v>1</v>
      </c>
      <c r="J398" s="56">
        <v>2026</v>
      </c>
      <c r="K398" s="52" t="s">
        <v>99</v>
      </c>
      <c r="L398" s="52" t="s">
        <v>137</v>
      </c>
      <c r="M398" s="52" t="s">
        <v>396</v>
      </c>
      <c r="N398" s="52" t="s">
        <v>404</v>
      </c>
      <c r="O398" s="52" t="str">
        <f t="shared" si="12"/>
        <v>Empate</v>
      </c>
      <c r="P398" s="52" t="str">
        <f t="shared" si="13"/>
        <v>Empate</v>
      </c>
      <c r="Q398" s="52">
        <v>1</v>
      </c>
      <c r="R398" s="52">
        <v>1</v>
      </c>
      <c r="S398" s="55" t="s">
        <v>397</v>
      </c>
      <c r="T398" s="53">
        <v>46230</v>
      </c>
    </row>
    <row r="399" spans="1:20" ht="12" customHeight="1">
      <c r="A399" s="51" t="s">
        <v>149</v>
      </c>
      <c r="B399" s="52">
        <v>1</v>
      </c>
      <c r="C399" s="53">
        <v>46173</v>
      </c>
      <c r="D399" s="54" t="s">
        <v>414</v>
      </c>
      <c r="E399" s="55" t="s">
        <v>205</v>
      </c>
      <c r="F399" s="55" t="s">
        <v>173</v>
      </c>
      <c r="G399" s="55" t="s">
        <v>172</v>
      </c>
      <c r="H399" s="56">
        <v>2</v>
      </c>
      <c r="I399" s="56">
        <v>1</v>
      </c>
      <c r="J399" s="56">
        <v>2026</v>
      </c>
      <c r="K399" s="52" t="s">
        <v>99</v>
      </c>
      <c r="L399" s="52" t="s">
        <v>137</v>
      </c>
      <c r="M399" s="52" t="s">
        <v>400</v>
      </c>
      <c r="N399" s="52" t="s">
        <v>405</v>
      </c>
      <c r="O399" s="52" t="str">
        <f t="shared" si="12"/>
        <v>Jota Montt</v>
      </c>
      <c r="P399" s="52" t="str">
        <f t="shared" si="13"/>
        <v>Local</v>
      </c>
      <c r="Q399" s="52">
        <v>3</v>
      </c>
      <c r="R399" s="52">
        <v>0</v>
      </c>
      <c r="S399" s="55" t="s">
        <v>397</v>
      </c>
      <c r="T399" s="53">
        <v>46230</v>
      </c>
    </row>
    <row r="400" spans="1:20" ht="12" customHeight="1">
      <c r="A400" s="51" t="s">
        <v>149</v>
      </c>
      <c r="B400" s="52">
        <v>2</v>
      </c>
      <c r="C400" s="53">
        <v>46180</v>
      </c>
      <c r="D400" s="54" t="s">
        <v>414</v>
      </c>
      <c r="E400" s="55" t="s">
        <v>207</v>
      </c>
      <c r="F400" s="55" t="s">
        <v>175</v>
      </c>
      <c r="G400" s="55" t="s">
        <v>166</v>
      </c>
      <c r="H400" s="56">
        <v>1</v>
      </c>
      <c r="I400" s="56">
        <v>0</v>
      </c>
      <c r="J400" s="56">
        <v>2026</v>
      </c>
      <c r="K400" s="52" t="s">
        <v>99</v>
      </c>
      <c r="L400" s="52" t="s">
        <v>137</v>
      </c>
      <c r="M400" s="52" t="s">
        <v>402</v>
      </c>
      <c r="N400" s="52" t="s">
        <v>403</v>
      </c>
      <c r="O400" s="52" t="str">
        <f t="shared" si="12"/>
        <v>Colo Colo</v>
      </c>
      <c r="P400" s="52" t="str">
        <f t="shared" si="13"/>
        <v>Local</v>
      </c>
      <c r="Q400" s="52">
        <v>3</v>
      </c>
      <c r="R400" s="52">
        <v>0</v>
      </c>
      <c r="S400" s="55" t="s">
        <v>397</v>
      </c>
      <c r="T400" s="53">
        <v>46230</v>
      </c>
    </row>
    <row r="401" spans="1:20" ht="12" customHeight="1">
      <c r="A401" s="51" t="s">
        <v>149</v>
      </c>
      <c r="B401" s="52">
        <v>2</v>
      </c>
      <c r="C401" s="53">
        <v>46180</v>
      </c>
      <c r="D401" s="54" t="s">
        <v>414</v>
      </c>
      <c r="E401" s="55" t="s">
        <v>210</v>
      </c>
      <c r="F401" s="55" t="s">
        <v>176</v>
      </c>
      <c r="G401" s="55" t="s">
        <v>174</v>
      </c>
      <c r="H401" s="56">
        <v>3</v>
      </c>
      <c r="I401" s="56">
        <v>0</v>
      </c>
      <c r="J401" s="56">
        <v>2026</v>
      </c>
      <c r="K401" s="52" t="s">
        <v>99</v>
      </c>
      <c r="L401" s="52" t="s">
        <v>137</v>
      </c>
      <c r="M401" s="52" t="s">
        <v>396</v>
      </c>
      <c r="N401" s="52" t="s">
        <v>404</v>
      </c>
      <c r="O401" s="52" t="str">
        <f t="shared" si="12"/>
        <v>Maestranza</v>
      </c>
      <c r="P401" s="52" t="str">
        <f t="shared" si="13"/>
        <v>Local</v>
      </c>
      <c r="Q401" s="52">
        <v>3</v>
      </c>
      <c r="R401" s="52">
        <v>0</v>
      </c>
      <c r="S401" s="55" t="s">
        <v>397</v>
      </c>
      <c r="T401" s="53">
        <v>46230</v>
      </c>
    </row>
    <row r="402" spans="1:20" ht="12" customHeight="1">
      <c r="A402" s="51" t="s">
        <v>149</v>
      </c>
      <c r="B402" s="52">
        <v>2</v>
      </c>
      <c r="C402" s="53">
        <v>46180</v>
      </c>
      <c r="D402" s="54" t="s">
        <v>414</v>
      </c>
      <c r="E402" s="55" t="s">
        <v>205</v>
      </c>
      <c r="F402" s="55" t="s">
        <v>173</v>
      </c>
      <c r="G402" s="55" t="s">
        <v>169</v>
      </c>
      <c r="H402" s="56">
        <v>2</v>
      </c>
      <c r="I402" s="56">
        <v>1</v>
      </c>
      <c r="J402" s="56">
        <v>2026</v>
      </c>
      <c r="K402" s="52" t="s">
        <v>99</v>
      </c>
      <c r="L402" s="52" t="s">
        <v>137</v>
      </c>
      <c r="M402" s="52" t="s">
        <v>400</v>
      </c>
      <c r="N402" s="52" t="s">
        <v>405</v>
      </c>
      <c r="O402" s="52" t="str">
        <f t="shared" si="12"/>
        <v>Jota Montt</v>
      </c>
      <c r="P402" s="52" t="str">
        <f t="shared" si="13"/>
        <v>Local</v>
      </c>
      <c r="Q402" s="52">
        <v>3</v>
      </c>
      <c r="R402" s="52">
        <v>0</v>
      </c>
      <c r="S402" s="55" t="s">
        <v>397</v>
      </c>
      <c r="T402" s="53">
        <v>46230</v>
      </c>
    </row>
    <row r="403" spans="1:20" ht="12" customHeight="1">
      <c r="A403" s="51" t="s">
        <v>149</v>
      </c>
      <c r="B403" s="52">
        <v>2</v>
      </c>
      <c r="C403" s="53">
        <v>46180</v>
      </c>
      <c r="D403" s="54" t="s">
        <v>414</v>
      </c>
      <c r="E403" s="55" t="s">
        <v>171</v>
      </c>
      <c r="F403" s="55" t="s">
        <v>170</v>
      </c>
      <c r="G403" s="55" t="s">
        <v>172</v>
      </c>
      <c r="H403" s="56">
        <v>3</v>
      </c>
      <c r="I403" s="56">
        <v>0</v>
      </c>
      <c r="J403" s="56">
        <v>2026</v>
      </c>
      <c r="K403" s="52" t="s">
        <v>99</v>
      </c>
      <c r="L403" s="52" t="s">
        <v>137</v>
      </c>
      <c r="M403" s="52" t="s">
        <v>403</v>
      </c>
      <c r="N403" s="52" t="s">
        <v>406</v>
      </c>
      <c r="O403" s="52" t="str">
        <f t="shared" si="12"/>
        <v>Forestal</v>
      </c>
      <c r="P403" s="52" t="str">
        <f t="shared" si="13"/>
        <v>Local</v>
      </c>
      <c r="Q403" s="52">
        <v>3</v>
      </c>
      <c r="R403" s="52">
        <v>0</v>
      </c>
      <c r="S403" s="55" t="s">
        <v>397</v>
      </c>
      <c r="T403" s="53">
        <v>46230</v>
      </c>
    </row>
    <row r="404" spans="1:20" ht="12" customHeight="1">
      <c r="A404" s="51" t="s">
        <v>149</v>
      </c>
      <c r="B404" s="52">
        <v>3</v>
      </c>
      <c r="C404" s="53">
        <v>46187</v>
      </c>
      <c r="D404" s="54" t="s">
        <v>414</v>
      </c>
      <c r="E404" s="55" t="s">
        <v>205</v>
      </c>
      <c r="F404" s="55" t="s">
        <v>166</v>
      </c>
      <c r="G404" s="55" t="s">
        <v>174</v>
      </c>
      <c r="H404" s="56">
        <v>2</v>
      </c>
      <c r="I404" s="56">
        <v>1</v>
      </c>
      <c r="J404" s="56">
        <v>2026</v>
      </c>
      <c r="K404" s="52" t="s">
        <v>99</v>
      </c>
      <c r="L404" s="52" t="s">
        <v>137</v>
      </c>
      <c r="M404" s="52" t="s">
        <v>396</v>
      </c>
      <c r="N404" s="52" t="s">
        <v>404</v>
      </c>
      <c r="O404" s="52" t="str">
        <f t="shared" si="12"/>
        <v>Villa Alegre</v>
      </c>
      <c r="P404" s="52" t="str">
        <f t="shared" si="13"/>
        <v>Local</v>
      </c>
      <c r="Q404" s="52">
        <v>3</v>
      </c>
      <c r="R404" s="52">
        <v>0</v>
      </c>
      <c r="S404" s="55" t="s">
        <v>397</v>
      </c>
      <c r="T404" s="53">
        <v>46230</v>
      </c>
    </row>
    <row r="405" spans="1:20" ht="12" customHeight="1">
      <c r="A405" s="51" t="s">
        <v>149</v>
      </c>
      <c r="B405" s="52">
        <v>3</v>
      </c>
      <c r="C405" s="53">
        <v>46187</v>
      </c>
      <c r="D405" s="54" t="s">
        <v>414</v>
      </c>
      <c r="E405" s="55" t="s">
        <v>205</v>
      </c>
      <c r="F405" s="55" t="s">
        <v>173</v>
      </c>
      <c r="G405" s="55" t="s">
        <v>175</v>
      </c>
      <c r="H405" s="56">
        <v>1</v>
      </c>
      <c r="I405" s="56">
        <v>4</v>
      </c>
      <c r="J405" s="56">
        <v>2026</v>
      </c>
      <c r="K405" s="52" t="s">
        <v>99</v>
      </c>
      <c r="L405" s="52" t="s">
        <v>137</v>
      </c>
      <c r="M405" s="52" t="s">
        <v>400</v>
      </c>
      <c r="N405" s="52" t="s">
        <v>405</v>
      </c>
      <c r="O405" s="52" t="str">
        <f t="shared" si="12"/>
        <v>Colo Colo</v>
      </c>
      <c r="P405" s="52" t="str">
        <f t="shared" si="13"/>
        <v>Visita</v>
      </c>
      <c r="Q405" s="52">
        <v>0</v>
      </c>
      <c r="R405" s="52">
        <v>3</v>
      </c>
      <c r="S405" s="55" t="s">
        <v>397</v>
      </c>
      <c r="T405" s="53">
        <v>46230</v>
      </c>
    </row>
    <row r="406" spans="1:20" ht="12" customHeight="1">
      <c r="A406" s="51" t="s">
        <v>149</v>
      </c>
      <c r="B406" s="52">
        <v>3</v>
      </c>
      <c r="C406" s="53">
        <v>46187</v>
      </c>
      <c r="D406" s="54" t="s">
        <v>414</v>
      </c>
      <c r="E406" s="55" t="s">
        <v>210</v>
      </c>
      <c r="F406" s="55" t="s">
        <v>176</v>
      </c>
      <c r="G406" s="55" t="s">
        <v>172</v>
      </c>
      <c r="H406" s="56">
        <v>2</v>
      </c>
      <c r="I406" s="56">
        <v>1</v>
      </c>
      <c r="J406" s="56">
        <v>2026</v>
      </c>
      <c r="K406" s="52" t="s">
        <v>99</v>
      </c>
      <c r="L406" s="52" t="s">
        <v>137</v>
      </c>
      <c r="M406" s="52" t="s">
        <v>403</v>
      </c>
      <c r="N406" s="52" t="s">
        <v>406</v>
      </c>
      <c r="O406" s="52" t="str">
        <f t="shared" si="12"/>
        <v>Maestranza</v>
      </c>
      <c r="P406" s="52" t="str">
        <f t="shared" si="13"/>
        <v>Local</v>
      </c>
      <c r="Q406" s="52">
        <v>3</v>
      </c>
      <c r="R406" s="52">
        <v>0</v>
      </c>
      <c r="S406" s="55" t="s">
        <v>397</v>
      </c>
      <c r="T406" s="53">
        <v>46230</v>
      </c>
    </row>
    <row r="407" spans="1:20" ht="12" customHeight="1">
      <c r="A407" s="51" t="s">
        <v>149</v>
      </c>
      <c r="B407" s="52">
        <v>3</v>
      </c>
      <c r="C407" s="53">
        <v>46187</v>
      </c>
      <c r="D407" s="54" t="s">
        <v>414</v>
      </c>
      <c r="E407" s="55" t="s">
        <v>171</v>
      </c>
      <c r="F407" s="55" t="s">
        <v>170</v>
      </c>
      <c r="G407" s="55" t="s">
        <v>169</v>
      </c>
      <c r="H407" s="56">
        <v>1</v>
      </c>
      <c r="I407" s="56">
        <v>2</v>
      </c>
      <c r="J407" s="56">
        <v>2026</v>
      </c>
      <c r="K407" s="52" t="s">
        <v>99</v>
      </c>
      <c r="L407" s="52" t="s">
        <v>137</v>
      </c>
      <c r="M407" s="52" t="s">
        <v>404</v>
      </c>
      <c r="N407" s="52" t="s">
        <v>394</v>
      </c>
      <c r="O407" s="52" t="str">
        <f t="shared" si="12"/>
        <v>U.J. Lautaro</v>
      </c>
      <c r="P407" s="52" t="str">
        <f t="shared" si="13"/>
        <v>Visita</v>
      </c>
      <c r="Q407" s="52">
        <v>0</v>
      </c>
      <c r="R407" s="52">
        <v>3</v>
      </c>
      <c r="S407" s="55" t="s">
        <v>397</v>
      </c>
      <c r="T407" s="53">
        <v>46230</v>
      </c>
    </row>
    <row r="408" spans="1:20" ht="12" customHeight="1">
      <c r="A408" s="51" t="s">
        <v>149</v>
      </c>
      <c r="B408" s="52">
        <v>4</v>
      </c>
      <c r="C408" s="53">
        <v>46194</v>
      </c>
      <c r="D408" s="54" t="s">
        <v>414</v>
      </c>
      <c r="E408" s="55" t="s">
        <v>205</v>
      </c>
      <c r="F408" s="55" t="s">
        <v>173</v>
      </c>
      <c r="G408" s="55" t="s">
        <v>166</v>
      </c>
      <c r="H408" s="56">
        <v>0</v>
      </c>
      <c r="I408" s="56">
        <v>0</v>
      </c>
      <c r="J408" s="56">
        <v>2026</v>
      </c>
      <c r="K408" s="52" t="s">
        <v>99</v>
      </c>
      <c r="L408" s="52" t="s">
        <v>137</v>
      </c>
      <c r="M408" s="52" t="s">
        <v>400</v>
      </c>
      <c r="N408" s="52" t="s">
        <v>405</v>
      </c>
      <c r="O408" s="52" t="str">
        <f t="shared" si="12"/>
        <v>Empate</v>
      </c>
      <c r="P408" s="52" t="str">
        <f t="shared" si="13"/>
        <v>Empate</v>
      </c>
      <c r="Q408" s="52">
        <v>1</v>
      </c>
      <c r="R408" s="52">
        <v>1</v>
      </c>
      <c r="S408" s="55" t="s">
        <v>397</v>
      </c>
      <c r="T408" s="53">
        <v>46230</v>
      </c>
    </row>
    <row r="409" spans="1:20" ht="12" customHeight="1">
      <c r="A409" s="51" t="s">
        <v>149</v>
      </c>
      <c r="B409" s="52">
        <v>4</v>
      </c>
      <c r="C409" s="53">
        <v>46194</v>
      </c>
      <c r="D409" s="54" t="s">
        <v>414</v>
      </c>
      <c r="E409" s="55" t="s">
        <v>210</v>
      </c>
      <c r="F409" s="55" t="s">
        <v>174</v>
      </c>
      <c r="G409" s="55" t="s">
        <v>172</v>
      </c>
      <c r="H409" s="56">
        <v>0</v>
      </c>
      <c r="I409" s="56">
        <v>1</v>
      </c>
      <c r="J409" s="56">
        <v>2026</v>
      </c>
      <c r="K409" s="52" t="s">
        <v>99</v>
      </c>
      <c r="L409" s="52" t="s">
        <v>137</v>
      </c>
      <c r="M409" s="52" t="s">
        <v>403</v>
      </c>
      <c r="N409" s="52" t="s">
        <v>406</v>
      </c>
      <c r="O409" s="52" t="str">
        <f t="shared" si="12"/>
        <v>Grinvasul</v>
      </c>
      <c r="P409" s="52" t="str">
        <f t="shared" si="13"/>
        <v>Visita</v>
      </c>
      <c r="Q409" s="52">
        <v>0</v>
      </c>
      <c r="R409" s="52">
        <v>3</v>
      </c>
      <c r="S409" s="55" t="s">
        <v>397</v>
      </c>
      <c r="T409" s="53">
        <v>46230</v>
      </c>
    </row>
    <row r="410" spans="1:20" ht="12" customHeight="1">
      <c r="A410" s="51" t="s">
        <v>149</v>
      </c>
      <c r="B410" s="52">
        <v>4</v>
      </c>
      <c r="C410" s="53">
        <v>46194</v>
      </c>
      <c r="D410" s="54" t="s">
        <v>414</v>
      </c>
      <c r="E410" s="55" t="s">
        <v>171</v>
      </c>
      <c r="F410" s="55" t="s">
        <v>170</v>
      </c>
      <c r="G410" s="55" t="s">
        <v>175</v>
      </c>
      <c r="H410" s="56">
        <v>2</v>
      </c>
      <c r="I410" s="56">
        <v>2</v>
      </c>
      <c r="J410" s="56">
        <v>2026</v>
      </c>
      <c r="K410" s="52" t="s">
        <v>99</v>
      </c>
      <c r="L410" s="52" t="s">
        <v>137</v>
      </c>
      <c r="M410" s="52" t="s">
        <v>404</v>
      </c>
      <c r="N410" s="52" t="s">
        <v>394</v>
      </c>
      <c r="O410" s="52" t="str">
        <f t="shared" si="12"/>
        <v>Empate</v>
      </c>
      <c r="P410" s="52" t="str">
        <f t="shared" si="13"/>
        <v>Empate</v>
      </c>
      <c r="Q410" s="52">
        <v>1</v>
      </c>
      <c r="R410" s="52">
        <v>1</v>
      </c>
      <c r="S410" s="55" t="s">
        <v>397</v>
      </c>
      <c r="T410" s="53">
        <v>46230</v>
      </c>
    </row>
    <row r="411" spans="1:20" ht="12" customHeight="1">
      <c r="A411" s="51" t="s">
        <v>149</v>
      </c>
      <c r="B411" s="52">
        <v>4</v>
      </c>
      <c r="C411" s="53">
        <v>46194</v>
      </c>
      <c r="D411" s="54" t="s">
        <v>414</v>
      </c>
      <c r="E411" s="55" t="s">
        <v>210</v>
      </c>
      <c r="F411" s="55" t="s">
        <v>176</v>
      </c>
      <c r="G411" s="55" t="s">
        <v>169</v>
      </c>
      <c r="H411" s="56">
        <v>3</v>
      </c>
      <c r="I411" s="56">
        <v>1</v>
      </c>
      <c r="J411" s="56">
        <v>2026</v>
      </c>
      <c r="K411" s="52" t="s">
        <v>99</v>
      </c>
      <c r="L411" s="52" t="s">
        <v>137</v>
      </c>
      <c r="M411" s="52" t="s">
        <v>405</v>
      </c>
      <c r="N411" s="52" t="s">
        <v>398</v>
      </c>
      <c r="O411" s="52" t="str">
        <f t="shared" si="12"/>
        <v>Maestranza</v>
      </c>
      <c r="P411" s="52" t="str">
        <f t="shared" si="13"/>
        <v>Local</v>
      </c>
      <c r="Q411" s="52">
        <v>3</v>
      </c>
      <c r="R411" s="52">
        <v>0</v>
      </c>
      <c r="S411" s="55" t="s">
        <v>397</v>
      </c>
      <c r="T411" s="53">
        <v>46230</v>
      </c>
    </row>
    <row r="412" spans="1:20" ht="12" customHeight="1">
      <c r="A412" s="51" t="s">
        <v>149</v>
      </c>
      <c r="B412" s="52">
        <v>5</v>
      </c>
      <c r="C412" s="53">
        <v>46201</v>
      </c>
      <c r="D412" s="54" t="s">
        <v>414</v>
      </c>
      <c r="E412" s="55" t="s">
        <v>205</v>
      </c>
      <c r="F412" s="55" t="s">
        <v>166</v>
      </c>
      <c r="G412" s="55" t="s">
        <v>172</v>
      </c>
      <c r="H412" s="56">
        <v>4</v>
      </c>
      <c r="I412" s="56">
        <v>0</v>
      </c>
      <c r="J412" s="56">
        <v>2026</v>
      </c>
      <c r="K412" s="52" t="s">
        <v>99</v>
      </c>
      <c r="L412" s="52" t="s">
        <v>137</v>
      </c>
      <c r="M412" s="52" t="s">
        <v>403</v>
      </c>
      <c r="N412" s="52" t="s">
        <v>406</v>
      </c>
      <c r="O412" s="52" t="str">
        <f t="shared" si="12"/>
        <v>Villa Alegre</v>
      </c>
      <c r="P412" s="52" t="str">
        <f t="shared" si="13"/>
        <v>Local</v>
      </c>
      <c r="Q412" s="52">
        <v>3</v>
      </c>
      <c r="R412" s="52">
        <v>0</v>
      </c>
      <c r="S412" s="55" t="s">
        <v>397</v>
      </c>
      <c r="T412" s="53">
        <v>46230</v>
      </c>
    </row>
    <row r="413" spans="1:20" ht="12" customHeight="1">
      <c r="A413" s="51" t="s">
        <v>149</v>
      </c>
      <c r="B413" s="52">
        <v>5</v>
      </c>
      <c r="C413" s="53">
        <v>46201</v>
      </c>
      <c r="D413" s="54" t="s">
        <v>414</v>
      </c>
      <c r="E413" s="55" t="s">
        <v>171</v>
      </c>
      <c r="F413" s="55" t="s">
        <v>170</v>
      </c>
      <c r="G413" s="55" t="s">
        <v>173</v>
      </c>
      <c r="H413" s="56">
        <v>1</v>
      </c>
      <c r="I413" s="56">
        <v>2</v>
      </c>
      <c r="J413" s="56">
        <v>2026</v>
      </c>
      <c r="K413" s="52" t="s">
        <v>99</v>
      </c>
      <c r="L413" s="52" t="s">
        <v>137</v>
      </c>
      <c r="M413" s="52" t="s">
        <v>404</v>
      </c>
      <c r="N413" s="52" t="s">
        <v>394</v>
      </c>
      <c r="O413" s="52" t="str">
        <f t="shared" si="12"/>
        <v>Jota Montt</v>
      </c>
      <c r="P413" s="52" t="str">
        <f t="shared" si="13"/>
        <v>Visita</v>
      </c>
      <c r="Q413" s="52">
        <v>0</v>
      </c>
      <c r="R413" s="52">
        <v>3</v>
      </c>
      <c r="S413" s="55" t="s">
        <v>397</v>
      </c>
      <c r="T413" s="53">
        <v>46230</v>
      </c>
    </row>
    <row r="414" spans="1:20" ht="12" customHeight="1">
      <c r="A414" s="51" t="s">
        <v>149</v>
      </c>
      <c r="B414" s="52">
        <v>5</v>
      </c>
      <c r="C414" s="53">
        <v>46201</v>
      </c>
      <c r="D414" s="54" t="s">
        <v>414</v>
      </c>
      <c r="E414" s="55" t="s">
        <v>210</v>
      </c>
      <c r="F414" s="55" t="s">
        <v>174</v>
      </c>
      <c r="G414" s="55" t="s">
        <v>169</v>
      </c>
      <c r="H414" s="56">
        <v>2</v>
      </c>
      <c r="I414" s="56">
        <v>0</v>
      </c>
      <c r="J414" s="56">
        <v>2026</v>
      </c>
      <c r="K414" s="52" t="s">
        <v>99</v>
      </c>
      <c r="L414" s="52" t="s">
        <v>137</v>
      </c>
      <c r="M414" s="52" t="s">
        <v>405</v>
      </c>
      <c r="N414" s="52" t="s">
        <v>398</v>
      </c>
      <c r="O414" s="52" t="str">
        <f t="shared" si="12"/>
        <v>Inca</v>
      </c>
      <c r="P414" s="52" t="str">
        <f t="shared" si="13"/>
        <v>Local</v>
      </c>
      <c r="Q414" s="52">
        <v>3</v>
      </c>
      <c r="R414" s="52">
        <v>0</v>
      </c>
      <c r="S414" s="55" t="s">
        <v>397</v>
      </c>
      <c r="T414" s="53">
        <v>46230</v>
      </c>
    </row>
    <row r="415" spans="1:20" ht="12" customHeight="1">
      <c r="A415" s="51" t="s">
        <v>149</v>
      </c>
      <c r="B415" s="52">
        <v>5</v>
      </c>
      <c r="C415" s="53">
        <v>46201</v>
      </c>
      <c r="D415" s="54" t="s">
        <v>414</v>
      </c>
      <c r="E415" s="55" t="s">
        <v>210</v>
      </c>
      <c r="F415" s="55" t="s">
        <v>176</v>
      </c>
      <c r="G415" s="55" t="s">
        <v>175</v>
      </c>
      <c r="H415" s="56">
        <v>1</v>
      </c>
      <c r="I415" s="56">
        <v>3</v>
      </c>
      <c r="J415" s="56">
        <v>2026</v>
      </c>
      <c r="K415" s="52" t="s">
        <v>99</v>
      </c>
      <c r="L415" s="52" t="s">
        <v>137</v>
      </c>
      <c r="M415" s="52" t="s">
        <v>406</v>
      </c>
      <c r="N415" s="52" t="s">
        <v>401</v>
      </c>
      <c r="O415" s="52" t="str">
        <f t="shared" si="12"/>
        <v>Colo Colo</v>
      </c>
      <c r="P415" s="52" t="str">
        <f t="shared" si="13"/>
        <v>Visita</v>
      </c>
      <c r="Q415" s="52">
        <v>0</v>
      </c>
      <c r="R415" s="52">
        <v>3</v>
      </c>
      <c r="S415" s="55" t="s">
        <v>397</v>
      </c>
      <c r="T415" s="53">
        <v>46230</v>
      </c>
    </row>
    <row r="416" spans="1:20" ht="12" customHeight="1">
      <c r="A416" s="51" t="s">
        <v>149</v>
      </c>
      <c r="B416" s="52">
        <v>6</v>
      </c>
      <c r="C416" s="53">
        <v>46208</v>
      </c>
      <c r="D416" s="54" t="s">
        <v>414</v>
      </c>
      <c r="E416" s="55" t="s">
        <v>171</v>
      </c>
      <c r="F416" s="55" t="s">
        <v>170</v>
      </c>
      <c r="G416" s="55" t="s">
        <v>166</v>
      </c>
      <c r="H416" s="56">
        <v>2</v>
      </c>
      <c r="I416" s="56">
        <v>0</v>
      </c>
      <c r="J416" s="56">
        <v>2026</v>
      </c>
      <c r="K416" s="52" t="s">
        <v>99</v>
      </c>
      <c r="L416" s="52" t="s">
        <v>137</v>
      </c>
      <c r="M416" s="52" t="s">
        <v>404</v>
      </c>
      <c r="N416" s="52" t="s">
        <v>394</v>
      </c>
      <c r="O416" s="52" t="str">
        <f t="shared" si="12"/>
        <v>Forestal</v>
      </c>
      <c r="P416" s="52" t="str">
        <f t="shared" si="13"/>
        <v>Local</v>
      </c>
      <c r="Q416" s="52">
        <v>3</v>
      </c>
      <c r="R416" s="52">
        <v>0</v>
      </c>
      <c r="S416" s="55" t="s">
        <v>397</v>
      </c>
      <c r="T416" s="53">
        <v>46230</v>
      </c>
    </row>
    <row r="417" spans="1:20" ht="12" customHeight="1">
      <c r="A417" s="51" t="s">
        <v>149</v>
      </c>
      <c r="B417" s="52">
        <v>6</v>
      </c>
      <c r="C417" s="53">
        <v>46208</v>
      </c>
      <c r="D417" s="54" t="s">
        <v>414</v>
      </c>
      <c r="E417" s="55" t="s">
        <v>210</v>
      </c>
      <c r="F417" s="55" t="s">
        <v>172</v>
      </c>
      <c r="G417" s="55" t="s">
        <v>169</v>
      </c>
      <c r="H417" s="56">
        <v>1</v>
      </c>
      <c r="I417" s="56">
        <v>0</v>
      </c>
      <c r="J417" s="56">
        <v>2026</v>
      </c>
      <c r="K417" s="52" t="s">
        <v>99</v>
      </c>
      <c r="L417" s="52" t="s">
        <v>137</v>
      </c>
      <c r="M417" s="52" t="s">
        <v>405</v>
      </c>
      <c r="N417" s="52" t="s">
        <v>398</v>
      </c>
      <c r="O417" s="52" t="str">
        <f t="shared" si="12"/>
        <v>Grinvasul</v>
      </c>
      <c r="P417" s="52" t="str">
        <f t="shared" si="13"/>
        <v>Local</v>
      </c>
      <c r="Q417" s="52">
        <v>3</v>
      </c>
      <c r="R417" s="52">
        <v>0</v>
      </c>
      <c r="S417" s="55" t="s">
        <v>397</v>
      </c>
      <c r="T417" s="53">
        <v>46230</v>
      </c>
    </row>
    <row r="418" spans="1:20" ht="12" customHeight="1">
      <c r="A418" s="51" t="s">
        <v>149</v>
      </c>
      <c r="B418" s="52">
        <v>6</v>
      </c>
      <c r="C418" s="53">
        <v>46208</v>
      </c>
      <c r="D418" s="54" t="s">
        <v>414</v>
      </c>
      <c r="E418" s="55" t="s">
        <v>210</v>
      </c>
      <c r="F418" s="55" t="s">
        <v>176</v>
      </c>
      <c r="G418" s="55" t="s">
        <v>173</v>
      </c>
      <c r="H418" s="56">
        <v>2</v>
      </c>
      <c r="I418" s="56">
        <v>0</v>
      </c>
      <c r="J418" s="56">
        <v>2026</v>
      </c>
      <c r="K418" s="52" t="s">
        <v>99</v>
      </c>
      <c r="L418" s="52" t="s">
        <v>137</v>
      </c>
      <c r="M418" s="52" t="s">
        <v>406</v>
      </c>
      <c r="N418" s="52" t="s">
        <v>401</v>
      </c>
      <c r="O418" s="52" t="str">
        <f t="shared" si="12"/>
        <v>Maestranza</v>
      </c>
      <c r="P418" s="52" t="str">
        <f t="shared" si="13"/>
        <v>Local</v>
      </c>
      <c r="Q418" s="52">
        <v>3</v>
      </c>
      <c r="R418" s="52">
        <v>0</v>
      </c>
      <c r="S418" s="55" t="s">
        <v>397</v>
      </c>
      <c r="T418" s="53">
        <v>46230</v>
      </c>
    </row>
    <row r="419" spans="1:20" ht="12" customHeight="1">
      <c r="A419" s="51" t="s">
        <v>149</v>
      </c>
      <c r="B419" s="52">
        <v>6</v>
      </c>
      <c r="C419" s="53">
        <v>46208</v>
      </c>
      <c r="D419" s="54" t="s">
        <v>414</v>
      </c>
      <c r="E419" s="55" t="s">
        <v>210</v>
      </c>
      <c r="F419" s="55" t="s">
        <v>174</v>
      </c>
      <c r="G419" s="55" t="s">
        <v>175</v>
      </c>
      <c r="H419" s="56">
        <v>1</v>
      </c>
      <c r="I419" s="56">
        <v>3</v>
      </c>
      <c r="J419" s="56">
        <v>2026</v>
      </c>
      <c r="K419" s="52" t="s">
        <v>99</v>
      </c>
      <c r="L419" s="52" t="s">
        <v>137</v>
      </c>
      <c r="M419" s="52" t="s">
        <v>394</v>
      </c>
      <c r="N419" s="52" t="s">
        <v>395</v>
      </c>
      <c r="O419" s="52" t="str">
        <f t="shared" si="12"/>
        <v>Colo Colo</v>
      </c>
      <c r="P419" s="52" t="str">
        <f t="shared" si="13"/>
        <v>Visita</v>
      </c>
      <c r="Q419" s="52">
        <v>0</v>
      </c>
      <c r="R419" s="52">
        <v>3</v>
      </c>
      <c r="S419" s="55" t="s">
        <v>397</v>
      </c>
      <c r="T419" s="53">
        <v>46230</v>
      </c>
    </row>
    <row r="420" spans="1:20" ht="12" customHeight="1">
      <c r="A420" s="51" t="s">
        <v>149</v>
      </c>
      <c r="B420" s="52">
        <v>7</v>
      </c>
      <c r="C420" s="53">
        <v>46215</v>
      </c>
      <c r="D420" s="54" t="s">
        <v>414</v>
      </c>
      <c r="E420" s="55" t="s">
        <v>205</v>
      </c>
      <c r="F420" s="55" t="s">
        <v>166</v>
      </c>
      <c r="G420" s="55" t="s">
        <v>169</v>
      </c>
      <c r="H420" s="56">
        <v>4</v>
      </c>
      <c r="I420" s="56">
        <v>0</v>
      </c>
      <c r="J420" s="56">
        <v>2026</v>
      </c>
      <c r="K420" s="52" t="s">
        <v>99</v>
      </c>
      <c r="L420" s="52" t="s">
        <v>137</v>
      </c>
      <c r="M420" s="52" t="s">
        <v>405</v>
      </c>
      <c r="N420" s="52" t="s">
        <v>398</v>
      </c>
      <c r="O420" s="52" t="str">
        <f t="shared" si="12"/>
        <v>Villa Alegre</v>
      </c>
      <c r="P420" s="52" t="str">
        <f t="shared" si="13"/>
        <v>Local</v>
      </c>
      <c r="Q420" s="52">
        <v>3</v>
      </c>
      <c r="R420" s="52">
        <v>0</v>
      </c>
      <c r="S420" s="55" t="s">
        <v>397</v>
      </c>
      <c r="T420" s="53">
        <v>46230</v>
      </c>
    </row>
    <row r="421" spans="1:20" ht="12" customHeight="1">
      <c r="A421" s="51" t="s">
        <v>149</v>
      </c>
      <c r="B421" s="52">
        <v>7</v>
      </c>
      <c r="C421" s="53">
        <v>46215</v>
      </c>
      <c r="D421" s="54" t="s">
        <v>414</v>
      </c>
      <c r="E421" s="55" t="s">
        <v>210</v>
      </c>
      <c r="F421" s="55" t="s">
        <v>176</v>
      </c>
      <c r="G421" s="55" t="s">
        <v>170</v>
      </c>
      <c r="H421" s="56">
        <v>0</v>
      </c>
      <c r="I421" s="56">
        <v>0</v>
      </c>
      <c r="J421" s="56">
        <v>2026</v>
      </c>
      <c r="K421" s="52" t="s">
        <v>99</v>
      </c>
      <c r="L421" s="52" t="s">
        <v>137</v>
      </c>
      <c r="M421" s="52" t="s">
        <v>406</v>
      </c>
      <c r="N421" s="52" t="s">
        <v>401</v>
      </c>
      <c r="O421" s="52" t="str">
        <f t="shared" si="12"/>
        <v>Empate</v>
      </c>
      <c r="P421" s="52" t="str">
        <f t="shared" si="13"/>
        <v>Empate</v>
      </c>
      <c r="Q421" s="52">
        <v>1</v>
      </c>
      <c r="R421" s="52">
        <v>1</v>
      </c>
      <c r="S421" s="55" t="s">
        <v>397</v>
      </c>
      <c r="T421" s="53">
        <v>46230</v>
      </c>
    </row>
    <row r="422" spans="1:20" ht="12" customHeight="1">
      <c r="A422" s="51" t="s">
        <v>149</v>
      </c>
      <c r="B422" s="52">
        <v>7</v>
      </c>
      <c r="C422" s="53">
        <v>46215</v>
      </c>
      <c r="D422" s="54" t="s">
        <v>414</v>
      </c>
      <c r="E422" s="55" t="s">
        <v>210</v>
      </c>
      <c r="F422" s="55" t="s">
        <v>172</v>
      </c>
      <c r="G422" s="55" t="s">
        <v>175</v>
      </c>
      <c r="H422" s="56">
        <v>1</v>
      </c>
      <c r="I422" s="56">
        <v>1</v>
      </c>
      <c r="J422" s="56">
        <v>2026</v>
      </c>
      <c r="K422" s="52" t="s">
        <v>99</v>
      </c>
      <c r="L422" s="52" t="s">
        <v>137</v>
      </c>
      <c r="M422" s="52" t="s">
        <v>394</v>
      </c>
      <c r="N422" s="52" t="s">
        <v>395</v>
      </c>
      <c r="O422" s="52" t="str">
        <f t="shared" si="12"/>
        <v>Empate</v>
      </c>
      <c r="P422" s="52" t="str">
        <f t="shared" si="13"/>
        <v>Empate</v>
      </c>
      <c r="Q422" s="52">
        <v>1</v>
      </c>
      <c r="R422" s="52">
        <v>1</v>
      </c>
      <c r="S422" s="55" t="s">
        <v>397</v>
      </c>
      <c r="T422" s="53">
        <v>46230</v>
      </c>
    </row>
    <row r="423" spans="1:20" ht="12" customHeight="1">
      <c r="A423" s="51" t="s">
        <v>149</v>
      </c>
      <c r="B423" s="52">
        <v>7</v>
      </c>
      <c r="C423" s="53">
        <v>46215</v>
      </c>
      <c r="D423" s="54" t="s">
        <v>414</v>
      </c>
      <c r="E423" s="55" t="s">
        <v>210</v>
      </c>
      <c r="F423" s="55" t="s">
        <v>174</v>
      </c>
      <c r="G423" s="55" t="s">
        <v>173</v>
      </c>
      <c r="H423" s="56">
        <v>1</v>
      </c>
      <c r="I423" s="56">
        <v>1</v>
      </c>
      <c r="J423" s="56">
        <v>2026</v>
      </c>
      <c r="K423" s="52" t="s">
        <v>99</v>
      </c>
      <c r="L423" s="52" t="s">
        <v>137</v>
      </c>
      <c r="M423" s="52" t="s">
        <v>398</v>
      </c>
      <c r="N423" s="52" t="s">
        <v>399</v>
      </c>
      <c r="O423" s="52" t="str">
        <f t="shared" si="12"/>
        <v>Empate</v>
      </c>
      <c r="P423" s="52" t="str">
        <f t="shared" si="13"/>
        <v>Empate</v>
      </c>
      <c r="Q423" s="52">
        <v>1</v>
      </c>
      <c r="R423" s="52">
        <v>1</v>
      </c>
      <c r="S423" s="55" t="s">
        <v>397</v>
      </c>
      <c r="T423" s="53">
        <v>46230</v>
      </c>
    </row>
    <row r="424" spans="1:20" ht="12" customHeight="1">
      <c r="A424" s="51" t="s">
        <v>149</v>
      </c>
      <c r="B424" s="52">
        <v>8</v>
      </c>
      <c r="C424" s="53">
        <v>46222</v>
      </c>
      <c r="D424" s="54" t="s">
        <v>414</v>
      </c>
      <c r="E424" s="55" t="s">
        <v>210</v>
      </c>
      <c r="F424" s="55" t="s">
        <v>176</v>
      </c>
      <c r="G424" s="55" t="s">
        <v>166</v>
      </c>
      <c r="H424" s="56">
        <v>6</v>
      </c>
      <c r="I424" s="56">
        <v>1</v>
      </c>
      <c r="J424" s="56">
        <v>2026</v>
      </c>
      <c r="K424" s="52" t="s">
        <v>99</v>
      </c>
      <c r="L424" s="52" t="s">
        <v>137</v>
      </c>
      <c r="M424" s="52" t="s">
        <v>406</v>
      </c>
      <c r="N424" s="52" t="s">
        <v>401</v>
      </c>
      <c r="O424" s="52" t="str">
        <f t="shared" si="12"/>
        <v>Maestranza</v>
      </c>
      <c r="P424" s="52" t="str">
        <f t="shared" si="13"/>
        <v>Local</v>
      </c>
      <c r="Q424" s="52">
        <v>3</v>
      </c>
      <c r="R424" s="52">
        <v>0</v>
      </c>
      <c r="S424" s="55" t="s">
        <v>397</v>
      </c>
      <c r="T424" s="53">
        <v>46230</v>
      </c>
    </row>
    <row r="425" spans="1:20" ht="12" customHeight="1">
      <c r="A425" s="51" t="s">
        <v>149</v>
      </c>
      <c r="B425" s="52">
        <v>8</v>
      </c>
      <c r="C425" s="53">
        <v>46222</v>
      </c>
      <c r="D425" s="54" t="s">
        <v>414</v>
      </c>
      <c r="E425" s="55" t="s">
        <v>207</v>
      </c>
      <c r="F425" s="55" t="s">
        <v>169</v>
      </c>
      <c r="G425" s="55" t="s">
        <v>175</v>
      </c>
      <c r="H425" s="56">
        <v>1</v>
      </c>
      <c r="I425" s="56">
        <v>3</v>
      </c>
      <c r="J425" s="56">
        <v>2026</v>
      </c>
      <c r="K425" s="52" t="s">
        <v>99</v>
      </c>
      <c r="L425" s="52" t="s">
        <v>137</v>
      </c>
      <c r="M425" s="52" t="s">
        <v>394</v>
      </c>
      <c r="N425" s="52" t="s">
        <v>395</v>
      </c>
      <c r="O425" s="52" t="str">
        <f t="shared" si="12"/>
        <v>Colo Colo</v>
      </c>
      <c r="P425" s="52" t="str">
        <f t="shared" si="13"/>
        <v>Visita</v>
      </c>
      <c r="Q425" s="52">
        <v>0</v>
      </c>
      <c r="R425" s="52">
        <v>3</v>
      </c>
      <c r="S425" s="55" t="s">
        <v>397</v>
      </c>
      <c r="T425" s="53">
        <v>46230</v>
      </c>
    </row>
    <row r="426" spans="1:20" ht="12" customHeight="1">
      <c r="A426" s="51" t="s">
        <v>149</v>
      </c>
      <c r="B426" s="52">
        <v>8</v>
      </c>
      <c r="C426" s="53">
        <v>46222</v>
      </c>
      <c r="D426" s="54" t="s">
        <v>414</v>
      </c>
      <c r="E426" s="55" t="s">
        <v>210</v>
      </c>
      <c r="F426" s="55" t="s">
        <v>174</v>
      </c>
      <c r="G426" s="55" t="s">
        <v>170</v>
      </c>
      <c r="H426" s="56">
        <v>0</v>
      </c>
      <c r="I426" s="56">
        <v>2</v>
      </c>
      <c r="J426" s="56">
        <v>2026</v>
      </c>
      <c r="K426" s="52" t="s">
        <v>99</v>
      </c>
      <c r="L426" s="52" t="s">
        <v>137</v>
      </c>
      <c r="M426" s="52" t="s">
        <v>398</v>
      </c>
      <c r="N426" s="52" t="s">
        <v>399</v>
      </c>
      <c r="O426" s="52" t="str">
        <f t="shared" si="12"/>
        <v>Forestal</v>
      </c>
      <c r="P426" s="52" t="str">
        <f t="shared" si="13"/>
        <v>Visita</v>
      </c>
      <c r="Q426" s="52">
        <v>0</v>
      </c>
      <c r="R426" s="52">
        <v>3</v>
      </c>
      <c r="S426" s="55" t="s">
        <v>397</v>
      </c>
      <c r="T426" s="53">
        <v>46230</v>
      </c>
    </row>
    <row r="427" spans="1:20" ht="12" customHeight="1">
      <c r="A427" s="51" t="s">
        <v>149</v>
      </c>
      <c r="B427" s="52">
        <v>8</v>
      </c>
      <c r="C427" s="53">
        <v>46222</v>
      </c>
      <c r="D427" s="54" t="s">
        <v>414</v>
      </c>
      <c r="E427" s="55" t="s">
        <v>210</v>
      </c>
      <c r="F427" s="55" t="s">
        <v>172</v>
      </c>
      <c r="G427" s="55" t="s">
        <v>173</v>
      </c>
      <c r="H427" s="56">
        <v>1</v>
      </c>
      <c r="I427" s="56">
        <v>1</v>
      </c>
      <c r="J427" s="56">
        <v>2026</v>
      </c>
      <c r="K427" s="52" t="s">
        <v>99</v>
      </c>
      <c r="L427" s="52" t="s">
        <v>137</v>
      </c>
      <c r="M427" s="52" t="s">
        <v>401</v>
      </c>
      <c r="N427" s="52" t="s">
        <v>402</v>
      </c>
      <c r="O427" s="52" t="str">
        <f t="shared" si="12"/>
        <v>Empate</v>
      </c>
      <c r="P427" s="52" t="str">
        <f t="shared" si="13"/>
        <v>Empate</v>
      </c>
      <c r="Q427" s="52">
        <v>1</v>
      </c>
      <c r="R427" s="52">
        <v>1</v>
      </c>
      <c r="S427" s="55" t="s">
        <v>397</v>
      </c>
      <c r="T427" s="53">
        <v>46230</v>
      </c>
    </row>
    <row r="428" spans="1:20" ht="12" customHeight="1">
      <c r="A428" s="51" t="s">
        <v>149</v>
      </c>
      <c r="B428" s="52">
        <v>9</v>
      </c>
      <c r="C428" s="53">
        <v>46229</v>
      </c>
      <c r="D428" s="54" t="s">
        <v>414</v>
      </c>
      <c r="E428" s="55" t="s">
        <v>205</v>
      </c>
      <c r="F428" s="55" t="s">
        <v>166</v>
      </c>
      <c r="G428" s="55" t="s">
        <v>175</v>
      </c>
      <c r="H428" s="56">
        <v>1</v>
      </c>
      <c r="I428" s="56">
        <v>1</v>
      </c>
      <c r="J428" s="56">
        <v>2026</v>
      </c>
      <c r="K428" s="52" t="s">
        <v>99</v>
      </c>
      <c r="L428" s="52" t="s">
        <v>137</v>
      </c>
      <c r="M428" s="52" t="s">
        <v>394</v>
      </c>
      <c r="N428" s="52" t="s">
        <v>395</v>
      </c>
      <c r="O428" s="52" t="str">
        <f t="shared" si="12"/>
        <v>Empate</v>
      </c>
      <c r="P428" s="52" t="str">
        <f t="shared" si="13"/>
        <v>Empate</v>
      </c>
      <c r="Q428" s="52">
        <v>1</v>
      </c>
      <c r="R428" s="52">
        <v>1</v>
      </c>
      <c r="S428" s="55" t="s">
        <v>397</v>
      </c>
      <c r="T428" s="53">
        <v>46230</v>
      </c>
    </row>
    <row r="429" spans="1:20" ht="12" customHeight="1">
      <c r="A429" s="51" t="s">
        <v>149</v>
      </c>
      <c r="B429" s="52">
        <v>9</v>
      </c>
      <c r="C429" s="53">
        <v>46229</v>
      </c>
      <c r="D429" s="54" t="s">
        <v>414</v>
      </c>
      <c r="E429" s="55" t="s">
        <v>210</v>
      </c>
      <c r="F429" s="55" t="s">
        <v>174</v>
      </c>
      <c r="G429" s="55" t="s">
        <v>176</v>
      </c>
      <c r="H429" s="56">
        <v>0</v>
      </c>
      <c r="I429" s="56">
        <v>1</v>
      </c>
      <c r="J429" s="56">
        <v>2026</v>
      </c>
      <c r="K429" s="52" t="s">
        <v>99</v>
      </c>
      <c r="L429" s="52" t="s">
        <v>137</v>
      </c>
      <c r="M429" s="52" t="s">
        <v>398</v>
      </c>
      <c r="N429" s="52" t="s">
        <v>399</v>
      </c>
      <c r="O429" s="52" t="str">
        <f t="shared" si="12"/>
        <v>Maestranza</v>
      </c>
      <c r="P429" s="52" t="str">
        <f t="shared" si="13"/>
        <v>Visita</v>
      </c>
      <c r="Q429" s="52">
        <v>0</v>
      </c>
      <c r="R429" s="52">
        <v>3</v>
      </c>
      <c r="S429" s="55" t="s">
        <v>397</v>
      </c>
      <c r="T429" s="53">
        <v>46230</v>
      </c>
    </row>
    <row r="430" spans="1:20" ht="12" customHeight="1">
      <c r="A430" s="51" t="s">
        <v>149</v>
      </c>
      <c r="B430" s="52">
        <v>9</v>
      </c>
      <c r="C430" s="53">
        <v>46229</v>
      </c>
      <c r="D430" s="54" t="s">
        <v>414</v>
      </c>
      <c r="E430" s="55" t="s">
        <v>207</v>
      </c>
      <c r="F430" s="55" t="s">
        <v>169</v>
      </c>
      <c r="G430" s="55" t="s">
        <v>173</v>
      </c>
      <c r="H430" s="56">
        <v>1</v>
      </c>
      <c r="I430" s="56">
        <v>0</v>
      </c>
      <c r="J430" s="56">
        <v>2026</v>
      </c>
      <c r="K430" s="52" t="s">
        <v>99</v>
      </c>
      <c r="L430" s="52" t="s">
        <v>137</v>
      </c>
      <c r="M430" s="52" t="s">
        <v>401</v>
      </c>
      <c r="N430" s="52" t="s">
        <v>402</v>
      </c>
      <c r="O430" s="52" t="str">
        <f t="shared" si="12"/>
        <v>U.J. Lautaro</v>
      </c>
      <c r="P430" s="52" t="str">
        <f t="shared" si="13"/>
        <v>Local</v>
      </c>
      <c r="Q430" s="52">
        <v>3</v>
      </c>
      <c r="R430" s="52">
        <v>0</v>
      </c>
      <c r="S430" s="55" t="s">
        <v>397</v>
      </c>
      <c r="T430" s="53">
        <v>46230</v>
      </c>
    </row>
    <row r="431" spans="1:20" ht="12" customHeight="1">
      <c r="A431" s="51" t="s">
        <v>149</v>
      </c>
      <c r="B431" s="52">
        <v>9</v>
      </c>
      <c r="C431" s="53">
        <v>46229</v>
      </c>
      <c r="D431" s="54" t="s">
        <v>414</v>
      </c>
      <c r="E431" s="55" t="s">
        <v>210</v>
      </c>
      <c r="F431" s="55" t="s">
        <v>172</v>
      </c>
      <c r="G431" s="55" t="s">
        <v>170</v>
      </c>
      <c r="H431" s="56">
        <v>0</v>
      </c>
      <c r="I431" s="56">
        <v>1</v>
      </c>
      <c r="J431" s="56">
        <v>2026</v>
      </c>
      <c r="K431" s="52" t="s">
        <v>99</v>
      </c>
      <c r="L431" s="52" t="s">
        <v>137</v>
      </c>
      <c r="M431" s="52" t="s">
        <v>395</v>
      </c>
      <c r="N431" s="52" t="s">
        <v>396</v>
      </c>
      <c r="O431" s="52" t="str">
        <f t="shared" si="12"/>
        <v>Forestal</v>
      </c>
      <c r="P431" s="52" t="str">
        <f t="shared" si="13"/>
        <v>Visita</v>
      </c>
      <c r="Q431" s="52">
        <v>0</v>
      </c>
      <c r="R431" s="52">
        <v>3</v>
      </c>
      <c r="S431" s="55" t="s">
        <v>397</v>
      </c>
      <c r="T431" s="53">
        <v>46230</v>
      </c>
    </row>
    <row r="432" spans="1:20" ht="12" customHeight="1">
      <c r="A432" s="51" t="s">
        <v>149</v>
      </c>
      <c r="B432" s="52">
        <v>10</v>
      </c>
      <c r="C432" s="53">
        <v>46236</v>
      </c>
      <c r="D432" s="54" t="s">
        <v>414</v>
      </c>
      <c r="E432" s="55" t="s">
        <v>210</v>
      </c>
      <c r="F432" s="55" t="s">
        <v>174</v>
      </c>
      <c r="G432" s="55" t="s">
        <v>166</v>
      </c>
      <c r="H432" s="56"/>
      <c r="I432" s="56"/>
      <c r="J432" s="56">
        <v>2026</v>
      </c>
      <c r="K432" s="52" t="s">
        <v>99</v>
      </c>
      <c r="L432" s="52" t="s">
        <v>88</v>
      </c>
      <c r="M432" s="52" t="s">
        <v>398</v>
      </c>
      <c r="N432" s="52" t="s">
        <v>399</v>
      </c>
      <c r="O432" s="52" t="str">
        <f t="shared" si="12"/>
        <v/>
      </c>
      <c r="P432" s="52" t="str">
        <f t="shared" si="13"/>
        <v/>
      </c>
      <c r="Q432" s="52"/>
      <c r="R432" s="52"/>
      <c r="S432" s="55" t="s">
        <v>407</v>
      </c>
      <c r="T432" s="53">
        <v>46230</v>
      </c>
    </row>
    <row r="433" spans="1:20" ht="12" customHeight="1">
      <c r="A433" s="51" t="s">
        <v>149</v>
      </c>
      <c r="B433" s="52">
        <v>10</v>
      </c>
      <c r="C433" s="53">
        <v>46236</v>
      </c>
      <c r="D433" s="54" t="s">
        <v>414</v>
      </c>
      <c r="E433" s="55" t="s">
        <v>207</v>
      </c>
      <c r="F433" s="55" t="s">
        <v>175</v>
      </c>
      <c r="G433" s="55" t="s">
        <v>173</v>
      </c>
      <c r="H433" s="56"/>
      <c r="I433" s="56"/>
      <c r="J433" s="56">
        <v>2026</v>
      </c>
      <c r="K433" s="52" t="s">
        <v>99</v>
      </c>
      <c r="L433" s="52" t="s">
        <v>88</v>
      </c>
      <c r="M433" s="52" t="s">
        <v>401</v>
      </c>
      <c r="N433" s="52" t="s">
        <v>402</v>
      </c>
      <c r="O433" s="52" t="str">
        <f t="shared" si="12"/>
        <v/>
      </c>
      <c r="P433" s="52" t="str">
        <f t="shared" si="13"/>
        <v/>
      </c>
      <c r="Q433" s="52"/>
      <c r="R433" s="52"/>
      <c r="S433" s="55" t="s">
        <v>407</v>
      </c>
      <c r="T433" s="53">
        <v>46230</v>
      </c>
    </row>
    <row r="434" spans="1:20" ht="12" customHeight="1">
      <c r="A434" s="51" t="s">
        <v>149</v>
      </c>
      <c r="B434" s="52">
        <v>10</v>
      </c>
      <c r="C434" s="53">
        <v>46236</v>
      </c>
      <c r="D434" s="54" t="s">
        <v>414</v>
      </c>
      <c r="E434" s="55" t="s">
        <v>210</v>
      </c>
      <c r="F434" s="55" t="s">
        <v>172</v>
      </c>
      <c r="G434" s="55" t="s">
        <v>176</v>
      </c>
      <c r="H434" s="56"/>
      <c r="I434" s="56"/>
      <c r="J434" s="56">
        <v>2026</v>
      </c>
      <c r="K434" s="52" t="s">
        <v>99</v>
      </c>
      <c r="L434" s="52" t="s">
        <v>88</v>
      </c>
      <c r="M434" s="52" t="s">
        <v>395</v>
      </c>
      <c r="N434" s="52" t="s">
        <v>396</v>
      </c>
      <c r="O434" s="52" t="str">
        <f t="shared" si="12"/>
        <v/>
      </c>
      <c r="P434" s="52" t="str">
        <f t="shared" si="13"/>
        <v/>
      </c>
      <c r="Q434" s="52"/>
      <c r="R434" s="52"/>
      <c r="S434" s="55" t="s">
        <v>407</v>
      </c>
      <c r="T434" s="53">
        <v>46230</v>
      </c>
    </row>
    <row r="435" spans="1:20" ht="12" customHeight="1">
      <c r="A435" s="51" t="s">
        <v>149</v>
      </c>
      <c r="B435" s="52">
        <v>10</v>
      </c>
      <c r="C435" s="53">
        <v>46236</v>
      </c>
      <c r="D435" s="54" t="s">
        <v>414</v>
      </c>
      <c r="E435" s="55" t="s">
        <v>207</v>
      </c>
      <c r="F435" s="55" t="s">
        <v>169</v>
      </c>
      <c r="G435" s="55" t="s">
        <v>170</v>
      </c>
      <c r="H435" s="56"/>
      <c r="I435" s="56"/>
      <c r="J435" s="56">
        <v>2026</v>
      </c>
      <c r="K435" s="52" t="s">
        <v>99</v>
      </c>
      <c r="L435" s="52" t="s">
        <v>88</v>
      </c>
      <c r="M435" s="52" t="s">
        <v>399</v>
      </c>
      <c r="N435" s="52" t="s">
        <v>400</v>
      </c>
      <c r="O435" s="52" t="str">
        <f t="shared" si="12"/>
        <v/>
      </c>
      <c r="P435" s="52" t="str">
        <f t="shared" si="13"/>
        <v/>
      </c>
      <c r="Q435" s="52"/>
      <c r="R435" s="52"/>
      <c r="S435" s="55" t="s">
        <v>407</v>
      </c>
      <c r="T435" s="53">
        <v>46230</v>
      </c>
    </row>
    <row r="436" spans="1:20" ht="12" customHeight="1">
      <c r="A436" s="51" t="s">
        <v>149</v>
      </c>
      <c r="B436" s="52">
        <v>11</v>
      </c>
      <c r="C436" s="53">
        <v>46243</v>
      </c>
      <c r="D436" s="54" t="s">
        <v>414</v>
      </c>
      <c r="E436" s="55" t="s">
        <v>205</v>
      </c>
      <c r="F436" s="55" t="s">
        <v>166</v>
      </c>
      <c r="G436" s="55" t="s">
        <v>173</v>
      </c>
      <c r="H436" s="56"/>
      <c r="I436" s="56"/>
      <c r="J436" s="56">
        <v>2026</v>
      </c>
      <c r="K436" s="52" t="s">
        <v>99</v>
      </c>
      <c r="L436" s="52" t="s">
        <v>88</v>
      </c>
      <c r="M436" s="52" t="s">
        <v>401</v>
      </c>
      <c r="N436" s="52" t="s">
        <v>402</v>
      </c>
      <c r="O436" s="52" t="str">
        <f t="shared" si="12"/>
        <v/>
      </c>
      <c r="P436" s="52" t="str">
        <f t="shared" si="13"/>
        <v/>
      </c>
      <c r="Q436" s="52"/>
      <c r="R436" s="52"/>
      <c r="S436" s="55" t="s">
        <v>407</v>
      </c>
      <c r="T436" s="53">
        <v>46230</v>
      </c>
    </row>
    <row r="437" spans="1:20" ht="12" customHeight="1">
      <c r="A437" s="51" t="s">
        <v>149</v>
      </c>
      <c r="B437" s="52">
        <v>11</v>
      </c>
      <c r="C437" s="53">
        <v>46243</v>
      </c>
      <c r="D437" s="54" t="s">
        <v>414</v>
      </c>
      <c r="E437" s="55" t="s">
        <v>210</v>
      </c>
      <c r="F437" s="55" t="s">
        <v>172</v>
      </c>
      <c r="G437" s="55" t="s">
        <v>174</v>
      </c>
      <c r="H437" s="56"/>
      <c r="I437" s="56"/>
      <c r="J437" s="56">
        <v>2026</v>
      </c>
      <c r="K437" s="52" t="s">
        <v>99</v>
      </c>
      <c r="L437" s="52" t="s">
        <v>88</v>
      </c>
      <c r="M437" s="52" t="s">
        <v>395</v>
      </c>
      <c r="N437" s="52" t="s">
        <v>396</v>
      </c>
      <c r="O437" s="52" t="str">
        <f t="shared" si="12"/>
        <v/>
      </c>
      <c r="P437" s="52" t="str">
        <f t="shared" si="13"/>
        <v/>
      </c>
      <c r="Q437" s="52"/>
      <c r="R437" s="52"/>
      <c r="S437" s="55" t="s">
        <v>407</v>
      </c>
      <c r="T437" s="53">
        <v>46230</v>
      </c>
    </row>
    <row r="438" spans="1:20" ht="12" customHeight="1">
      <c r="A438" s="51" t="s">
        <v>149</v>
      </c>
      <c r="B438" s="52">
        <v>11</v>
      </c>
      <c r="C438" s="53">
        <v>46243</v>
      </c>
      <c r="D438" s="54" t="s">
        <v>414</v>
      </c>
      <c r="E438" s="55" t="s">
        <v>207</v>
      </c>
      <c r="F438" s="55" t="s">
        <v>175</v>
      </c>
      <c r="G438" s="55" t="s">
        <v>170</v>
      </c>
      <c r="H438" s="56"/>
      <c r="I438" s="56"/>
      <c r="J438" s="56">
        <v>2026</v>
      </c>
      <c r="K438" s="52" t="s">
        <v>99</v>
      </c>
      <c r="L438" s="52" t="s">
        <v>88</v>
      </c>
      <c r="M438" s="52" t="s">
        <v>399</v>
      </c>
      <c r="N438" s="52" t="s">
        <v>400</v>
      </c>
      <c r="O438" s="52" t="str">
        <f t="shared" si="12"/>
        <v/>
      </c>
      <c r="P438" s="52" t="str">
        <f t="shared" si="13"/>
        <v/>
      </c>
      <c r="Q438" s="52"/>
      <c r="R438" s="52"/>
      <c r="S438" s="55" t="s">
        <v>407</v>
      </c>
      <c r="T438" s="53">
        <v>46230</v>
      </c>
    </row>
    <row r="439" spans="1:20" ht="12" customHeight="1">
      <c r="A439" s="51" t="s">
        <v>149</v>
      </c>
      <c r="B439" s="52">
        <v>11</v>
      </c>
      <c r="C439" s="53">
        <v>46243</v>
      </c>
      <c r="D439" s="54" t="s">
        <v>414</v>
      </c>
      <c r="E439" s="55" t="s">
        <v>207</v>
      </c>
      <c r="F439" s="55" t="s">
        <v>169</v>
      </c>
      <c r="G439" s="55" t="s">
        <v>176</v>
      </c>
      <c r="H439" s="56"/>
      <c r="I439" s="56"/>
      <c r="J439" s="56">
        <v>2026</v>
      </c>
      <c r="K439" s="52" t="s">
        <v>99</v>
      </c>
      <c r="L439" s="52" t="s">
        <v>88</v>
      </c>
      <c r="M439" s="52" t="s">
        <v>402</v>
      </c>
      <c r="N439" s="52" t="s">
        <v>403</v>
      </c>
      <c r="O439" s="52" t="str">
        <f t="shared" si="12"/>
        <v/>
      </c>
      <c r="P439" s="52" t="str">
        <f t="shared" si="13"/>
        <v/>
      </c>
      <c r="Q439" s="52"/>
      <c r="R439" s="52"/>
      <c r="S439" s="55" t="s">
        <v>407</v>
      </c>
      <c r="T439" s="53">
        <v>46230</v>
      </c>
    </row>
    <row r="440" spans="1:20" ht="12" customHeight="1">
      <c r="A440" s="51" t="s">
        <v>149</v>
      </c>
      <c r="B440" s="52">
        <v>12</v>
      </c>
      <c r="C440" s="53">
        <v>46250</v>
      </c>
      <c r="D440" s="54" t="s">
        <v>414</v>
      </c>
      <c r="E440" s="55" t="s">
        <v>210</v>
      </c>
      <c r="F440" s="55" t="s">
        <v>172</v>
      </c>
      <c r="G440" s="55" t="s">
        <v>166</v>
      </c>
      <c r="H440" s="56"/>
      <c r="I440" s="56"/>
      <c r="J440" s="56">
        <v>2026</v>
      </c>
      <c r="K440" s="52" t="s">
        <v>99</v>
      </c>
      <c r="L440" s="52" t="s">
        <v>88</v>
      </c>
      <c r="M440" s="52" t="s">
        <v>395</v>
      </c>
      <c r="N440" s="52" t="s">
        <v>396</v>
      </c>
      <c r="O440" s="52" t="str">
        <f t="shared" si="12"/>
        <v/>
      </c>
      <c r="P440" s="52" t="str">
        <f t="shared" si="13"/>
        <v/>
      </c>
      <c r="Q440" s="52"/>
      <c r="R440" s="52"/>
      <c r="S440" s="55" t="s">
        <v>407</v>
      </c>
      <c r="T440" s="53">
        <v>46230</v>
      </c>
    </row>
    <row r="441" spans="1:20" ht="12" customHeight="1">
      <c r="A441" s="51" t="s">
        <v>149</v>
      </c>
      <c r="B441" s="52">
        <v>12</v>
      </c>
      <c r="C441" s="53">
        <v>46250</v>
      </c>
      <c r="D441" s="54" t="s">
        <v>414</v>
      </c>
      <c r="E441" s="55" t="s">
        <v>205</v>
      </c>
      <c r="F441" s="55" t="s">
        <v>173</v>
      </c>
      <c r="G441" s="55" t="s">
        <v>170</v>
      </c>
      <c r="H441" s="56"/>
      <c r="I441" s="56"/>
      <c r="J441" s="56">
        <v>2026</v>
      </c>
      <c r="K441" s="52" t="s">
        <v>99</v>
      </c>
      <c r="L441" s="52" t="s">
        <v>88</v>
      </c>
      <c r="M441" s="52" t="s">
        <v>399</v>
      </c>
      <c r="N441" s="52" t="s">
        <v>400</v>
      </c>
      <c r="O441" s="52" t="str">
        <f t="shared" si="12"/>
        <v/>
      </c>
      <c r="P441" s="52" t="str">
        <f t="shared" si="13"/>
        <v/>
      </c>
      <c r="Q441" s="52"/>
      <c r="R441" s="52"/>
      <c r="S441" s="55" t="s">
        <v>407</v>
      </c>
      <c r="T441" s="53">
        <v>46230</v>
      </c>
    </row>
    <row r="442" spans="1:20" ht="12" customHeight="1">
      <c r="A442" s="51" t="s">
        <v>149</v>
      </c>
      <c r="B442" s="52">
        <v>12</v>
      </c>
      <c r="C442" s="53">
        <v>46250</v>
      </c>
      <c r="D442" s="54" t="s">
        <v>414</v>
      </c>
      <c r="E442" s="55" t="s">
        <v>207</v>
      </c>
      <c r="F442" s="55" t="s">
        <v>169</v>
      </c>
      <c r="G442" s="55" t="s">
        <v>174</v>
      </c>
      <c r="H442" s="56"/>
      <c r="I442" s="56"/>
      <c r="J442" s="56">
        <v>2026</v>
      </c>
      <c r="K442" s="52" t="s">
        <v>99</v>
      </c>
      <c r="L442" s="52" t="s">
        <v>88</v>
      </c>
      <c r="M442" s="52" t="s">
        <v>402</v>
      </c>
      <c r="N442" s="52" t="s">
        <v>403</v>
      </c>
      <c r="O442" s="52" t="str">
        <f t="shared" si="12"/>
        <v/>
      </c>
      <c r="P442" s="52" t="str">
        <f t="shared" si="13"/>
        <v/>
      </c>
      <c r="Q442" s="52"/>
      <c r="R442" s="52"/>
      <c r="S442" s="55" t="s">
        <v>407</v>
      </c>
      <c r="T442" s="53">
        <v>46230</v>
      </c>
    </row>
    <row r="443" spans="1:20" ht="12" customHeight="1">
      <c r="A443" s="51" t="s">
        <v>149</v>
      </c>
      <c r="B443" s="52">
        <v>12</v>
      </c>
      <c r="C443" s="53">
        <v>46250</v>
      </c>
      <c r="D443" s="54" t="s">
        <v>414</v>
      </c>
      <c r="E443" s="55" t="s">
        <v>207</v>
      </c>
      <c r="F443" s="55" t="s">
        <v>175</v>
      </c>
      <c r="G443" s="55" t="s">
        <v>176</v>
      </c>
      <c r="H443" s="56"/>
      <c r="I443" s="56"/>
      <c r="J443" s="56">
        <v>2026</v>
      </c>
      <c r="K443" s="52" t="s">
        <v>99</v>
      </c>
      <c r="L443" s="52" t="s">
        <v>88</v>
      </c>
      <c r="M443" s="52" t="s">
        <v>396</v>
      </c>
      <c r="N443" s="52" t="s">
        <v>404</v>
      </c>
      <c r="O443" s="52" t="str">
        <f t="shared" si="12"/>
        <v/>
      </c>
      <c r="P443" s="52" t="str">
        <f t="shared" si="13"/>
        <v/>
      </c>
      <c r="Q443" s="52"/>
      <c r="R443" s="52"/>
      <c r="S443" s="55" t="s">
        <v>407</v>
      </c>
      <c r="T443" s="53">
        <v>46230</v>
      </c>
    </row>
    <row r="444" spans="1:20" ht="12" customHeight="1">
      <c r="A444" s="51" t="s">
        <v>149</v>
      </c>
      <c r="B444" s="52">
        <v>13</v>
      </c>
      <c r="C444" s="53">
        <v>46257</v>
      </c>
      <c r="D444" s="54" t="s">
        <v>414</v>
      </c>
      <c r="E444" s="55" t="s">
        <v>205</v>
      </c>
      <c r="F444" s="55" t="s">
        <v>166</v>
      </c>
      <c r="G444" s="55" t="s">
        <v>170</v>
      </c>
      <c r="H444" s="56"/>
      <c r="I444" s="56"/>
      <c r="J444" s="56">
        <v>2026</v>
      </c>
      <c r="K444" s="52" t="s">
        <v>99</v>
      </c>
      <c r="L444" s="52" t="s">
        <v>88</v>
      </c>
      <c r="M444" s="52" t="s">
        <v>399</v>
      </c>
      <c r="N444" s="52" t="s">
        <v>400</v>
      </c>
      <c r="O444" s="52" t="str">
        <f t="shared" si="12"/>
        <v/>
      </c>
      <c r="P444" s="52" t="str">
        <f t="shared" si="13"/>
        <v/>
      </c>
      <c r="Q444" s="52"/>
      <c r="R444" s="52"/>
      <c r="S444" s="55" t="s">
        <v>407</v>
      </c>
      <c r="T444" s="53">
        <v>46230</v>
      </c>
    </row>
    <row r="445" spans="1:20" ht="12" customHeight="1">
      <c r="A445" s="51" t="s">
        <v>149</v>
      </c>
      <c r="B445" s="52">
        <v>13</v>
      </c>
      <c r="C445" s="53">
        <v>46257</v>
      </c>
      <c r="D445" s="54" t="s">
        <v>414</v>
      </c>
      <c r="E445" s="55" t="s">
        <v>207</v>
      </c>
      <c r="F445" s="55" t="s">
        <v>169</v>
      </c>
      <c r="G445" s="55" t="s">
        <v>172</v>
      </c>
      <c r="H445" s="56"/>
      <c r="I445" s="56"/>
      <c r="J445" s="56">
        <v>2026</v>
      </c>
      <c r="K445" s="52" t="s">
        <v>99</v>
      </c>
      <c r="L445" s="52" t="s">
        <v>88</v>
      </c>
      <c r="M445" s="52" t="s">
        <v>402</v>
      </c>
      <c r="N445" s="52" t="s">
        <v>403</v>
      </c>
      <c r="O445" s="52" t="str">
        <f t="shared" si="12"/>
        <v/>
      </c>
      <c r="P445" s="52" t="str">
        <f t="shared" si="13"/>
        <v/>
      </c>
      <c r="Q445" s="52"/>
      <c r="R445" s="52"/>
      <c r="S445" s="55" t="s">
        <v>407</v>
      </c>
      <c r="T445" s="53">
        <v>46230</v>
      </c>
    </row>
    <row r="446" spans="1:20" ht="12" customHeight="1">
      <c r="A446" s="51" t="s">
        <v>149</v>
      </c>
      <c r="B446" s="52">
        <v>13</v>
      </c>
      <c r="C446" s="53">
        <v>46257</v>
      </c>
      <c r="D446" s="54" t="s">
        <v>414</v>
      </c>
      <c r="E446" s="55" t="s">
        <v>205</v>
      </c>
      <c r="F446" s="55" t="s">
        <v>173</v>
      </c>
      <c r="G446" s="55" t="s">
        <v>176</v>
      </c>
      <c r="H446" s="56"/>
      <c r="I446" s="56"/>
      <c r="J446" s="56">
        <v>2026</v>
      </c>
      <c r="K446" s="52" t="s">
        <v>99</v>
      </c>
      <c r="L446" s="52" t="s">
        <v>88</v>
      </c>
      <c r="M446" s="52" t="s">
        <v>396</v>
      </c>
      <c r="N446" s="52" t="s">
        <v>404</v>
      </c>
      <c r="O446" s="52" t="str">
        <f t="shared" si="12"/>
        <v/>
      </c>
      <c r="P446" s="52" t="str">
        <f t="shared" si="13"/>
        <v/>
      </c>
      <c r="Q446" s="52"/>
      <c r="R446" s="52"/>
      <c r="S446" s="55" t="s">
        <v>407</v>
      </c>
      <c r="T446" s="53">
        <v>46230</v>
      </c>
    </row>
    <row r="447" spans="1:20" ht="12" customHeight="1">
      <c r="A447" s="51" t="s">
        <v>149</v>
      </c>
      <c r="B447" s="52">
        <v>13</v>
      </c>
      <c r="C447" s="53">
        <v>46257</v>
      </c>
      <c r="D447" s="54" t="s">
        <v>414</v>
      </c>
      <c r="E447" s="55" t="s">
        <v>207</v>
      </c>
      <c r="F447" s="55" t="s">
        <v>175</v>
      </c>
      <c r="G447" s="55" t="s">
        <v>174</v>
      </c>
      <c r="H447" s="56"/>
      <c r="I447" s="56"/>
      <c r="J447" s="56">
        <v>2026</v>
      </c>
      <c r="K447" s="52" t="s">
        <v>99</v>
      </c>
      <c r="L447" s="52" t="s">
        <v>88</v>
      </c>
      <c r="M447" s="52" t="s">
        <v>400</v>
      </c>
      <c r="N447" s="52" t="s">
        <v>405</v>
      </c>
      <c r="O447" s="52" t="str">
        <f t="shared" si="12"/>
        <v/>
      </c>
      <c r="P447" s="52" t="str">
        <f t="shared" si="13"/>
        <v/>
      </c>
      <c r="Q447" s="52"/>
      <c r="R447" s="52"/>
      <c r="S447" s="55" t="s">
        <v>407</v>
      </c>
      <c r="T447" s="53">
        <v>46230</v>
      </c>
    </row>
    <row r="448" spans="1:20" ht="12" customHeight="1">
      <c r="A448" s="51" t="s">
        <v>149</v>
      </c>
      <c r="B448" s="52">
        <v>14</v>
      </c>
      <c r="C448" s="53">
        <v>46264</v>
      </c>
      <c r="D448" s="54" t="s">
        <v>414</v>
      </c>
      <c r="E448" s="55" t="s">
        <v>207</v>
      </c>
      <c r="F448" s="55" t="s">
        <v>169</v>
      </c>
      <c r="G448" s="55" t="s">
        <v>166</v>
      </c>
      <c r="H448" s="56"/>
      <c r="I448" s="56"/>
      <c r="J448" s="56">
        <v>2026</v>
      </c>
      <c r="K448" s="52" t="s">
        <v>99</v>
      </c>
      <c r="L448" s="52" t="s">
        <v>88</v>
      </c>
      <c r="M448" s="52" t="s">
        <v>402</v>
      </c>
      <c r="N448" s="52" t="s">
        <v>403</v>
      </c>
      <c r="O448" s="52" t="str">
        <f t="shared" si="12"/>
        <v/>
      </c>
      <c r="P448" s="52" t="str">
        <f t="shared" si="13"/>
        <v/>
      </c>
      <c r="Q448" s="52"/>
      <c r="R448" s="52"/>
      <c r="S448" s="55" t="s">
        <v>407</v>
      </c>
      <c r="T448" s="53">
        <v>46230</v>
      </c>
    </row>
    <row r="449" spans="1:20" ht="12" customHeight="1">
      <c r="A449" s="51" t="s">
        <v>149</v>
      </c>
      <c r="B449" s="52">
        <v>14</v>
      </c>
      <c r="C449" s="53">
        <v>46264</v>
      </c>
      <c r="D449" s="54" t="s">
        <v>414</v>
      </c>
      <c r="E449" s="55" t="s">
        <v>171</v>
      </c>
      <c r="F449" s="55" t="s">
        <v>170</v>
      </c>
      <c r="G449" s="55" t="s">
        <v>176</v>
      </c>
      <c r="H449" s="56"/>
      <c r="I449" s="56"/>
      <c r="J449" s="56">
        <v>2026</v>
      </c>
      <c r="K449" s="52" t="s">
        <v>99</v>
      </c>
      <c r="L449" s="52" t="s">
        <v>88</v>
      </c>
      <c r="M449" s="52" t="s">
        <v>396</v>
      </c>
      <c r="N449" s="52" t="s">
        <v>404</v>
      </c>
      <c r="O449" s="52" t="str">
        <f t="shared" si="12"/>
        <v/>
      </c>
      <c r="P449" s="52" t="str">
        <f t="shared" si="13"/>
        <v/>
      </c>
      <c r="Q449" s="52"/>
      <c r="R449" s="52"/>
      <c r="S449" s="55" t="s">
        <v>407</v>
      </c>
      <c r="T449" s="53">
        <v>46230</v>
      </c>
    </row>
    <row r="450" spans="1:20" ht="12" customHeight="1">
      <c r="A450" s="51" t="s">
        <v>149</v>
      </c>
      <c r="B450" s="52">
        <v>14</v>
      </c>
      <c r="C450" s="53">
        <v>46264</v>
      </c>
      <c r="D450" s="54" t="s">
        <v>414</v>
      </c>
      <c r="E450" s="55" t="s">
        <v>207</v>
      </c>
      <c r="F450" s="55" t="s">
        <v>175</v>
      </c>
      <c r="G450" s="55" t="s">
        <v>172</v>
      </c>
      <c r="H450" s="56"/>
      <c r="I450" s="56"/>
      <c r="J450" s="56">
        <v>2026</v>
      </c>
      <c r="K450" s="52" t="s">
        <v>99</v>
      </c>
      <c r="L450" s="52" t="s">
        <v>88</v>
      </c>
      <c r="M450" s="52" t="s">
        <v>400</v>
      </c>
      <c r="N450" s="52" t="s">
        <v>405</v>
      </c>
      <c r="O450" s="52" t="str">
        <f t="shared" si="12"/>
        <v/>
      </c>
      <c r="P450" s="52" t="str">
        <f t="shared" si="13"/>
        <v/>
      </c>
      <c r="Q450" s="52"/>
      <c r="R450" s="52"/>
      <c r="S450" s="55" t="s">
        <v>407</v>
      </c>
      <c r="T450" s="53">
        <v>46230</v>
      </c>
    </row>
    <row r="451" spans="1:20" ht="12" customHeight="1">
      <c r="A451" s="51" t="s">
        <v>149</v>
      </c>
      <c r="B451" s="52">
        <v>14</v>
      </c>
      <c r="C451" s="53">
        <v>46264</v>
      </c>
      <c r="D451" s="54" t="s">
        <v>414</v>
      </c>
      <c r="E451" s="55" t="s">
        <v>205</v>
      </c>
      <c r="F451" s="55" t="s">
        <v>173</v>
      </c>
      <c r="G451" s="55" t="s">
        <v>174</v>
      </c>
      <c r="H451" s="56"/>
      <c r="I451" s="56"/>
      <c r="J451" s="56">
        <v>2026</v>
      </c>
      <c r="K451" s="52" t="s">
        <v>99</v>
      </c>
      <c r="L451" s="52" t="s">
        <v>88</v>
      </c>
      <c r="M451" s="52" t="s">
        <v>403</v>
      </c>
      <c r="N451" s="52" t="s">
        <v>406</v>
      </c>
      <c r="O451" s="52" t="str">
        <f t="shared" si="12"/>
        <v/>
      </c>
      <c r="P451" s="52" t="str">
        <f t="shared" si="13"/>
        <v/>
      </c>
      <c r="Q451" s="52"/>
      <c r="R451" s="52"/>
      <c r="S451" s="55" t="s">
        <v>407</v>
      </c>
      <c r="T451" s="53">
        <v>46230</v>
      </c>
    </row>
    <row r="452" spans="1:20" ht="12" customHeight="1">
      <c r="A452" s="51" t="s">
        <v>150</v>
      </c>
      <c r="B452" s="52">
        <v>1</v>
      </c>
      <c r="C452" s="53">
        <v>46173</v>
      </c>
      <c r="D452" s="54" t="s">
        <v>415</v>
      </c>
      <c r="E452" s="55" t="s">
        <v>205</v>
      </c>
      <c r="F452" s="55" t="s">
        <v>166</v>
      </c>
      <c r="G452" s="55" t="s">
        <v>176</v>
      </c>
      <c r="H452" s="56">
        <v>1</v>
      </c>
      <c r="I452" s="56">
        <v>1</v>
      </c>
      <c r="J452" s="56">
        <v>2026</v>
      </c>
      <c r="K452" s="52" t="s">
        <v>99</v>
      </c>
      <c r="L452" s="52" t="s">
        <v>137</v>
      </c>
      <c r="M452" s="52" t="s">
        <v>403</v>
      </c>
      <c r="N452" s="52" t="s">
        <v>406</v>
      </c>
      <c r="O452" s="52" t="str">
        <f t="shared" ref="O452:O500" si="14">IF(OR(L452&lt;&gt;"Finalizado",H452="",I452=""),"",IF(H452&gt;I452,F452,IF(I452&gt;H452,G452,"Empate")))</f>
        <v>Empate</v>
      </c>
      <c r="P452" s="52" t="str">
        <f t="shared" ref="P452:P500" si="15">IF(OR(L452&lt;&gt;"Finalizado",H452="",I452=""),"",IF(H452=I452,"Empate",IF(H452&gt;I452,"Local","Visita")))</f>
        <v>Empate</v>
      </c>
      <c r="Q452" s="52">
        <v>1</v>
      </c>
      <c r="R452" s="52">
        <v>1</v>
      </c>
      <c r="S452" s="55" t="s">
        <v>397</v>
      </c>
      <c r="T452" s="53">
        <v>46230</v>
      </c>
    </row>
    <row r="453" spans="1:20" ht="12" customHeight="1">
      <c r="A453" s="51" t="s">
        <v>150</v>
      </c>
      <c r="B453" s="52">
        <v>1</v>
      </c>
      <c r="C453" s="53">
        <v>46173</v>
      </c>
      <c r="D453" s="54" t="s">
        <v>415</v>
      </c>
      <c r="E453" s="55" t="s">
        <v>207</v>
      </c>
      <c r="F453" s="55" t="s">
        <v>175</v>
      </c>
      <c r="G453" s="55" t="s">
        <v>169</v>
      </c>
      <c r="H453" s="56">
        <v>0</v>
      </c>
      <c r="I453" s="56">
        <v>4</v>
      </c>
      <c r="J453" s="56">
        <v>2026</v>
      </c>
      <c r="K453" s="52" t="s">
        <v>99</v>
      </c>
      <c r="L453" s="52" t="s">
        <v>137</v>
      </c>
      <c r="M453" s="52" t="s">
        <v>404</v>
      </c>
      <c r="N453" s="52" t="s">
        <v>394</v>
      </c>
      <c r="O453" s="52" t="str">
        <f t="shared" si="14"/>
        <v>U.J. Lautaro</v>
      </c>
      <c r="P453" s="52" t="str">
        <f t="shared" si="15"/>
        <v>Visita</v>
      </c>
      <c r="Q453" s="52">
        <v>0</v>
      </c>
      <c r="R453" s="52">
        <v>3</v>
      </c>
      <c r="S453" s="55" t="s">
        <v>397</v>
      </c>
      <c r="T453" s="53">
        <v>46230</v>
      </c>
    </row>
    <row r="454" spans="1:20" ht="12" customHeight="1">
      <c r="A454" s="51" t="s">
        <v>150</v>
      </c>
      <c r="B454" s="52">
        <v>1</v>
      </c>
      <c r="C454" s="53">
        <v>46173</v>
      </c>
      <c r="D454" s="54" t="s">
        <v>415</v>
      </c>
      <c r="E454" s="55" t="s">
        <v>171</v>
      </c>
      <c r="F454" s="55" t="s">
        <v>170</v>
      </c>
      <c r="G454" s="55" t="s">
        <v>174</v>
      </c>
      <c r="H454" s="56">
        <v>0</v>
      </c>
      <c r="I454" s="56">
        <v>2</v>
      </c>
      <c r="J454" s="56">
        <v>2026</v>
      </c>
      <c r="K454" s="52" t="s">
        <v>99</v>
      </c>
      <c r="L454" s="52" t="s">
        <v>137</v>
      </c>
      <c r="M454" s="52" t="s">
        <v>405</v>
      </c>
      <c r="N454" s="52" t="s">
        <v>398</v>
      </c>
      <c r="O454" s="52" t="str">
        <f t="shared" si="14"/>
        <v>Inca</v>
      </c>
      <c r="P454" s="52" t="str">
        <f t="shared" si="15"/>
        <v>Visita</v>
      </c>
      <c r="Q454" s="52">
        <v>0</v>
      </c>
      <c r="R454" s="52">
        <v>3</v>
      </c>
      <c r="S454" s="55" t="s">
        <v>397</v>
      </c>
      <c r="T454" s="53">
        <v>46230</v>
      </c>
    </row>
    <row r="455" spans="1:20" ht="12" customHeight="1">
      <c r="A455" s="51" t="s">
        <v>150</v>
      </c>
      <c r="B455" s="52">
        <v>1</v>
      </c>
      <c r="C455" s="53">
        <v>46173</v>
      </c>
      <c r="D455" s="54" t="s">
        <v>415</v>
      </c>
      <c r="E455" s="55" t="s">
        <v>205</v>
      </c>
      <c r="F455" s="55" t="s">
        <v>173</v>
      </c>
      <c r="G455" s="55" t="s">
        <v>172</v>
      </c>
      <c r="H455" s="56">
        <v>4</v>
      </c>
      <c r="I455" s="56">
        <v>1</v>
      </c>
      <c r="J455" s="56">
        <v>2026</v>
      </c>
      <c r="K455" s="52" t="s">
        <v>99</v>
      </c>
      <c r="L455" s="52" t="s">
        <v>137</v>
      </c>
      <c r="M455" s="52" t="s">
        <v>406</v>
      </c>
      <c r="N455" s="52" t="s">
        <v>401</v>
      </c>
      <c r="O455" s="52" t="str">
        <f t="shared" si="14"/>
        <v>Jota Montt</v>
      </c>
      <c r="P455" s="52" t="str">
        <f t="shared" si="15"/>
        <v>Local</v>
      </c>
      <c r="Q455" s="52">
        <v>3</v>
      </c>
      <c r="R455" s="52">
        <v>0</v>
      </c>
      <c r="S455" s="55" t="s">
        <v>397</v>
      </c>
      <c r="T455" s="53">
        <v>46230</v>
      </c>
    </row>
    <row r="456" spans="1:20" ht="12" customHeight="1">
      <c r="A456" s="51" t="s">
        <v>150</v>
      </c>
      <c r="B456" s="52">
        <v>2</v>
      </c>
      <c r="C456" s="53">
        <v>46180</v>
      </c>
      <c r="D456" s="54" t="s">
        <v>415</v>
      </c>
      <c r="E456" s="55" t="s">
        <v>207</v>
      </c>
      <c r="F456" s="55" t="s">
        <v>175</v>
      </c>
      <c r="G456" s="55" t="s">
        <v>166</v>
      </c>
      <c r="H456" s="56">
        <v>1</v>
      </c>
      <c r="I456" s="56">
        <v>1</v>
      </c>
      <c r="J456" s="56">
        <v>2026</v>
      </c>
      <c r="K456" s="52" t="s">
        <v>99</v>
      </c>
      <c r="L456" s="52" t="s">
        <v>137</v>
      </c>
      <c r="M456" s="52" t="s">
        <v>404</v>
      </c>
      <c r="N456" s="52" t="s">
        <v>394</v>
      </c>
      <c r="O456" s="52" t="str">
        <f t="shared" si="14"/>
        <v>Empate</v>
      </c>
      <c r="P456" s="52" t="str">
        <f t="shared" si="15"/>
        <v>Empate</v>
      </c>
      <c r="Q456" s="52">
        <v>1</v>
      </c>
      <c r="R456" s="52">
        <v>1</v>
      </c>
      <c r="S456" s="55" t="s">
        <v>397</v>
      </c>
      <c r="T456" s="53">
        <v>46230</v>
      </c>
    </row>
    <row r="457" spans="1:20" ht="12" customHeight="1">
      <c r="A457" s="51" t="s">
        <v>150</v>
      </c>
      <c r="B457" s="52">
        <v>2</v>
      </c>
      <c r="C457" s="53">
        <v>46180</v>
      </c>
      <c r="D457" s="54" t="s">
        <v>415</v>
      </c>
      <c r="E457" s="55" t="s">
        <v>210</v>
      </c>
      <c r="F457" s="55" t="s">
        <v>176</v>
      </c>
      <c r="G457" s="55" t="s">
        <v>174</v>
      </c>
      <c r="H457" s="56">
        <v>2</v>
      </c>
      <c r="I457" s="56">
        <v>1</v>
      </c>
      <c r="J457" s="56">
        <v>2026</v>
      </c>
      <c r="K457" s="52" t="s">
        <v>99</v>
      </c>
      <c r="L457" s="52" t="s">
        <v>137</v>
      </c>
      <c r="M457" s="52" t="s">
        <v>405</v>
      </c>
      <c r="N457" s="52" t="s">
        <v>398</v>
      </c>
      <c r="O457" s="52" t="str">
        <f t="shared" si="14"/>
        <v>Maestranza</v>
      </c>
      <c r="P457" s="52" t="str">
        <f t="shared" si="15"/>
        <v>Local</v>
      </c>
      <c r="Q457" s="52">
        <v>3</v>
      </c>
      <c r="R457" s="52">
        <v>0</v>
      </c>
      <c r="S457" s="55" t="s">
        <v>397</v>
      </c>
      <c r="T457" s="53">
        <v>46230</v>
      </c>
    </row>
    <row r="458" spans="1:20" ht="12" customHeight="1">
      <c r="A458" s="51" t="s">
        <v>150</v>
      </c>
      <c r="B458" s="52">
        <v>2</v>
      </c>
      <c r="C458" s="53">
        <v>46180</v>
      </c>
      <c r="D458" s="54" t="s">
        <v>415</v>
      </c>
      <c r="E458" s="55" t="s">
        <v>205</v>
      </c>
      <c r="F458" s="55" t="s">
        <v>173</v>
      </c>
      <c r="G458" s="55" t="s">
        <v>169</v>
      </c>
      <c r="H458" s="56">
        <v>3</v>
      </c>
      <c r="I458" s="56">
        <v>1</v>
      </c>
      <c r="J458" s="56">
        <v>2026</v>
      </c>
      <c r="K458" s="52" t="s">
        <v>99</v>
      </c>
      <c r="L458" s="52" t="s">
        <v>137</v>
      </c>
      <c r="M458" s="52" t="s">
        <v>406</v>
      </c>
      <c r="N458" s="52" t="s">
        <v>401</v>
      </c>
      <c r="O458" s="52" t="str">
        <f t="shared" si="14"/>
        <v>Jota Montt</v>
      </c>
      <c r="P458" s="52" t="str">
        <f t="shared" si="15"/>
        <v>Local</v>
      </c>
      <c r="Q458" s="52">
        <v>3</v>
      </c>
      <c r="R458" s="52">
        <v>0</v>
      </c>
      <c r="S458" s="55" t="s">
        <v>397</v>
      </c>
      <c r="T458" s="53">
        <v>46230</v>
      </c>
    </row>
    <row r="459" spans="1:20" ht="12" customHeight="1">
      <c r="A459" s="51" t="s">
        <v>150</v>
      </c>
      <c r="B459" s="52">
        <v>2</v>
      </c>
      <c r="C459" s="53">
        <v>46180</v>
      </c>
      <c r="D459" s="54" t="s">
        <v>415</v>
      </c>
      <c r="E459" s="55" t="s">
        <v>171</v>
      </c>
      <c r="F459" s="55" t="s">
        <v>170</v>
      </c>
      <c r="G459" s="55" t="s">
        <v>172</v>
      </c>
      <c r="H459" s="56">
        <v>2</v>
      </c>
      <c r="I459" s="56">
        <v>3</v>
      </c>
      <c r="J459" s="56">
        <v>2026</v>
      </c>
      <c r="K459" s="52" t="s">
        <v>99</v>
      </c>
      <c r="L459" s="52" t="s">
        <v>137</v>
      </c>
      <c r="M459" s="52" t="s">
        <v>394</v>
      </c>
      <c r="N459" s="52" t="s">
        <v>395</v>
      </c>
      <c r="O459" s="52" t="str">
        <f t="shared" si="14"/>
        <v>Grinvasul</v>
      </c>
      <c r="P459" s="52" t="str">
        <f t="shared" si="15"/>
        <v>Visita</v>
      </c>
      <c r="Q459" s="52">
        <v>0</v>
      </c>
      <c r="R459" s="52">
        <v>3</v>
      </c>
      <c r="S459" s="55" t="s">
        <v>397</v>
      </c>
      <c r="T459" s="53">
        <v>46230</v>
      </c>
    </row>
    <row r="460" spans="1:20" ht="12" customHeight="1">
      <c r="A460" s="51" t="s">
        <v>150</v>
      </c>
      <c r="B460" s="52">
        <v>3</v>
      </c>
      <c r="C460" s="53">
        <v>46187</v>
      </c>
      <c r="D460" s="54" t="s">
        <v>415</v>
      </c>
      <c r="E460" s="55" t="s">
        <v>205</v>
      </c>
      <c r="F460" s="55" t="s">
        <v>166</v>
      </c>
      <c r="G460" s="55" t="s">
        <v>174</v>
      </c>
      <c r="H460" s="56">
        <v>3</v>
      </c>
      <c r="I460" s="56">
        <v>2</v>
      </c>
      <c r="J460" s="56">
        <v>2026</v>
      </c>
      <c r="K460" s="52" t="s">
        <v>99</v>
      </c>
      <c r="L460" s="52" t="s">
        <v>137</v>
      </c>
      <c r="M460" s="52" t="s">
        <v>405</v>
      </c>
      <c r="N460" s="52" t="s">
        <v>398</v>
      </c>
      <c r="O460" s="52" t="str">
        <f t="shared" si="14"/>
        <v>Villa Alegre</v>
      </c>
      <c r="P460" s="52" t="str">
        <f t="shared" si="15"/>
        <v>Local</v>
      </c>
      <c r="Q460" s="52">
        <v>3</v>
      </c>
      <c r="R460" s="52">
        <v>0</v>
      </c>
      <c r="S460" s="55" t="s">
        <v>397</v>
      </c>
      <c r="T460" s="53">
        <v>46230</v>
      </c>
    </row>
    <row r="461" spans="1:20" ht="12" customHeight="1">
      <c r="A461" s="51" t="s">
        <v>150</v>
      </c>
      <c r="B461" s="52">
        <v>3</v>
      </c>
      <c r="C461" s="53">
        <v>46187</v>
      </c>
      <c r="D461" s="54" t="s">
        <v>415</v>
      </c>
      <c r="E461" s="55" t="s">
        <v>205</v>
      </c>
      <c r="F461" s="55" t="s">
        <v>173</v>
      </c>
      <c r="G461" s="55" t="s">
        <v>175</v>
      </c>
      <c r="H461" s="56">
        <v>1</v>
      </c>
      <c r="I461" s="56">
        <v>2</v>
      </c>
      <c r="J461" s="56">
        <v>2026</v>
      </c>
      <c r="K461" s="52" t="s">
        <v>99</v>
      </c>
      <c r="L461" s="52" t="s">
        <v>137</v>
      </c>
      <c r="M461" s="52" t="s">
        <v>406</v>
      </c>
      <c r="N461" s="52" t="s">
        <v>401</v>
      </c>
      <c r="O461" s="52" t="str">
        <f t="shared" si="14"/>
        <v>Colo Colo</v>
      </c>
      <c r="P461" s="52" t="str">
        <f t="shared" si="15"/>
        <v>Visita</v>
      </c>
      <c r="Q461" s="52">
        <v>0</v>
      </c>
      <c r="R461" s="52">
        <v>3</v>
      </c>
      <c r="S461" s="55" t="s">
        <v>397</v>
      </c>
      <c r="T461" s="53">
        <v>46230</v>
      </c>
    </row>
    <row r="462" spans="1:20" ht="12" customHeight="1">
      <c r="A462" s="51" t="s">
        <v>150</v>
      </c>
      <c r="B462" s="52">
        <v>3</v>
      </c>
      <c r="C462" s="53">
        <v>46187</v>
      </c>
      <c r="D462" s="54" t="s">
        <v>415</v>
      </c>
      <c r="E462" s="55" t="s">
        <v>210</v>
      </c>
      <c r="F462" s="55" t="s">
        <v>176</v>
      </c>
      <c r="G462" s="55" t="s">
        <v>172</v>
      </c>
      <c r="H462" s="56">
        <v>1</v>
      </c>
      <c r="I462" s="56">
        <v>1</v>
      </c>
      <c r="J462" s="56">
        <v>2026</v>
      </c>
      <c r="K462" s="52" t="s">
        <v>99</v>
      </c>
      <c r="L462" s="52" t="s">
        <v>137</v>
      </c>
      <c r="M462" s="52" t="s">
        <v>394</v>
      </c>
      <c r="N462" s="52" t="s">
        <v>395</v>
      </c>
      <c r="O462" s="52" t="str">
        <f t="shared" si="14"/>
        <v>Empate</v>
      </c>
      <c r="P462" s="52" t="str">
        <f t="shared" si="15"/>
        <v>Empate</v>
      </c>
      <c r="Q462" s="52">
        <v>1</v>
      </c>
      <c r="R462" s="52">
        <v>1</v>
      </c>
      <c r="S462" s="55" t="s">
        <v>397</v>
      </c>
      <c r="T462" s="53">
        <v>46230</v>
      </c>
    </row>
    <row r="463" spans="1:20" ht="12" customHeight="1">
      <c r="A463" s="51" t="s">
        <v>150</v>
      </c>
      <c r="B463" s="52">
        <v>3</v>
      </c>
      <c r="C463" s="53">
        <v>46187</v>
      </c>
      <c r="D463" s="54" t="s">
        <v>415</v>
      </c>
      <c r="E463" s="55" t="s">
        <v>171</v>
      </c>
      <c r="F463" s="55" t="s">
        <v>170</v>
      </c>
      <c r="G463" s="55" t="s">
        <v>169</v>
      </c>
      <c r="H463" s="56">
        <v>0</v>
      </c>
      <c r="I463" s="56">
        <v>0</v>
      </c>
      <c r="J463" s="56">
        <v>2026</v>
      </c>
      <c r="K463" s="52" t="s">
        <v>99</v>
      </c>
      <c r="L463" s="52" t="s">
        <v>137</v>
      </c>
      <c r="M463" s="52" t="s">
        <v>398</v>
      </c>
      <c r="N463" s="52" t="s">
        <v>399</v>
      </c>
      <c r="O463" s="52" t="str">
        <f t="shared" si="14"/>
        <v>Empate</v>
      </c>
      <c r="P463" s="52" t="str">
        <f t="shared" si="15"/>
        <v>Empate</v>
      </c>
      <c r="Q463" s="52">
        <v>1</v>
      </c>
      <c r="R463" s="52">
        <v>1</v>
      </c>
      <c r="S463" s="55" t="s">
        <v>397</v>
      </c>
      <c r="T463" s="53">
        <v>46230</v>
      </c>
    </row>
    <row r="464" spans="1:20" ht="12" customHeight="1">
      <c r="A464" s="51" t="s">
        <v>150</v>
      </c>
      <c r="B464" s="52">
        <v>4</v>
      </c>
      <c r="C464" s="53">
        <v>46194</v>
      </c>
      <c r="D464" s="54" t="s">
        <v>415</v>
      </c>
      <c r="E464" s="55" t="s">
        <v>205</v>
      </c>
      <c r="F464" s="55" t="s">
        <v>173</v>
      </c>
      <c r="G464" s="55" t="s">
        <v>166</v>
      </c>
      <c r="H464" s="56">
        <v>2</v>
      </c>
      <c r="I464" s="56">
        <v>1</v>
      </c>
      <c r="J464" s="56">
        <v>2026</v>
      </c>
      <c r="K464" s="52" t="s">
        <v>99</v>
      </c>
      <c r="L464" s="52" t="s">
        <v>137</v>
      </c>
      <c r="M464" s="52" t="s">
        <v>406</v>
      </c>
      <c r="N464" s="52" t="s">
        <v>401</v>
      </c>
      <c r="O464" s="52" t="str">
        <f t="shared" si="14"/>
        <v>Jota Montt</v>
      </c>
      <c r="P464" s="52" t="str">
        <f t="shared" si="15"/>
        <v>Local</v>
      </c>
      <c r="Q464" s="52">
        <v>3</v>
      </c>
      <c r="R464" s="52">
        <v>0</v>
      </c>
      <c r="S464" s="55" t="s">
        <v>397</v>
      </c>
      <c r="T464" s="53">
        <v>46230</v>
      </c>
    </row>
    <row r="465" spans="1:20" ht="12" customHeight="1">
      <c r="A465" s="51" t="s">
        <v>150</v>
      </c>
      <c r="B465" s="52">
        <v>4</v>
      </c>
      <c r="C465" s="53">
        <v>46194</v>
      </c>
      <c r="D465" s="54" t="s">
        <v>415</v>
      </c>
      <c r="E465" s="55" t="s">
        <v>210</v>
      </c>
      <c r="F465" s="55" t="s">
        <v>174</v>
      </c>
      <c r="G465" s="55" t="s">
        <v>172</v>
      </c>
      <c r="H465" s="56">
        <v>2</v>
      </c>
      <c r="I465" s="56">
        <v>0</v>
      </c>
      <c r="J465" s="56">
        <v>2026</v>
      </c>
      <c r="K465" s="52" t="s">
        <v>99</v>
      </c>
      <c r="L465" s="52" t="s">
        <v>137</v>
      </c>
      <c r="M465" s="52" t="s">
        <v>394</v>
      </c>
      <c r="N465" s="52" t="s">
        <v>395</v>
      </c>
      <c r="O465" s="52" t="str">
        <f t="shared" si="14"/>
        <v>Inca</v>
      </c>
      <c r="P465" s="52" t="str">
        <f t="shared" si="15"/>
        <v>Local</v>
      </c>
      <c r="Q465" s="52">
        <v>3</v>
      </c>
      <c r="R465" s="52">
        <v>0</v>
      </c>
      <c r="S465" s="55" t="s">
        <v>397</v>
      </c>
      <c r="T465" s="53">
        <v>46230</v>
      </c>
    </row>
    <row r="466" spans="1:20" ht="12" customHeight="1">
      <c r="A466" s="51" t="s">
        <v>150</v>
      </c>
      <c r="B466" s="52">
        <v>4</v>
      </c>
      <c r="C466" s="53">
        <v>46194</v>
      </c>
      <c r="D466" s="54" t="s">
        <v>415</v>
      </c>
      <c r="E466" s="55" t="s">
        <v>171</v>
      </c>
      <c r="F466" s="55" t="s">
        <v>170</v>
      </c>
      <c r="G466" s="55" t="s">
        <v>175</v>
      </c>
      <c r="H466" s="56">
        <v>2</v>
      </c>
      <c r="I466" s="56">
        <v>2</v>
      </c>
      <c r="J466" s="56">
        <v>2026</v>
      </c>
      <c r="K466" s="52" t="s">
        <v>99</v>
      </c>
      <c r="L466" s="52" t="s">
        <v>137</v>
      </c>
      <c r="M466" s="52" t="s">
        <v>398</v>
      </c>
      <c r="N466" s="52" t="s">
        <v>399</v>
      </c>
      <c r="O466" s="52" t="str">
        <f t="shared" si="14"/>
        <v>Empate</v>
      </c>
      <c r="P466" s="52" t="str">
        <f t="shared" si="15"/>
        <v>Empate</v>
      </c>
      <c r="Q466" s="52">
        <v>1</v>
      </c>
      <c r="R466" s="52">
        <v>1</v>
      </c>
      <c r="S466" s="55" t="s">
        <v>397</v>
      </c>
      <c r="T466" s="53">
        <v>46230</v>
      </c>
    </row>
    <row r="467" spans="1:20" ht="12" customHeight="1">
      <c r="A467" s="51" t="s">
        <v>150</v>
      </c>
      <c r="B467" s="52">
        <v>4</v>
      </c>
      <c r="C467" s="53">
        <v>46194</v>
      </c>
      <c r="D467" s="54" t="s">
        <v>415</v>
      </c>
      <c r="E467" s="55" t="s">
        <v>210</v>
      </c>
      <c r="F467" s="55" t="s">
        <v>176</v>
      </c>
      <c r="G467" s="55" t="s">
        <v>169</v>
      </c>
      <c r="H467" s="56">
        <v>1</v>
      </c>
      <c r="I467" s="56">
        <v>5</v>
      </c>
      <c r="J467" s="56">
        <v>2026</v>
      </c>
      <c r="K467" s="52" t="s">
        <v>99</v>
      </c>
      <c r="L467" s="52" t="s">
        <v>137</v>
      </c>
      <c r="M467" s="52" t="s">
        <v>401</v>
      </c>
      <c r="N467" s="52" t="s">
        <v>402</v>
      </c>
      <c r="O467" s="52" t="str">
        <f t="shared" si="14"/>
        <v>U.J. Lautaro</v>
      </c>
      <c r="P467" s="52" t="str">
        <f t="shared" si="15"/>
        <v>Visita</v>
      </c>
      <c r="Q467" s="52">
        <v>0</v>
      </c>
      <c r="R467" s="52">
        <v>3</v>
      </c>
      <c r="S467" s="55" t="s">
        <v>397</v>
      </c>
      <c r="T467" s="53">
        <v>46230</v>
      </c>
    </row>
    <row r="468" spans="1:20" ht="12" customHeight="1">
      <c r="A468" s="51" t="s">
        <v>150</v>
      </c>
      <c r="B468" s="52">
        <v>5</v>
      </c>
      <c r="C468" s="53">
        <v>46201</v>
      </c>
      <c r="D468" s="54" t="s">
        <v>415</v>
      </c>
      <c r="E468" s="55" t="s">
        <v>205</v>
      </c>
      <c r="F468" s="55" t="s">
        <v>166</v>
      </c>
      <c r="G468" s="55" t="s">
        <v>172</v>
      </c>
      <c r="H468" s="56">
        <v>3</v>
      </c>
      <c r="I468" s="56">
        <v>0</v>
      </c>
      <c r="J468" s="56">
        <v>2026</v>
      </c>
      <c r="K468" s="52" t="s">
        <v>99</v>
      </c>
      <c r="L468" s="52" t="s">
        <v>137</v>
      </c>
      <c r="M468" s="52" t="s">
        <v>394</v>
      </c>
      <c r="N468" s="52" t="s">
        <v>395</v>
      </c>
      <c r="O468" s="52" t="str">
        <f t="shared" si="14"/>
        <v>Villa Alegre</v>
      </c>
      <c r="P468" s="52" t="str">
        <f t="shared" si="15"/>
        <v>Local</v>
      </c>
      <c r="Q468" s="52">
        <v>3</v>
      </c>
      <c r="R468" s="52">
        <v>0</v>
      </c>
      <c r="S468" s="55" t="s">
        <v>397</v>
      </c>
      <c r="T468" s="53">
        <v>46230</v>
      </c>
    </row>
    <row r="469" spans="1:20" ht="12" customHeight="1">
      <c r="A469" s="51" t="s">
        <v>150</v>
      </c>
      <c r="B469" s="52">
        <v>5</v>
      </c>
      <c r="C469" s="53">
        <v>46201</v>
      </c>
      <c r="D469" s="54" t="s">
        <v>415</v>
      </c>
      <c r="E469" s="55" t="s">
        <v>171</v>
      </c>
      <c r="F469" s="55" t="s">
        <v>170</v>
      </c>
      <c r="G469" s="55" t="s">
        <v>173</v>
      </c>
      <c r="H469" s="56">
        <v>0</v>
      </c>
      <c r="I469" s="56">
        <v>3</v>
      </c>
      <c r="J469" s="56">
        <v>2026</v>
      </c>
      <c r="K469" s="52" t="s">
        <v>99</v>
      </c>
      <c r="L469" s="52" t="s">
        <v>137</v>
      </c>
      <c r="M469" s="52" t="s">
        <v>398</v>
      </c>
      <c r="N469" s="52" t="s">
        <v>399</v>
      </c>
      <c r="O469" s="52" t="str">
        <f t="shared" si="14"/>
        <v>Jota Montt</v>
      </c>
      <c r="P469" s="52" t="str">
        <f t="shared" si="15"/>
        <v>Visita</v>
      </c>
      <c r="Q469" s="52">
        <v>0</v>
      </c>
      <c r="R469" s="52">
        <v>3</v>
      </c>
      <c r="S469" s="55" t="s">
        <v>397</v>
      </c>
      <c r="T469" s="53">
        <v>46230</v>
      </c>
    </row>
    <row r="470" spans="1:20" ht="12" customHeight="1">
      <c r="A470" s="51" t="s">
        <v>150</v>
      </c>
      <c r="B470" s="52">
        <v>5</v>
      </c>
      <c r="C470" s="53">
        <v>46201</v>
      </c>
      <c r="D470" s="54" t="s">
        <v>415</v>
      </c>
      <c r="E470" s="55" t="s">
        <v>210</v>
      </c>
      <c r="F470" s="55" t="s">
        <v>174</v>
      </c>
      <c r="G470" s="55" t="s">
        <v>169</v>
      </c>
      <c r="H470" s="56">
        <v>0</v>
      </c>
      <c r="I470" s="56">
        <v>3</v>
      </c>
      <c r="J470" s="56">
        <v>2026</v>
      </c>
      <c r="K470" s="52" t="s">
        <v>99</v>
      </c>
      <c r="L470" s="52" t="s">
        <v>137</v>
      </c>
      <c r="M470" s="52" t="s">
        <v>401</v>
      </c>
      <c r="N470" s="52" t="s">
        <v>402</v>
      </c>
      <c r="O470" s="52" t="str">
        <f t="shared" si="14"/>
        <v>U.J. Lautaro</v>
      </c>
      <c r="P470" s="52" t="str">
        <f t="shared" si="15"/>
        <v>Visita</v>
      </c>
      <c r="Q470" s="52">
        <v>0</v>
      </c>
      <c r="R470" s="52">
        <v>3</v>
      </c>
      <c r="S470" s="55" t="s">
        <v>397</v>
      </c>
      <c r="T470" s="53">
        <v>46230</v>
      </c>
    </row>
    <row r="471" spans="1:20" ht="12" customHeight="1">
      <c r="A471" s="51" t="s">
        <v>150</v>
      </c>
      <c r="B471" s="52">
        <v>5</v>
      </c>
      <c r="C471" s="53">
        <v>46201</v>
      </c>
      <c r="D471" s="54" t="s">
        <v>415</v>
      </c>
      <c r="E471" s="55" t="s">
        <v>210</v>
      </c>
      <c r="F471" s="55" t="s">
        <v>176</v>
      </c>
      <c r="G471" s="55" t="s">
        <v>175</v>
      </c>
      <c r="H471" s="56">
        <v>1</v>
      </c>
      <c r="I471" s="56">
        <v>3</v>
      </c>
      <c r="J471" s="56">
        <v>2026</v>
      </c>
      <c r="K471" s="52" t="s">
        <v>99</v>
      </c>
      <c r="L471" s="52" t="s">
        <v>137</v>
      </c>
      <c r="M471" s="52" t="s">
        <v>395</v>
      </c>
      <c r="N471" s="52" t="s">
        <v>396</v>
      </c>
      <c r="O471" s="52" t="str">
        <f t="shared" si="14"/>
        <v>Colo Colo</v>
      </c>
      <c r="P471" s="52" t="str">
        <f t="shared" si="15"/>
        <v>Visita</v>
      </c>
      <c r="Q471" s="52">
        <v>0</v>
      </c>
      <c r="R471" s="52">
        <v>3</v>
      </c>
      <c r="S471" s="55" t="s">
        <v>397</v>
      </c>
      <c r="T471" s="53">
        <v>46230</v>
      </c>
    </row>
    <row r="472" spans="1:20" ht="12" customHeight="1">
      <c r="A472" s="51" t="s">
        <v>150</v>
      </c>
      <c r="B472" s="52">
        <v>6</v>
      </c>
      <c r="C472" s="53">
        <v>46208</v>
      </c>
      <c r="D472" s="54" t="s">
        <v>415</v>
      </c>
      <c r="E472" s="55" t="s">
        <v>171</v>
      </c>
      <c r="F472" s="55" t="s">
        <v>170</v>
      </c>
      <c r="G472" s="55" t="s">
        <v>166</v>
      </c>
      <c r="H472" s="56">
        <v>3</v>
      </c>
      <c r="I472" s="56">
        <v>1</v>
      </c>
      <c r="J472" s="56">
        <v>2026</v>
      </c>
      <c r="K472" s="52" t="s">
        <v>99</v>
      </c>
      <c r="L472" s="52" t="s">
        <v>137</v>
      </c>
      <c r="M472" s="52" t="s">
        <v>398</v>
      </c>
      <c r="N472" s="52" t="s">
        <v>399</v>
      </c>
      <c r="O472" s="52" t="str">
        <f t="shared" si="14"/>
        <v>Forestal</v>
      </c>
      <c r="P472" s="52" t="str">
        <f t="shared" si="15"/>
        <v>Local</v>
      </c>
      <c r="Q472" s="52">
        <v>3</v>
      </c>
      <c r="R472" s="52">
        <v>0</v>
      </c>
      <c r="S472" s="55" t="s">
        <v>397</v>
      </c>
      <c r="T472" s="53">
        <v>46230</v>
      </c>
    </row>
    <row r="473" spans="1:20" ht="12" customHeight="1">
      <c r="A473" s="51" t="s">
        <v>150</v>
      </c>
      <c r="B473" s="52">
        <v>6</v>
      </c>
      <c r="C473" s="53">
        <v>46208</v>
      </c>
      <c r="D473" s="54" t="s">
        <v>415</v>
      </c>
      <c r="E473" s="55" t="s">
        <v>210</v>
      </c>
      <c r="F473" s="55" t="s">
        <v>172</v>
      </c>
      <c r="G473" s="55" t="s">
        <v>169</v>
      </c>
      <c r="H473" s="56">
        <v>2</v>
      </c>
      <c r="I473" s="56">
        <v>2</v>
      </c>
      <c r="J473" s="56">
        <v>2026</v>
      </c>
      <c r="K473" s="52" t="s">
        <v>99</v>
      </c>
      <c r="L473" s="52" t="s">
        <v>137</v>
      </c>
      <c r="M473" s="52" t="s">
        <v>401</v>
      </c>
      <c r="N473" s="52" t="s">
        <v>402</v>
      </c>
      <c r="O473" s="52" t="str">
        <f t="shared" si="14"/>
        <v>Empate</v>
      </c>
      <c r="P473" s="52" t="str">
        <f t="shared" si="15"/>
        <v>Empate</v>
      </c>
      <c r="Q473" s="52">
        <v>1</v>
      </c>
      <c r="R473" s="52">
        <v>1</v>
      </c>
      <c r="S473" s="55" t="s">
        <v>397</v>
      </c>
      <c r="T473" s="53">
        <v>46230</v>
      </c>
    </row>
    <row r="474" spans="1:20" ht="12" customHeight="1">
      <c r="A474" s="51" t="s">
        <v>150</v>
      </c>
      <c r="B474" s="52">
        <v>6</v>
      </c>
      <c r="C474" s="53">
        <v>46208</v>
      </c>
      <c r="D474" s="54" t="s">
        <v>415</v>
      </c>
      <c r="E474" s="55" t="s">
        <v>210</v>
      </c>
      <c r="F474" s="55" t="s">
        <v>176</v>
      </c>
      <c r="G474" s="55" t="s">
        <v>173</v>
      </c>
      <c r="H474" s="56">
        <v>0</v>
      </c>
      <c r="I474" s="56">
        <v>1</v>
      </c>
      <c r="J474" s="56">
        <v>2026</v>
      </c>
      <c r="K474" s="52" t="s">
        <v>99</v>
      </c>
      <c r="L474" s="52" t="s">
        <v>137</v>
      </c>
      <c r="M474" s="52" t="s">
        <v>395</v>
      </c>
      <c r="N474" s="52" t="s">
        <v>396</v>
      </c>
      <c r="O474" s="52" t="str">
        <f t="shared" si="14"/>
        <v>Jota Montt</v>
      </c>
      <c r="P474" s="52" t="str">
        <f t="shared" si="15"/>
        <v>Visita</v>
      </c>
      <c r="Q474" s="52">
        <v>0</v>
      </c>
      <c r="R474" s="52">
        <v>3</v>
      </c>
      <c r="S474" s="55" t="s">
        <v>397</v>
      </c>
      <c r="T474" s="53">
        <v>46230</v>
      </c>
    </row>
    <row r="475" spans="1:20" ht="12" customHeight="1">
      <c r="A475" s="51" t="s">
        <v>150</v>
      </c>
      <c r="B475" s="52">
        <v>6</v>
      </c>
      <c r="C475" s="53">
        <v>46208</v>
      </c>
      <c r="D475" s="54" t="s">
        <v>415</v>
      </c>
      <c r="E475" s="55" t="s">
        <v>210</v>
      </c>
      <c r="F475" s="55" t="s">
        <v>174</v>
      </c>
      <c r="G475" s="55" t="s">
        <v>175</v>
      </c>
      <c r="H475" s="56">
        <v>0</v>
      </c>
      <c r="I475" s="56">
        <v>1</v>
      </c>
      <c r="J475" s="56">
        <v>2026</v>
      </c>
      <c r="K475" s="52" t="s">
        <v>99</v>
      </c>
      <c r="L475" s="52" t="s">
        <v>137</v>
      </c>
      <c r="M475" s="52" t="s">
        <v>399</v>
      </c>
      <c r="N475" s="52" t="s">
        <v>400</v>
      </c>
      <c r="O475" s="52" t="str">
        <f t="shared" si="14"/>
        <v>Colo Colo</v>
      </c>
      <c r="P475" s="52" t="str">
        <f t="shared" si="15"/>
        <v>Visita</v>
      </c>
      <c r="Q475" s="52">
        <v>0</v>
      </c>
      <c r="R475" s="52">
        <v>3</v>
      </c>
      <c r="S475" s="55" t="s">
        <v>397</v>
      </c>
      <c r="T475" s="53">
        <v>46230</v>
      </c>
    </row>
    <row r="476" spans="1:20" ht="12" customHeight="1">
      <c r="A476" s="51" t="s">
        <v>150</v>
      </c>
      <c r="B476" s="52">
        <v>7</v>
      </c>
      <c r="C476" s="53">
        <v>46215</v>
      </c>
      <c r="D476" s="54" t="s">
        <v>415</v>
      </c>
      <c r="E476" s="55" t="s">
        <v>205</v>
      </c>
      <c r="F476" s="55" t="s">
        <v>166</v>
      </c>
      <c r="G476" s="55" t="s">
        <v>169</v>
      </c>
      <c r="H476" s="56">
        <v>1</v>
      </c>
      <c r="I476" s="56">
        <v>2</v>
      </c>
      <c r="J476" s="56">
        <v>2026</v>
      </c>
      <c r="K476" s="52" t="s">
        <v>99</v>
      </c>
      <c r="L476" s="52" t="s">
        <v>137</v>
      </c>
      <c r="M476" s="52" t="s">
        <v>401</v>
      </c>
      <c r="N476" s="52" t="s">
        <v>402</v>
      </c>
      <c r="O476" s="52" t="str">
        <f t="shared" si="14"/>
        <v>U.J. Lautaro</v>
      </c>
      <c r="P476" s="52" t="str">
        <f t="shared" si="15"/>
        <v>Visita</v>
      </c>
      <c r="Q476" s="52">
        <v>0</v>
      </c>
      <c r="R476" s="52">
        <v>3</v>
      </c>
      <c r="S476" s="55" t="s">
        <v>397</v>
      </c>
      <c r="T476" s="53">
        <v>46230</v>
      </c>
    </row>
    <row r="477" spans="1:20" ht="12" customHeight="1">
      <c r="A477" s="51" t="s">
        <v>150</v>
      </c>
      <c r="B477" s="52">
        <v>7</v>
      </c>
      <c r="C477" s="53">
        <v>46215</v>
      </c>
      <c r="D477" s="54" t="s">
        <v>415</v>
      </c>
      <c r="E477" s="55" t="s">
        <v>210</v>
      </c>
      <c r="F477" s="55" t="s">
        <v>176</v>
      </c>
      <c r="G477" s="55" t="s">
        <v>170</v>
      </c>
      <c r="H477" s="56">
        <v>0</v>
      </c>
      <c r="I477" s="56">
        <v>0</v>
      </c>
      <c r="J477" s="56">
        <v>2026</v>
      </c>
      <c r="K477" s="52" t="s">
        <v>99</v>
      </c>
      <c r="L477" s="52" t="s">
        <v>137</v>
      </c>
      <c r="M477" s="52" t="s">
        <v>395</v>
      </c>
      <c r="N477" s="52" t="s">
        <v>396</v>
      </c>
      <c r="O477" s="52" t="str">
        <f t="shared" si="14"/>
        <v>Empate</v>
      </c>
      <c r="P477" s="52" t="str">
        <f t="shared" si="15"/>
        <v>Empate</v>
      </c>
      <c r="Q477" s="52">
        <v>1</v>
      </c>
      <c r="R477" s="52">
        <v>1</v>
      </c>
      <c r="S477" s="55" t="s">
        <v>397</v>
      </c>
      <c r="T477" s="53">
        <v>46230</v>
      </c>
    </row>
    <row r="478" spans="1:20" ht="12" customHeight="1">
      <c r="A478" s="51" t="s">
        <v>150</v>
      </c>
      <c r="B478" s="52">
        <v>7</v>
      </c>
      <c r="C478" s="53">
        <v>46215</v>
      </c>
      <c r="D478" s="54" t="s">
        <v>415</v>
      </c>
      <c r="E478" s="55" t="s">
        <v>210</v>
      </c>
      <c r="F478" s="55" t="s">
        <v>172</v>
      </c>
      <c r="G478" s="55" t="s">
        <v>175</v>
      </c>
      <c r="H478" s="56">
        <v>2</v>
      </c>
      <c r="I478" s="56">
        <v>1</v>
      </c>
      <c r="J478" s="56">
        <v>2026</v>
      </c>
      <c r="K478" s="52" t="s">
        <v>99</v>
      </c>
      <c r="L478" s="52" t="s">
        <v>137</v>
      </c>
      <c r="M478" s="52" t="s">
        <v>399</v>
      </c>
      <c r="N478" s="52" t="s">
        <v>400</v>
      </c>
      <c r="O478" s="52" t="str">
        <f t="shared" si="14"/>
        <v>Grinvasul</v>
      </c>
      <c r="P478" s="52" t="str">
        <f t="shared" si="15"/>
        <v>Local</v>
      </c>
      <c r="Q478" s="52">
        <v>3</v>
      </c>
      <c r="R478" s="52">
        <v>0</v>
      </c>
      <c r="S478" s="55" t="s">
        <v>397</v>
      </c>
      <c r="T478" s="53">
        <v>46230</v>
      </c>
    </row>
    <row r="479" spans="1:20" ht="12" customHeight="1">
      <c r="A479" s="51" t="s">
        <v>150</v>
      </c>
      <c r="B479" s="52">
        <v>7</v>
      </c>
      <c r="C479" s="53">
        <v>46215</v>
      </c>
      <c r="D479" s="54" t="s">
        <v>415</v>
      </c>
      <c r="E479" s="55" t="s">
        <v>210</v>
      </c>
      <c r="F479" s="55" t="s">
        <v>174</v>
      </c>
      <c r="G479" s="55" t="s">
        <v>173</v>
      </c>
      <c r="H479" s="56">
        <v>3</v>
      </c>
      <c r="I479" s="56">
        <v>3</v>
      </c>
      <c r="J479" s="56">
        <v>2026</v>
      </c>
      <c r="K479" s="52" t="s">
        <v>99</v>
      </c>
      <c r="L479" s="52" t="s">
        <v>137</v>
      </c>
      <c r="M479" s="52" t="s">
        <v>402</v>
      </c>
      <c r="N479" s="52" t="s">
        <v>403</v>
      </c>
      <c r="O479" s="52" t="str">
        <f t="shared" si="14"/>
        <v>Empate</v>
      </c>
      <c r="P479" s="52" t="str">
        <f t="shared" si="15"/>
        <v>Empate</v>
      </c>
      <c r="Q479" s="52">
        <v>1</v>
      </c>
      <c r="R479" s="52">
        <v>1</v>
      </c>
      <c r="S479" s="55" t="s">
        <v>397</v>
      </c>
      <c r="T479" s="53">
        <v>46230</v>
      </c>
    </row>
    <row r="480" spans="1:20" ht="12" customHeight="1">
      <c r="A480" s="51" t="s">
        <v>150</v>
      </c>
      <c r="B480" s="52">
        <v>8</v>
      </c>
      <c r="C480" s="53">
        <v>46222</v>
      </c>
      <c r="D480" s="54" t="s">
        <v>415</v>
      </c>
      <c r="E480" s="55" t="s">
        <v>210</v>
      </c>
      <c r="F480" s="55" t="s">
        <v>176</v>
      </c>
      <c r="G480" s="55" t="s">
        <v>166</v>
      </c>
      <c r="H480" s="56">
        <v>1</v>
      </c>
      <c r="I480" s="56">
        <v>5</v>
      </c>
      <c r="J480" s="56">
        <v>2026</v>
      </c>
      <c r="K480" s="52" t="s">
        <v>99</v>
      </c>
      <c r="L480" s="52" t="s">
        <v>137</v>
      </c>
      <c r="M480" s="52" t="s">
        <v>395</v>
      </c>
      <c r="N480" s="52" t="s">
        <v>396</v>
      </c>
      <c r="O480" s="52" t="str">
        <f t="shared" si="14"/>
        <v>Villa Alegre</v>
      </c>
      <c r="P480" s="52" t="str">
        <f t="shared" si="15"/>
        <v>Visita</v>
      </c>
      <c r="Q480" s="52">
        <v>0</v>
      </c>
      <c r="R480" s="52">
        <v>3</v>
      </c>
      <c r="S480" s="55" t="s">
        <v>397</v>
      </c>
      <c r="T480" s="53">
        <v>46230</v>
      </c>
    </row>
    <row r="481" spans="1:20" ht="12" customHeight="1">
      <c r="A481" s="51" t="s">
        <v>150</v>
      </c>
      <c r="B481" s="52">
        <v>8</v>
      </c>
      <c r="C481" s="53">
        <v>46222</v>
      </c>
      <c r="D481" s="54" t="s">
        <v>415</v>
      </c>
      <c r="E481" s="55" t="s">
        <v>207</v>
      </c>
      <c r="F481" s="55" t="s">
        <v>169</v>
      </c>
      <c r="G481" s="55" t="s">
        <v>175</v>
      </c>
      <c r="H481" s="56">
        <v>3</v>
      </c>
      <c r="I481" s="56">
        <v>1</v>
      </c>
      <c r="J481" s="56">
        <v>2026</v>
      </c>
      <c r="K481" s="52" t="s">
        <v>99</v>
      </c>
      <c r="L481" s="52" t="s">
        <v>137</v>
      </c>
      <c r="M481" s="52" t="s">
        <v>399</v>
      </c>
      <c r="N481" s="52" t="s">
        <v>400</v>
      </c>
      <c r="O481" s="52" t="str">
        <f t="shared" si="14"/>
        <v>U.J. Lautaro</v>
      </c>
      <c r="P481" s="52" t="str">
        <f t="shared" si="15"/>
        <v>Local</v>
      </c>
      <c r="Q481" s="52">
        <v>3</v>
      </c>
      <c r="R481" s="52">
        <v>0</v>
      </c>
      <c r="S481" s="55" t="s">
        <v>397</v>
      </c>
      <c r="T481" s="53">
        <v>46230</v>
      </c>
    </row>
    <row r="482" spans="1:20" ht="12" customHeight="1">
      <c r="A482" s="51" t="s">
        <v>150</v>
      </c>
      <c r="B482" s="52">
        <v>8</v>
      </c>
      <c r="C482" s="53">
        <v>46222</v>
      </c>
      <c r="D482" s="54" t="s">
        <v>415</v>
      </c>
      <c r="E482" s="55" t="s">
        <v>210</v>
      </c>
      <c r="F482" s="55" t="s">
        <v>174</v>
      </c>
      <c r="G482" s="55" t="s">
        <v>170</v>
      </c>
      <c r="H482" s="56">
        <v>2</v>
      </c>
      <c r="I482" s="56">
        <v>2</v>
      </c>
      <c r="J482" s="56">
        <v>2026</v>
      </c>
      <c r="K482" s="52" t="s">
        <v>99</v>
      </c>
      <c r="L482" s="52" t="s">
        <v>137</v>
      </c>
      <c r="M482" s="52" t="s">
        <v>402</v>
      </c>
      <c r="N482" s="52" t="s">
        <v>403</v>
      </c>
      <c r="O482" s="52" t="str">
        <f t="shared" si="14"/>
        <v>Empate</v>
      </c>
      <c r="P482" s="52" t="str">
        <f t="shared" si="15"/>
        <v>Empate</v>
      </c>
      <c r="Q482" s="52">
        <v>1</v>
      </c>
      <c r="R482" s="52">
        <v>1</v>
      </c>
      <c r="S482" s="55" t="s">
        <v>397</v>
      </c>
      <c r="T482" s="53">
        <v>46230</v>
      </c>
    </row>
    <row r="483" spans="1:20" ht="12" customHeight="1">
      <c r="A483" s="51" t="s">
        <v>150</v>
      </c>
      <c r="B483" s="52">
        <v>8</v>
      </c>
      <c r="C483" s="53">
        <v>46222</v>
      </c>
      <c r="D483" s="54" t="s">
        <v>415</v>
      </c>
      <c r="E483" s="55" t="s">
        <v>210</v>
      </c>
      <c r="F483" s="55" t="s">
        <v>172</v>
      </c>
      <c r="G483" s="55" t="s">
        <v>173</v>
      </c>
      <c r="H483" s="56">
        <v>1</v>
      </c>
      <c r="I483" s="56">
        <v>3</v>
      </c>
      <c r="J483" s="56">
        <v>2026</v>
      </c>
      <c r="K483" s="52" t="s">
        <v>99</v>
      </c>
      <c r="L483" s="52" t="s">
        <v>137</v>
      </c>
      <c r="M483" s="52" t="s">
        <v>396</v>
      </c>
      <c r="N483" s="52" t="s">
        <v>404</v>
      </c>
      <c r="O483" s="52" t="str">
        <f t="shared" si="14"/>
        <v>Jota Montt</v>
      </c>
      <c r="P483" s="52" t="str">
        <f t="shared" si="15"/>
        <v>Visita</v>
      </c>
      <c r="Q483" s="52">
        <v>0</v>
      </c>
      <c r="R483" s="52">
        <v>3</v>
      </c>
      <c r="S483" s="55" t="s">
        <v>397</v>
      </c>
      <c r="T483" s="53">
        <v>46230</v>
      </c>
    </row>
    <row r="484" spans="1:20" ht="12" customHeight="1">
      <c r="A484" s="51" t="s">
        <v>150</v>
      </c>
      <c r="B484" s="52">
        <v>9</v>
      </c>
      <c r="C484" s="53">
        <v>46229</v>
      </c>
      <c r="D484" s="54" t="s">
        <v>415</v>
      </c>
      <c r="E484" s="55" t="s">
        <v>205</v>
      </c>
      <c r="F484" s="55" t="s">
        <v>166</v>
      </c>
      <c r="G484" s="55" t="s">
        <v>175</v>
      </c>
      <c r="H484" s="56">
        <v>4</v>
      </c>
      <c r="I484" s="56">
        <v>0</v>
      </c>
      <c r="J484" s="56">
        <v>2026</v>
      </c>
      <c r="K484" s="52" t="s">
        <v>99</v>
      </c>
      <c r="L484" s="52" t="s">
        <v>137</v>
      </c>
      <c r="M484" s="52" t="s">
        <v>399</v>
      </c>
      <c r="N484" s="52" t="s">
        <v>400</v>
      </c>
      <c r="O484" s="52" t="str">
        <f t="shared" si="14"/>
        <v>Villa Alegre</v>
      </c>
      <c r="P484" s="52" t="str">
        <f t="shared" si="15"/>
        <v>Local</v>
      </c>
      <c r="Q484" s="52">
        <v>3</v>
      </c>
      <c r="R484" s="52">
        <v>0</v>
      </c>
      <c r="S484" s="55" t="s">
        <v>397</v>
      </c>
      <c r="T484" s="53">
        <v>46230</v>
      </c>
    </row>
    <row r="485" spans="1:20" ht="12" customHeight="1">
      <c r="A485" s="51" t="s">
        <v>150</v>
      </c>
      <c r="B485" s="52">
        <v>9</v>
      </c>
      <c r="C485" s="53">
        <v>46229</v>
      </c>
      <c r="D485" s="54" t="s">
        <v>415</v>
      </c>
      <c r="E485" s="55" t="s">
        <v>210</v>
      </c>
      <c r="F485" s="55" t="s">
        <v>174</v>
      </c>
      <c r="G485" s="55" t="s">
        <v>176</v>
      </c>
      <c r="H485" s="56">
        <v>1</v>
      </c>
      <c r="I485" s="56">
        <v>0</v>
      </c>
      <c r="J485" s="56">
        <v>2026</v>
      </c>
      <c r="K485" s="52" t="s">
        <v>99</v>
      </c>
      <c r="L485" s="52" t="s">
        <v>137</v>
      </c>
      <c r="M485" s="52" t="s">
        <v>402</v>
      </c>
      <c r="N485" s="52" t="s">
        <v>403</v>
      </c>
      <c r="O485" s="52" t="str">
        <f t="shared" si="14"/>
        <v>Inca</v>
      </c>
      <c r="P485" s="52" t="str">
        <f t="shared" si="15"/>
        <v>Local</v>
      </c>
      <c r="Q485" s="52">
        <v>3</v>
      </c>
      <c r="R485" s="52">
        <v>0</v>
      </c>
      <c r="S485" s="55" t="s">
        <v>397</v>
      </c>
      <c r="T485" s="53">
        <v>46230</v>
      </c>
    </row>
    <row r="486" spans="1:20" ht="12" customHeight="1">
      <c r="A486" s="51" t="s">
        <v>150</v>
      </c>
      <c r="B486" s="52">
        <v>9</v>
      </c>
      <c r="C486" s="53">
        <v>46229</v>
      </c>
      <c r="D486" s="54" t="s">
        <v>415</v>
      </c>
      <c r="E486" s="55" t="s">
        <v>207</v>
      </c>
      <c r="F486" s="55" t="s">
        <v>169</v>
      </c>
      <c r="G486" s="55" t="s">
        <v>173</v>
      </c>
      <c r="H486" s="56">
        <v>2</v>
      </c>
      <c r="I486" s="56">
        <v>4</v>
      </c>
      <c r="J486" s="56">
        <v>2026</v>
      </c>
      <c r="K486" s="52" t="s">
        <v>99</v>
      </c>
      <c r="L486" s="52" t="s">
        <v>137</v>
      </c>
      <c r="M486" s="52" t="s">
        <v>396</v>
      </c>
      <c r="N486" s="52" t="s">
        <v>404</v>
      </c>
      <c r="O486" s="52" t="str">
        <f t="shared" si="14"/>
        <v>Jota Montt</v>
      </c>
      <c r="P486" s="52" t="str">
        <f t="shared" si="15"/>
        <v>Visita</v>
      </c>
      <c r="Q486" s="52">
        <v>0</v>
      </c>
      <c r="R486" s="52">
        <v>3</v>
      </c>
      <c r="S486" s="55" t="s">
        <v>397</v>
      </c>
      <c r="T486" s="53">
        <v>46230</v>
      </c>
    </row>
    <row r="487" spans="1:20" ht="12" customHeight="1">
      <c r="A487" s="51" t="s">
        <v>150</v>
      </c>
      <c r="B487" s="52">
        <v>9</v>
      </c>
      <c r="C487" s="53">
        <v>46229</v>
      </c>
      <c r="D487" s="54" t="s">
        <v>415</v>
      </c>
      <c r="E487" s="55" t="s">
        <v>210</v>
      </c>
      <c r="F487" s="55" t="s">
        <v>172</v>
      </c>
      <c r="G487" s="55" t="s">
        <v>170</v>
      </c>
      <c r="H487" s="56">
        <v>2</v>
      </c>
      <c r="I487" s="56">
        <v>2</v>
      </c>
      <c r="J487" s="56">
        <v>2026</v>
      </c>
      <c r="K487" s="52" t="s">
        <v>99</v>
      </c>
      <c r="L487" s="52" t="s">
        <v>137</v>
      </c>
      <c r="M487" s="52" t="s">
        <v>400</v>
      </c>
      <c r="N487" s="52" t="s">
        <v>405</v>
      </c>
      <c r="O487" s="52" t="str">
        <f t="shared" si="14"/>
        <v>Empate</v>
      </c>
      <c r="P487" s="52" t="str">
        <f t="shared" si="15"/>
        <v>Empate</v>
      </c>
      <c r="Q487" s="52">
        <v>1</v>
      </c>
      <c r="R487" s="52">
        <v>1</v>
      </c>
      <c r="S487" s="55" t="s">
        <v>397</v>
      </c>
      <c r="T487" s="53">
        <v>46230</v>
      </c>
    </row>
    <row r="488" spans="1:20" ht="12" customHeight="1">
      <c r="A488" s="51" t="s">
        <v>150</v>
      </c>
      <c r="B488" s="52">
        <v>10</v>
      </c>
      <c r="C488" s="53">
        <v>46236</v>
      </c>
      <c r="D488" s="54" t="s">
        <v>415</v>
      </c>
      <c r="E488" s="55" t="s">
        <v>210</v>
      </c>
      <c r="F488" s="55" t="s">
        <v>174</v>
      </c>
      <c r="G488" s="55" t="s">
        <v>166</v>
      </c>
      <c r="H488" s="56"/>
      <c r="I488" s="56"/>
      <c r="J488" s="56">
        <v>2026</v>
      </c>
      <c r="K488" s="52" t="s">
        <v>99</v>
      </c>
      <c r="L488" s="52" t="s">
        <v>88</v>
      </c>
      <c r="M488" s="52" t="s">
        <v>402</v>
      </c>
      <c r="N488" s="52" t="s">
        <v>403</v>
      </c>
      <c r="O488" s="52" t="str">
        <f t="shared" si="14"/>
        <v/>
      </c>
      <c r="P488" s="52" t="str">
        <f t="shared" si="15"/>
        <v/>
      </c>
      <c r="Q488" s="52"/>
      <c r="R488" s="52"/>
      <c r="S488" s="55" t="s">
        <v>407</v>
      </c>
      <c r="T488" s="53">
        <v>46230</v>
      </c>
    </row>
    <row r="489" spans="1:20" ht="12" customHeight="1">
      <c r="A489" s="51" t="s">
        <v>150</v>
      </c>
      <c r="B489" s="52">
        <v>10</v>
      </c>
      <c r="C489" s="53">
        <v>46236</v>
      </c>
      <c r="D489" s="54" t="s">
        <v>415</v>
      </c>
      <c r="E489" s="55" t="s">
        <v>207</v>
      </c>
      <c r="F489" s="55" t="s">
        <v>175</v>
      </c>
      <c r="G489" s="55" t="s">
        <v>173</v>
      </c>
      <c r="H489" s="56"/>
      <c r="I489" s="56"/>
      <c r="J489" s="56">
        <v>2026</v>
      </c>
      <c r="K489" s="52" t="s">
        <v>99</v>
      </c>
      <c r="L489" s="52" t="s">
        <v>88</v>
      </c>
      <c r="M489" s="52" t="s">
        <v>396</v>
      </c>
      <c r="N489" s="52" t="s">
        <v>404</v>
      </c>
      <c r="O489" s="52" t="str">
        <f t="shared" si="14"/>
        <v/>
      </c>
      <c r="P489" s="52" t="str">
        <f t="shared" si="15"/>
        <v/>
      </c>
      <c r="Q489" s="52"/>
      <c r="R489" s="52"/>
      <c r="S489" s="55" t="s">
        <v>407</v>
      </c>
      <c r="T489" s="53">
        <v>46230</v>
      </c>
    </row>
    <row r="490" spans="1:20" ht="12" customHeight="1">
      <c r="A490" s="51" t="s">
        <v>150</v>
      </c>
      <c r="B490" s="52">
        <v>10</v>
      </c>
      <c r="C490" s="53">
        <v>46236</v>
      </c>
      <c r="D490" s="54" t="s">
        <v>415</v>
      </c>
      <c r="E490" s="55" t="s">
        <v>210</v>
      </c>
      <c r="F490" s="55" t="s">
        <v>172</v>
      </c>
      <c r="G490" s="55" t="s">
        <v>176</v>
      </c>
      <c r="H490" s="56"/>
      <c r="I490" s="56"/>
      <c r="J490" s="56">
        <v>2026</v>
      </c>
      <c r="K490" s="52" t="s">
        <v>99</v>
      </c>
      <c r="L490" s="52" t="s">
        <v>88</v>
      </c>
      <c r="M490" s="52" t="s">
        <v>400</v>
      </c>
      <c r="N490" s="52" t="s">
        <v>405</v>
      </c>
      <c r="O490" s="52" t="str">
        <f t="shared" si="14"/>
        <v/>
      </c>
      <c r="P490" s="52" t="str">
        <f t="shared" si="15"/>
        <v/>
      </c>
      <c r="Q490" s="52"/>
      <c r="R490" s="52"/>
      <c r="S490" s="55" t="s">
        <v>407</v>
      </c>
      <c r="T490" s="53">
        <v>46230</v>
      </c>
    </row>
    <row r="491" spans="1:20" ht="12" customHeight="1">
      <c r="A491" s="51" t="s">
        <v>150</v>
      </c>
      <c r="B491" s="52">
        <v>10</v>
      </c>
      <c r="C491" s="53">
        <v>46236</v>
      </c>
      <c r="D491" s="54" t="s">
        <v>415</v>
      </c>
      <c r="E491" s="55" t="s">
        <v>207</v>
      </c>
      <c r="F491" s="55" t="s">
        <v>169</v>
      </c>
      <c r="G491" s="55" t="s">
        <v>170</v>
      </c>
      <c r="H491" s="56"/>
      <c r="I491" s="56"/>
      <c r="J491" s="56">
        <v>2026</v>
      </c>
      <c r="K491" s="52" t="s">
        <v>99</v>
      </c>
      <c r="L491" s="52" t="s">
        <v>88</v>
      </c>
      <c r="M491" s="52" t="s">
        <v>403</v>
      </c>
      <c r="N491" s="52" t="s">
        <v>406</v>
      </c>
      <c r="O491" s="52" t="str">
        <f t="shared" si="14"/>
        <v/>
      </c>
      <c r="P491" s="52" t="str">
        <f t="shared" si="15"/>
        <v/>
      </c>
      <c r="Q491" s="52"/>
      <c r="R491" s="52"/>
      <c r="S491" s="55" t="s">
        <v>407</v>
      </c>
      <c r="T491" s="53">
        <v>46230</v>
      </c>
    </row>
    <row r="492" spans="1:20" ht="12" customHeight="1">
      <c r="A492" s="51" t="s">
        <v>150</v>
      </c>
      <c r="B492" s="52">
        <v>11</v>
      </c>
      <c r="C492" s="53">
        <v>46243</v>
      </c>
      <c r="D492" s="54" t="s">
        <v>415</v>
      </c>
      <c r="E492" s="55" t="s">
        <v>205</v>
      </c>
      <c r="F492" s="55" t="s">
        <v>166</v>
      </c>
      <c r="G492" s="55" t="s">
        <v>173</v>
      </c>
      <c r="H492" s="56"/>
      <c r="I492" s="56"/>
      <c r="J492" s="56">
        <v>2026</v>
      </c>
      <c r="K492" s="52" t="s">
        <v>99</v>
      </c>
      <c r="L492" s="52" t="s">
        <v>88</v>
      </c>
      <c r="M492" s="52" t="s">
        <v>396</v>
      </c>
      <c r="N492" s="52" t="s">
        <v>404</v>
      </c>
      <c r="O492" s="52" t="str">
        <f t="shared" si="14"/>
        <v/>
      </c>
      <c r="P492" s="52" t="str">
        <f t="shared" si="15"/>
        <v/>
      </c>
      <c r="Q492" s="52"/>
      <c r="R492" s="52"/>
      <c r="S492" s="55" t="s">
        <v>407</v>
      </c>
      <c r="T492" s="53">
        <v>46230</v>
      </c>
    </row>
    <row r="493" spans="1:20" ht="12" customHeight="1">
      <c r="A493" s="51" t="s">
        <v>150</v>
      </c>
      <c r="B493" s="52">
        <v>11</v>
      </c>
      <c r="C493" s="53">
        <v>46243</v>
      </c>
      <c r="D493" s="54" t="s">
        <v>415</v>
      </c>
      <c r="E493" s="55" t="s">
        <v>210</v>
      </c>
      <c r="F493" s="55" t="s">
        <v>172</v>
      </c>
      <c r="G493" s="55" t="s">
        <v>174</v>
      </c>
      <c r="H493" s="56"/>
      <c r="I493" s="56"/>
      <c r="J493" s="56">
        <v>2026</v>
      </c>
      <c r="K493" s="52" t="s">
        <v>99</v>
      </c>
      <c r="L493" s="52" t="s">
        <v>88</v>
      </c>
      <c r="M493" s="52" t="s">
        <v>400</v>
      </c>
      <c r="N493" s="52" t="s">
        <v>405</v>
      </c>
      <c r="O493" s="52" t="str">
        <f t="shared" si="14"/>
        <v/>
      </c>
      <c r="P493" s="52" t="str">
        <f t="shared" si="15"/>
        <v/>
      </c>
      <c r="Q493" s="52"/>
      <c r="R493" s="52"/>
      <c r="S493" s="55" t="s">
        <v>407</v>
      </c>
      <c r="T493" s="53">
        <v>46230</v>
      </c>
    </row>
    <row r="494" spans="1:20" ht="12" customHeight="1">
      <c r="A494" s="51" t="s">
        <v>150</v>
      </c>
      <c r="B494" s="52">
        <v>11</v>
      </c>
      <c r="C494" s="53">
        <v>46243</v>
      </c>
      <c r="D494" s="54" t="s">
        <v>415</v>
      </c>
      <c r="E494" s="55" t="s">
        <v>207</v>
      </c>
      <c r="F494" s="55" t="s">
        <v>175</v>
      </c>
      <c r="G494" s="55" t="s">
        <v>170</v>
      </c>
      <c r="H494" s="56"/>
      <c r="I494" s="56"/>
      <c r="J494" s="56">
        <v>2026</v>
      </c>
      <c r="K494" s="52" t="s">
        <v>99</v>
      </c>
      <c r="L494" s="52" t="s">
        <v>88</v>
      </c>
      <c r="M494" s="52" t="s">
        <v>403</v>
      </c>
      <c r="N494" s="52" t="s">
        <v>406</v>
      </c>
      <c r="O494" s="52" t="str">
        <f t="shared" si="14"/>
        <v/>
      </c>
      <c r="P494" s="52" t="str">
        <f t="shared" si="15"/>
        <v/>
      </c>
      <c r="Q494" s="52"/>
      <c r="R494" s="52"/>
      <c r="S494" s="55" t="s">
        <v>407</v>
      </c>
      <c r="T494" s="53">
        <v>46230</v>
      </c>
    </row>
    <row r="495" spans="1:20" ht="12" customHeight="1">
      <c r="A495" s="51" t="s">
        <v>150</v>
      </c>
      <c r="B495" s="52">
        <v>11</v>
      </c>
      <c r="C495" s="53">
        <v>46243</v>
      </c>
      <c r="D495" s="54" t="s">
        <v>415</v>
      </c>
      <c r="E495" s="55" t="s">
        <v>207</v>
      </c>
      <c r="F495" s="55" t="s">
        <v>169</v>
      </c>
      <c r="G495" s="55" t="s">
        <v>176</v>
      </c>
      <c r="H495" s="56"/>
      <c r="I495" s="56"/>
      <c r="J495" s="56">
        <v>2026</v>
      </c>
      <c r="K495" s="52" t="s">
        <v>99</v>
      </c>
      <c r="L495" s="52" t="s">
        <v>88</v>
      </c>
      <c r="M495" s="52" t="s">
        <v>404</v>
      </c>
      <c r="N495" s="52" t="s">
        <v>394</v>
      </c>
      <c r="O495" s="52" t="str">
        <f t="shared" si="14"/>
        <v/>
      </c>
      <c r="P495" s="52" t="str">
        <f t="shared" si="15"/>
        <v/>
      </c>
      <c r="Q495" s="52"/>
      <c r="R495" s="52"/>
      <c r="S495" s="55" t="s">
        <v>407</v>
      </c>
      <c r="T495" s="53">
        <v>46230</v>
      </c>
    </row>
    <row r="496" spans="1:20" ht="12" customHeight="1">
      <c r="A496" s="51" t="s">
        <v>150</v>
      </c>
      <c r="B496" s="52">
        <v>12</v>
      </c>
      <c r="C496" s="53">
        <v>46250</v>
      </c>
      <c r="D496" s="54" t="s">
        <v>415</v>
      </c>
      <c r="E496" s="55" t="s">
        <v>210</v>
      </c>
      <c r="F496" s="55" t="s">
        <v>172</v>
      </c>
      <c r="G496" s="55" t="s">
        <v>166</v>
      </c>
      <c r="H496" s="56"/>
      <c r="I496" s="56"/>
      <c r="J496" s="56">
        <v>2026</v>
      </c>
      <c r="K496" s="52" t="s">
        <v>99</v>
      </c>
      <c r="L496" s="52" t="s">
        <v>88</v>
      </c>
      <c r="M496" s="52" t="s">
        <v>400</v>
      </c>
      <c r="N496" s="52" t="s">
        <v>405</v>
      </c>
      <c r="O496" s="52" t="str">
        <f t="shared" si="14"/>
        <v/>
      </c>
      <c r="P496" s="52" t="str">
        <f t="shared" si="15"/>
        <v/>
      </c>
      <c r="Q496" s="52"/>
      <c r="R496" s="52"/>
      <c r="S496" s="55" t="s">
        <v>407</v>
      </c>
      <c r="T496" s="53">
        <v>46230</v>
      </c>
    </row>
    <row r="497" spans="1:20" ht="12" customHeight="1">
      <c r="A497" s="51" t="s">
        <v>150</v>
      </c>
      <c r="B497" s="52">
        <v>12</v>
      </c>
      <c r="C497" s="53">
        <v>46250</v>
      </c>
      <c r="D497" s="54" t="s">
        <v>415</v>
      </c>
      <c r="E497" s="55" t="s">
        <v>205</v>
      </c>
      <c r="F497" s="55" t="s">
        <v>173</v>
      </c>
      <c r="G497" s="55" t="s">
        <v>170</v>
      </c>
      <c r="H497" s="56"/>
      <c r="I497" s="56"/>
      <c r="J497" s="56">
        <v>2026</v>
      </c>
      <c r="K497" s="52" t="s">
        <v>99</v>
      </c>
      <c r="L497" s="52" t="s">
        <v>88</v>
      </c>
      <c r="M497" s="52" t="s">
        <v>403</v>
      </c>
      <c r="N497" s="52" t="s">
        <v>406</v>
      </c>
      <c r="O497" s="52" t="str">
        <f t="shared" si="14"/>
        <v/>
      </c>
      <c r="P497" s="52" t="str">
        <f t="shared" si="15"/>
        <v/>
      </c>
      <c r="Q497" s="52"/>
      <c r="R497" s="52"/>
      <c r="S497" s="55" t="s">
        <v>407</v>
      </c>
      <c r="T497" s="53">
        <v>46230</v>
      </c>
    </row>
    <row r="498" spans="1:20" ht="12" customHeight="1">
      <c r="A498" s="51" t="s">
        <v>150</v>
      </c>
      <c r="B498" s="52">
        <v>12</v>
      </c>
      <c r="C498" s="53">
        <v>46250</v>
      </c>
      <c r="D498" s="54" t="s">
        <v>415</v>
      </c>
      <c r="E498" s="55" t="s">
        <v>207</v>
      </c>
      <c r="F498" s="55" t="s">
        <v>169</v>
      </c>
      <c r="G498" s="55" t="s">
        <v>174</v>
      </c>
      <c r="H498" s="56"/>
      <c r="I498" s="56"/>
      <c r="J498" s="56">
        <v>2026</v>
      </c>
      <c r="K498" s="52" t="s">
        <v>99</v>
      </c>
      <c r="L498" s="52" t="s">
        <v>88</v>
      </c>
      <c r="M498" s="52" t="s">
        <v>404</v>
      </c>
      <c r="N498" s="52" t="s">
        <v>394</v>
      </c>
      <c r="O498" s="52" t="str">
        <f t="shared" si="14"/>
        <v/>
      </c>
      <c r="P498" s="52" t="str">
        <f t="shared" si="15"/>
        <v/>
      </c>
      <c r="Q498" s="52"/>
      <c r="R498" s="52"/>
      <c r="S498" s="55" t="s">
        <v>407</v>
      </c>
      <c r="T498" s="53">
        <v>46230</v>
      </c>
    </row>
    <row r="499" spans="1:20" ht="12" customHeight="1">
      <c r="A499" s="51" t="s">
        <v>150</v>
      </c>
      <c r="B499" s="52">
        <v>12</v>
      </c>
      <c r="C499" s="53">
        <v>46250</v>
      </c>
      <c r="D499" s="54" t="s">
        <v>415</v>
      </c>
      <c r="E499" s="55" t="s">
        <v>207</v>
      </c>
      <c r="F499" s="55" t="s">
        <v>175</v>
      </c>
      <c r="G499" s="55" t="s">
        <v>176</v>
      </c>
      <c r="H499" s="56"/>
      <c r="I499" s="56"/>
      <c r="J499" s="56">
        <v>2026</v>
      </c>
      <c r="K499" s="52" t="s">
        <v>99</v>
      </c>
      <c r="L499" s="52" t="s">
        <v>88</v>
      </c>
      <c r="M499" s="52" t="s">
        <v>405</v>
      </c>
      <c r="N499" s="52" t="s">
        <v>398</v>
      </c>
      <c r="O499" s="52" t="str">
        <f t="shared" si="14"/>
        <v/>
      </c>
      <c r="P499" s="52" t="str">
        <f t="shared" si="15"/>
        <v/>
      </c>
      <c r="Q499" s="52"/>
      <c r="R499" s="52"/>
      <c r="S499" s="55" t="s">
        <v>407</v>
      </c>
      <c r="T499" s="53">
        <v>46230</v>
      </c>
    </row>
    <row r="500" spans="1:20" ht="12" customHeight="1">
      <c r="A500" s="51" t="s">
        <v>150</v>
      </c>
      <c r="B500" s="52">
        <v>13</v>
      </c>
      <c r="C500" s="53">
        <v>46257</v>
      </c>
      <c r="D500" s="54" t="s">
        <v>415</v>
      </c>
      <c r="E500" s="55" t="s">
        <v>205</v>
      </c>
      <c r="F500" s="55" t="s">
        <v>166</v>
      </c>
      <c r="G500" s="55" t="s">
        <v>170</v>
      </c>
      <c r="H500" s="56"/>
      <c r="I500" s="56"/>
      <c r="J500" s="56">
        <v>2026</v>
      </c>
      <c r="K500" s="52" t="s">
        <v>99</v>
      </c>
      <c r="L500" s="52" t="s">
        <v>88</v>
      </c>
      <c r="M500" s="52" t="s">
        <v>403</v>
      </c>
      <c r="N500" s="52" t="s">
        <v>406</v>
      </c>
      <c r="O500" s="52" t="str">
        <f t="shared" si="14"/>
        <v/>
      </c>
      <c r="P500" s="52" t="str">
        <f t="shared" si="15"/>
        <v/>
      </c>
      <c r="Q500" s="52"/>
      <c r="R500" s="52"/>
      <c r="S500" s="55" t="s">
        <v>407</v>
      </c>
      <c r="T500" s="53">
        <v>46230</v>
      </c>
    </row>
    <row r="501" spans="1:20" ht="12" customHeight="1">
      <c r="A501" s="51" t="s">
        <v>150</v>
      </c>
      <c r="B501" s="52">
        <v>13</v>
      </c>
      <c r="C501" s="53">
        <v>46257</v>
      </c>
      <c r="D501" s="52" t="s">
        <v>415</v>
      </c>
      <c r="E501" s="55" t="s">
        <v>207</v>
      </c>
      <c r="F501" s="55" t="s">
        <v>169</v>
      </c>
      <c r="G501" s="55" t="s">
        <v>172</v>
      </c>
      <c r="H501" s="52"/>
      <c r="I501" s="52"/>
      <c r="J501" s="52">
        <v>2026</v>
      </c>
      <c r="K501" s="52" t="s">
        <v>99</v>
      </c>
      <c r="L501" s="52" t="s">
        <v>88</v>
      </c>
      <c r="M501" s="52" t="s">
        <v>404</v>
      </c>
      <c r="N501" s="52" t="s">
        <v>394</v>
      </c>
      <c r="O501" s="52"/>
      <c r="P501" s="52"/>
      <c r="Q501" s="52"/>
      <c r="R501" s="52"/>
      <c r="S501" s="55" t="s">
        <v>407</v>
      </c>
      <c r="T501" s="53">
        <v>46230</v>
      </c>
    </row>
    <row r="502" spans="1:20" ht="12" customHeight="1">
      <c r="A502" s="51" t="s">
        <v>150</v>
      </c>
      <c r="B502" s="52">
        <v>13</v>
      </c>
      <c r="C502" s="53">
        <v>46257</v>
      </c>
      <c r="D502" s="52" t="s">
        <v>415</v>
      </c>
      <c r="E502" s="55" t="s">
        <v>205</v>
      </c>
      <c r="F502" s="55" t="s">
        <v>173</v>
      </c>
      <c r="G502" s="55" t="s">
        <v>176</v>
      </c>
      <c r="H502" s="52"/>
      <c r="I502" s="52"/>
      <c r="J502" s="52">
        <v>2026</v>
      </c>
      <c r="K502" s="52" t="s">
        <v>99</v>
      </c>
      <c r="L502" s="52" t="s">
        <v>88</v>
      </c>
      <c r="M502" s="52" t="s">
        <v>405</v>
      </c>
      <c r="N502" s="52" t="s">
        <v>398</v>
      </c>
      <c r="O502" s="52"/>
      <c r="P502" s="52"/>
      <c r="Q502" s="52"/>
      <c r="R502" s="52"/>
      <c r="S502" s="55" t="s">
        <v>407</v>
      </c>
      <c r="T502" s="53">
        <v>46230</v>
      </c>
    </row>
    <row r="503" spans="1:20" ht="12" customHeight="1">
      <c r="A503" s="51" t="s">
        <v>150</v>
      </c>
      <c r="B503" s="52">
        <v>13</v>
      </c>
      <c r="C503" s="53">
        <v>46257</v>
      </c>
      <c r="D503" s="52" t="s">
        <v>415</v>
      </c>
      <c r="E503" s="55" t="s">
        <v>207</v>
      </c>
      <c r="F503" s="55" t="s">
        <v>175</v>
      </c>
      <c r="G503" s="55" t="s">
        <v>174</v>
      </c>
      <c r="H503" s="52"/>
      <c r="I503" s="52"/>
      <c r="J503" s="52">
        <v>2026</v>
      </c>
      <c r="K503" s="52" t="s">
        <v>99</v>
      </c>
      <c r="L503" s="52" t="s">
        <v>88</v>
      </c>
      <c r="M503" s="52" t="s">
        <v>406</v>
      </c>
      <c r="N503" s="52" t="s">
        <v>401</v>
      </c>
      <c r="O503" s="52"/>
      <c r="P503" s="52"/>
      <c r="Q503" s="52"/>
      <c r="R503" s="52"/>
      <c r="S503" s="55" t="s">
        <v>407</v>
      </c>
      <c r="T503" s="53">
        <v>46230</v>
      </c>
    </row>
    <row r="504" spans="1:20" ht="12" customHeight="1">
      <c r="A504" s="51" t="s">
        <v>150</v>
      </c>
      <c r="B504" s="52">
        <v>14</v>
      </c>
      <c r="C504" s="53">
        <v>46264</v>
      </c>
      <c r="D504" s="52" t="s">
        <v>415</v>
      </c>
      <c r="E504" s="55" t="s">
        <v>207</v>
      </c>
      <c r="F504" s="55" t="s">
        <v>169</v>
      </c>
      <c r="G504" s="55" t="s">
        <v>166</v>
      </c>
      <c r="H504" s="52"/>
      <c r="I504" s="52"/>
      <c r="J504" s="52">
        <v>2026</v>
      </c>
      <c r="K504" s="52" t="s">
        <v>99</v>
      </c>
      <c r="L504" s="52" t="s">
        <v>88</v>
      </c>
      <c r="M504" s="52" t="s">
        <v>404</v>
      </c>
      <c r="N504" s="52" t="s">
        <v>394</v>
      </c>
      <c r="O504" s="52"/>
      <c r="P504" s="52"/>
      <c r="Q504" s="52"/>
      <c r="R504" s="52"/>
      <c r="S504" s="55" t="s">
        <v>407</v>
      </c>
      <c r="T504" s="53">
        <v>46230</v>
      </c>
    </row>
    <row r="505" spans="1:20" ht="12" customHeight="1">
      <c r="A505" s="51" t="s">
        <v>150</v>
      </c>
      <c r="B505" s="52">
        <v>14</v>
      </c>
      <c r="C505" s="53">
        <v>46264</v>
      </c>
      <c r="D505" s="52" t="s">
        <v>415</v>
      </c>
      <c r="E505" s="55" t="s">
        <v>171</v>
      </c>
      <c r="F505" s="55" t="s">
        <v>170</v>
      </c>
      <c r="G505" s="55" t="s">
        <v>176</v>
      </c>
      <c r="H505" s="52"/>
      <c r="I505" s="52"/>
      <c r="J505" s="52">
        <v>2026</v>
      </c>
      <c r="K505" s="52" t="s">
        <v>99</v>
      </c>
      <c r="L505" s="52" t="s">
        <v>88</v>
      </c>
      <c r="M505" s="52" t="s">
        <v>405</v>
      </c>
      <c r="N505" s="52" t="s">
        <v>398</v>
      </c>
      <c r="O505" s="52"/>
      <c r="P505" s="52"/>
      <c r="Q505" s="52"/>
      <c r="R505" s="52"/>
      <c r="S505" s="55" t="s">
        <v>407</v>
      </c>
      <c r="T505" s="53">
        <v>46230</v>
      </c>
    </row>
    <row r="506" spans="1:20" ht="12" customHeight="1">
      <c r="A506" s="51" t="s">
        <v>150</v>
      </c>
      <c r="B506" s="52">
        <v>14</v>
      </c>
      <c r="C506" s="53">
        <v>46264</v>
      </c>
      <c r="D506" s="52" t="s">
        <v>415</v>
      </c>
      <c r="E506" s="55" t="s">
        <v>207</v>
      </c>
      <c r="F506" s="55" t="s">
        <v>175</v>
      </c>
      <c r="G506" s="55" t="s">
        <v>172</v>
      </c>
      <c r="H506" s="52"/>
      <c r="I506" s="52"/>
      <c r="J506" s="52">
        <v>2026</v>
      </c>
      <c r="K506" s="52" t="s">
        <v>99</v>
      </c>
      <c r="L506" s="52" t="s">
        <v>88</v>
      </c>
      <c r="M506" s="52" t="s">
        <v>406</v>
      </c>
      <c r="N506" s="52" t="s">
        <v>401</v>
      </c>
      <c r="O506" s="52"/>
      <c r="P506" s="52"/>
      <c r="Q506" s="52"/>
      <c r="R506" s="52"/>
      <c r="S506" s="55" t="s">
        <v>407</v>
      </c>
      <c r="T506" s="53">
        <v>46230</v>
      </c>
    </row>
    <row r="507" spans="1:20" ht="12" customHeight="1">
      <c r="A507" s="51" t="s">
        <v>150</v>
      </c>
      <c r="B507" s="52">
        <v>14</v>
      </c>
      <c r="C507" s="53">
        <v>46264</v>
      </c>
      <c r="D507" s="52" t="s">
        <v>415</v>
      </c>
      <c r="E507" s="55" t="s">
        <v>205</v>
      </c>
      <c r="F507" s="55" t="s">
        <v>173</v>
      </c>
      <c r="G507" s="55" t="s">
        <v>174</v>
      </c>
      <c r="H507" s="52"/>
      <c r="I507" s="52"/>
      <c r="J507" s="52">
        <v>2026</v>
      </c>
      <c r="K507" s="52" t="s">
        <v>99</v>
      </c>
      <c r="L507" s="52" t="s">
        <v>88</v>
      </c>
      <c r="M507" s="52" t="s">
        <v>394</v>
      </c>
      <c r="N507" s="52" t="s">
        <v>395</v>
      </c>
      <c r="O507" s="52"/>
      <c r="P507" s="52"/>
      <c r="Q507" s="52"/>
      <c r="R507" s="52"/>
      <c r="S507" s="55" t="s">
        <v>407</v>
      </c>
      <c r="T507" s="53">
        <v>46230</v>
      </c>
    </row>
  </sheetData>
  <mergeCells count="1">
    <mergeCell ref="A1:T1"/>
  </mergeCells>
  <conditionalFormatting sqref="A4:T507">
    <cfRule type="expression" dxfId="34" priority="4">
      <formula>MOD(ROW(),2)=0</formula>
    </cfRule>
  </conditionalFormatting>
  <conditionalFormatting sqref="L4:L500">
    <cfRule type="expression" dxfId="33" priority="1">
      <formula>L4="Finalizado"</formula>
    </cfRule>
    <cfRule type="expression" dxfId="32" priority="2">
      <formula>L4="Suspendido"</formula>
    </cfRule>
    <cfRule type="expression" dxfId="31" priority="3">
      <formula>L4="Programado"</formula>
    </cfRule>
  </conditionalFormatting>
  <conditionalFormatting sqref="L4:L507">
    <cfRule type="expression" dxfId="30" priority="5">
      <formula>L4="Finalizado"</formula>
    </cfRule>
    <cfRule type="expression" dxfId="29" priority="6">
      <formula>L4="Programado"</formula>
    </cfRule>
  </conditionalFormatting>
  <dataValidations count="2">
    <dataValidation type="list" sqref="A4:A507" xr:uid="{00000000-0002-0000-0800-000000000000}">
      <formula1>"Segunda Adulta,Primera Adulta,Super Senior,Senior,Dorados,Honor,Tercera Infantil,Segunda Infantil,Primera Infantil"</formula1>
    </dataValidation>
    <dataValidation type="list" sqref="L4:L507" xr:uid="{00000000-0002-0000-0800-000001000000}">
      <formula1>"Programado,Reprogramado,Suspendido,En curso,Finalizado,Anulado"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00"/>
  <sheetViews>
    <sheetView workbookViewId="0">
      <selection activeCell="A7" sqref="A7"/>
    </sheetView>
  </sheetViews>
  <sheetFormatPr baseColWidth="10" defaultColWidth="8.6640625" defaultRowHeight="14"/>
  <cols>
    <col min="1" max="1" width="12.6640625" customWidth="1"/>
    <col min="2" max="2" width="14.6640625" customWidth="1"/>
    <col min="3" max="3" width="11.75" customWidth="1"/>
    <col min="4" max="4" width="2.9140625" customWidth="1"/>
    <col min="5" max="5" width="3.25" customWidth="1"/>
    <col min="6" max="7" width="3.08203125" customWidth="1"/>
    <col min="8" max="8" width="3.1640625" customWidth="1"/>
    <col min="9" max="10" width="3.4140625" customWidth="1"/>
    <col min="11" max="11" width="15.08203125" customWidth="1"/>
    <col min="12" max="12" width="15.5" customWidth="1"/>
    <col min="13" max="13" width="4.08203125" customWidth="1"/>
    <col min="14" max="14" width="7.5" customWidth="1"/>
    <col min="15" max="15" width="48" customWidth="1"/>
  </cols>
  <sheetData>
    <row r="1" spans="1:15" ht="12.65" customHeight="1">
      <c r="A1" s="43" t="s">
        <v>236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ht="12.4" customHeight="1">
      <c r="A2" s="44" t="s">
        <v>416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>
      <c r="A3" s="10"/>
    </row>
    <row r="4" spans="1:15" ht="13.4" customHeight="1">
      <c r="A4" s="11" t="s">
        <v>178</v>
      </c>
      <c r="B4" s="1" t="s">
        <v>152</v>
      </c>
      <c r="C4" s="1" t="s">
        <v>192</v>
      </c>
      <c r="D4" s="1" t="s">
        <v>237</v>
      </c>
      <c r="E4" s="1" t="s">
        <v>238</v>
      </c>
      <c r="F4" s="1" t="s">
        <v>239</v>
      </c>
      <c r="G4" s="1" t="s">
        <v>240</v>
      </c>
      <c r="H4" s="1" t="s">
        <v>241</v>
      </c>
      <c r="I4" s="1" t="s">
        <v>242</v>
      </c>
      <c r="J4" s="1" t="s">
        <v>243</v>
      </c>
      <c r="K4" s="1" t="s">
        <v>244</v>
      </c>
      <c r="L4" s="1" t="s">
        <v>245</v>
      </c>
      <c r="M4" s="1" t="s">
        <v>246</v>
      </c>
      <c r="N4" s="1" t="s">
        <v>216</v>
      </c>
      <c r="O4" s="1" t="s">
        <v>198</v>
      </c>
    </row>
    <row r="5" spans="1:15" ht="12.65" customHeight="1">
      <c r="A5" s="15" t="s">
        <v>87</v>
      </c>
      <c r="B5" s="16" t="s">
        <v>166</v>
      </c>
      <c r="C5" s="28" t="s">
        <v>89</v>
      </c>
      <c r="D5" s="31">
        <v>9</v>
      </c>
      <c r="E5" s="31">
        <v>6</v>
      </c>
      <c r="F5" s="31">
        <v>2</v>
      </c>
      <c r="G5" s="31">
        <f t="shared" ref="G5:G36" si="0">IF(C5&lt;&gt;"Sí","",D5-E5-F5)</f>
        <v>1</v>
      </c>
      <c r="H5" s="31">
        <v>15</v>
      </c>
      <c r="I5" s="31">
        <v>6</v>
      </c>
      <c r="J5" s="31">
        <f>IF(C5&lt;&gt;"Sí","",H5-I5)</f>
        <v>9</v>
      </c>
      <c r="K5" s="31">
        <v>20</v>
      </c>
      <c r="L5" s="31">
        <v>0</v>
      </c>
      <c r="M5" s="31">
        <f t="shared" ref="M5:M36" si="1">IF(C5&lt;&gt;"Sí","",K5-L5)</f>
        <v>20</v>
      </c>
      <c r="N5" s="31">
        <f t="shared" ref="N5:N36" si="2">IF(C5&lt;&gt;"Sí","",1+COUNTIFS($A$5:$A$76,A5,$C$5:$C$76,"Sí",$M$5:$M$76,"&gt;"&amp;M5)+COUNTIFS($A$5:$A$76,A5,$C$5:$C$76,"Sí",$M$5:$M$76,M5,$J$5:$J$76,"&gt;"&amp;J5)+COUNTIFS($A$5:$A$76,A5,$C$5:$C$76,"Sí",$M$5:$M$76,M5,$J$5:$J$76,J5,$H$5:$H$76,"&gt;"&amp;H5))</f>
        <v>1</v>
      </c>
      <c r="O5" s="35" t="s">
        <v>417</v>
      </c>
    </row>
    <row r="6" spans="1:15" ht="12.65" customHeight="1">
      <c r="A6" s="19" t="s">
        <v>87</v>
      </c>
      <c r="B6" s="13" t="s">
        <v>170</v>
      </c>
      <c r="C6" s="29" t="s">
        <v>89</v>
      </c>
      <c r="D6" s="32">
        <v>9</v>
      </c>
      <c r="E6" s="32">
        <v>6</v>
      </c>
      <c r="F6" s="32">
        <v>0</v>
      </c>
      <c r="G6" s="32">
        <f t="shared" si="0"/>
        <v>3</v>
      </c>
      <c r="H6" s="32">
        <v>15</v>
      </c>
      <c r="I6" s="32">
        <v>7</v>
      </c>
      <c r="J6" s="32">
        <f t="shared" ref="J6:J36" si="3">IF(C6&lt;&gt;"Sí","",H6-I6)</f>
        <v>8</v>
      </c>
      <c r="K6" s="32">
        <v>18</v>
      </c>
      <c r="L6" s="32">
        <v>0</v>
      </c>
      <c r="M6" s="32">
        <f t="shared" si="1"/>
        <v>18</v>
      </c>
      <c r="N6" s="32">
        <f t="shared" si="2"/>
        <v>2</v>
      </c>
      <c r="O6" s="36" t="s">
        <v>417</v>
      </c>
    </row>
    <row r="7" spans="1:15" ht="12.65" customHeight="1">
      <c r="A7" s="19" t="s">
        <v>87</v>
      </c>
      <c r="B7" s="13" t="s">
        <v>173</v>
      </c>
      <c r="C7" s="29" t="s">
        <v>89</v>
      </c>
      <c r="D7" s="32">
        <v>9</v>
      </c>
      <c r="E7" s="32">
        <v>5</v>
      </c>
      <c r="F7" s="32">
        <v>2</v>
      </c>
      <c r="G7" s="32">
        <f t="shared" si="0"/>
        <v>2</v>
      </c>
      <c r="H7" s="32">
        <v>12</v>
      </c>
      <c r="I7" s="32">
        <v>8</v>
      </c>
      <c r="J7" s="32">
        <f t="shared" si="3"/>
        <v>4</v>
      </c>
      <c r="K7" s="32">
        <v>17</v>
      </c>
      <c r="L7" s="32">
        <v>0</v>
      </c>
      <c r="M7" s="32">
        <f t="shared" si="1"/>
        <v>17</v>
      </c>
      <c r="N7" s="32">
        <f t="shared" si="2"/>
        <v>3</v>
      </c>
      <c r="O7" s="36" t="s">
        <v>417</v>
      </c>
    </row>
    <row r="8" spans="1:15" ht="12.65" customHeight="1">
      <c r="A8" s="19" t="s">
        <v>87</v>
      </c>
      <c r="B8" s="13" t="s">
        <v>176</v>
      </c>
      <c r="C8" s="29" t="s">
        <v>89</v>
      </c>
      <c r="D8" s="32">
        <v>9</v>
      </c>
      <c r="E8" s="32">
        <v>4</v>
      </c>
      <c r="F8" s="32">
        <v>1</v>
      </c>
      <c r="G8" s="32">
        <f t="shared" si="0"/>
        <v>4</v>
      </c>
      <c r="H8" s="32">
        <v>7</v>
      </c>
      <c r="I8" s="32">
        <v>11</v>
      </c>
      <c r="J8" s="32">
        <f t="shared" si="3"/>
        <v>-4</v>
      </c>
      <c r="K8" s="32">
        <v>13</v>
      </c>
      <c r="L8" s="32">
        <v>0</v>
      </c>
      <c r="M8" s="32">
        <f t="shared" si="1"/>
        <v>13</v>
      </c>
      <c r="N8" s="32">
        <f t="shared" si="2"/>
        <v>4</v>
      </c>
      <c r="O8" s="36" t="s">
        <v>417</v>
      </c>
    </row>
    <row r="9" spans="1:15" ht="12.65" customHeight="1">
      <c r="A9" s="19" t="s">
        <v>87</v>
      </c>
      <c r="B9" s="13" t="s">
        <v>175</v>
      </c>
      <c r="C9" s="29" t="s">
        <v>89</v>
      </c>
      <c r="D9" s="32">
        <v>9</v>
      </c>
      <c r="E9" s="32">
        <v>3</v>
      </c>
      <c r="F9" s="32">
        <v>2</v>
      </c>
      <c r="G9" s="32">
        <f t="shared" si="0"/>
        <v>4</v>
      </c>
      <c r="H9" s="32">
        <v>9</v>
      </c>
      <c r="I9" s="32">
        <v>7</v>
      </c>
      <c r="J9" s="32">
        <f t="shared" si="3"/>
        <v>2</v>
      </c>
      <c r="K9" s="32">
        <v>11</v>
      </c>
      <c r="L9" s="32">
        <v>0</v>
      </c>
      <c r="M9" s="32">
        <f t="shared" si="1"/>
        <v>11</v>
      </c>
      <c r="N9" s="32">
        <f t="shared" si="2"/>
        <v>5</v>
      </c>
      <c r="O9" s="36" t="s">
        <v>417</v>
      </c>
    </row>
    <row r="10" spans="1:15" ht="12.65" customHeight="1">
      <c r="A10" s="19" t="s">
        <v>87</v>
      </c>
      <c r="B10" s="13" t="s">
        <v>174</v>
      </c>
      <c r="C10" s="29" t="s">
        <v>89</v>
      </c>
      <c r="D10" s="32">
        <v>9</v>
      </c>
      <c r="E10" s="32">
        <v>3</v>
      </c>
      <c r="F10" s="32">
        <v>1</v>
      </c>
      <c r="G10" s="32">
        <f t="shared" si="0"/>
        <v>5</v>
      </c>
      <c r="H10" s="32">
        <v>12</v>
      </c>
      <c r="I10" s="32">
        <v>13</v>
      </c>
      <c r="J10" s="32">
        <f t="shared" si="3"/>
        <v>-1</v>
      </c>
      <c r="K10" s="32">
        <v>10</v>
      </c>
      <c r="L10" s="32">
        <v>0</v>
      </c>
      <c r="M10" s="32">
        <f t="shared" si="1"/>
        <v>10</v>
      </c>
      <c r="N10" s="32">
        <f t="shared" si="2"/>
        <v>6</v>
      </c>
      <c r="O10" s="36" t="s">
        <v>417</v>
      </c>
    </row>
    <row r="11" spans="1:15" ht="12.65" customHeight="1">
      <c r="A11" s="19" t="s">
        <v>87</v>
      </c>
      <c r="B11" s="13" t="s">
        <v>169</v>
      </c>
      <c r="C11" s="29" t="s">
        <v>89</v>
      </c>
      <c r="D11" s="32">
        <v>9</v>
      </c>
      <c r="E11" s="32">
        <v>2</v>
      </c>
      <c r="F11" s="32">
        <v>1</v>
      </c>
      <c r="G11" s="32">
        <f t="shared" si="0"/>
        <v>6</v>
      </c>
      <c r="H11" s="32">
        <v>6</v>
      </c>
      <c r="I11" s="32">
        <v>13</v>
      </c>
      <c r="J11" s="32">
        <f t="shared" si="3"/>
        <v>-7</v>
      </c>
      <c r="K11" s="32">
        <v>7</v>
      </c>
      <c r="L11" s="32">
        <v>0</v>
      </c>
      <c r="M11" s="32">
        <f t="shared" si="1"/>
        <v>7</v>
      </c>
      <c r="N11" s="32">
        <f t="shared" si="2"/>
        <v>7</v>
      </c>
      <c r="O11" s="36" t="s">
        <v>417</v>
      </c>
    </row>
    <row r="12" spans="1:15" ht="12.65" customHeight="1">
      <c r="A12" s="19" t="s">
        <v>87</v>
      </c>
      <c r="B12" s="13" t="s">
        <v>172</v>
      </c>
      <c r="C12" s="29" t="s">
        <v>89</v>
      </c>
      <c r="D12" s="32">
        <v>9</v>
      </c>
      <c r="E12" s="32">
        <v>2</v>
      </c>
      <c r="F12" s="32">
        <v>1</v>
      </c>
      <c r="G12" s="32">
        <f t="shared" si="0"/>
        <v>6</v>
      </c>
      <c r="H12" s="32">
        <v>4</v>
      </c>
      <c r="I12" s="32">
        <v>15</v>
      </c>
      <c r="J12" s="32">
        <f t="shared" si="3"/>
        <v>-11</v>
      </c>
      <c r="K12" s="32">
        <v>7</v>
      </c>
      <c r="L12" s="32">
        <v>0</v>
      </c>
      <c r="M12" s="32">
        <f t="shared" si="1"/>
        <v>7</v>
      </c>
      <c r="N12" s="32">
        <f t="shared" si="2"/>
        <v>8</v>
      </c>
      <c r="O12" s="36" t="s">
        <v>417</v>
      </c>
    </row>
    <row r="13" spans="1:15" ht="12.65" customHeight="1">
      <c r="A13" s="19" t="s">
        <v>100</v>
      </c>
      <c r="B13" s="13" t="s">
        <v>170</v>
      </c>
      <c r="C13" s="29" t="s">
        <v>89</v>
      </c>
      <c r="D13" s="32">
        <v>9</v>
      </c>
      <c r="E13" s="32">
        <v>5</v>
      </c>
      <c r="F13" s="32">
        <v>3</v>
      </c>
      <c r="G13" s="32">
        <f t="shared" si="0"/>
        <v>1</v>
      </c>
      <c r="H13" s="32">
        <v>15</v>
      </c>
      <c r="I13" s="32">
        <v>9</v>
      </c>
      <c r="J13" s="32">
        <f t="shared" si="3"/>
        <v>6</v>
      </c>
      <c r="K13" s="32">
        <v>18</v>
      </c>
      <c r="L13" s="32">
        <v>0</v>
      </c>
      <c r="M13" s="32">
        <f t="shared" si="1"/>
        <v>18</v>
      </c>
      <c r="N13" s="32">
        <f t="shared" si="2"/>
        <v>1</v>
      </c>
      <c r="O13" s="36" t="s">
        <v>417</v>
      </c>
    </row>
    <row r="14" spans="1:15" ht="12.65" customHeight="1">
      <c r="A14" s="19" t="s">
        <v>100</v>
      </c>
      <c r="B14" s="13" t="s">
        <v>173</v>
      </c>
      <c r="C14" s="29" t="s">
        <v>89</v>
      </c>
      <c r="D14" s="32">
        <v>9</v>
      </c>
      <c r="E14" s="32">
        <v>4</v>
      </c>
      <c r="F14" s="32">
        <v>4</v>
      </c>
      <c r="G14" s="32">
        <f t="shared" si="0"/>
        <v>1</v>
      </c>
      <c r="H14" s="32">
        <v>13</v>
      </c>
      <c r="I14" s="32">
        <v>10</v>
      </c>
      <c r="J14" s="32">
        <f t="shared" si="3"/>
        <v>3</v>
      </c>
      <c r="K14" s="32">
        <v>16</v>
      </c>
      <c r="L14" s="32">
        <v>0</v>
      </c>
      <c r="M14" s="32">
        <f t="shared" si="1"/>
        <v>16</v>
      </c>
      <c r="N14" s="32">
        <f t="shared" si="2"/>
        <v>2</v>
      </c>
      <c r="O14" s="36" t="s">
        <v>417</v>
      </c>
    </row>
    <row r="15" spans="1:15" ht="12.65" customHeight="1">
      <c r="A15" s="19" t="s">
        <v>100</v>
      </c>
      <c r="B15" s="13" t="s">
        <v>175</v>
      </c>
      <c r="C15" s="29" t="s">
        <v>89</v>
      </c>
      <c r="D15" s="32">
        <v>9</v>
      </c>
      <c r="E15" s="32">
        <v>4</v>
      </c>
      <c r="F15" s="32">
        <v>3</v>
      </c>
      <c r="G15" s="32">
        <f t="shared" si="0"/>
        <v>2</v>
      </c>
      <c r="H15" s="32">
        <v>15</v>
      </c>
      <c r="I15" s="32">
        <v>11</v>
      </c>
      <c r="J15" s="32">
        <f t="shared" si="3"/>
        <v>4</v>
      </c>
      <c r="K15" s="32">
        <v>15</v>
      </c>
      <c r="L15" s="32">
        <v>0</v>
      </c>
      <c r="M15" s="32">
        <f t="shared" si="1"/>
        <v>15</v>
      </c>
      <c r="N15" s="32">
        <f t="shared" si="2"/>
        <v>3</v>
      </c>
      <c r="O15" s="36" t="s">
        <v>417</v>
      </c>
    </row>
    <row r="16" spans="1:15" ht="12.65" customHeight="1">
      <c r="A16" s="19" t="s">
        <v>100</v>
      </c>
      <c r="B16" s="13" t="s">
        <v>176</v>
      </c>
      <c r="C16" s="29" t="s">
        <v>89</v>
      </c>
      <c r="D16" s="32">
        <v>9</v>
      </c>
      <c r="E16" s="32">
        <v>4</v>
      </c>
      <c r="F16" s="32">
        <v>3</v>
      </c>
      <c r="G16" s="32">
        <f t="shared" si="0"/>
        <v>2</v>
      </c>
      <c r="H16" s="32">
        <v>12</v>
      </c>
      <c r="I16" s="32">
        <v>11</v>
      </c>
      <c r="J16" s="32">
        <f t="shared" si="3"/>
        <v>1</v>
      </c>
      <c r="K16" s="32">
        <v>15</v>
      </c>
      <c r="L16" s="32">
        <v>0</v>
      </c>
      <c r="M16" s="32">
        <f t="shared" si="1"/>
        <v>15</v>
      </c>
      <c r="N16" s="32">
        <f t="shared" si="2"/>
        <v>4</v>
      </c>
      <c r="O16" s="36" t="s">
        <v>417</v>
      </c>
    </row>
    <row r="17" spans="1:15" ht="12.65" customHeight="1">
      <c r="A17" s="19" t="s">
        <v>100</v>
      </c>
      <c r="B17" s="13" t="s">
        <v>172</v>
      </c>
      <c r="C17" s="29" t="s">
        <v>89</v>
      </c>
      <c r="D17" s="32">
        <v>9</v>
      </c>
      <c r="E17" s="32">
        <v>2</v>
      </c>
      <c r="F17" s="32">
        <v>4</v>
      </c>
      <c r="G17" s="32">
        <f t="shared" si="0"/>
        <v>3</v>
      </c>
      <c r="H17" s="32">
        <v>11</v>
      </c>
      <c r="I17" s="32">
        <v>13</v>
      </c>
      <c r="J17" s="32">
        <f t="shared" si="3"/>
        <v>-2</v>
      </c>
      <c r="K17" s="32">
        <v>10</v>
      </c>
      <c r="L17" s="32">
        <v>0</v>
      </c>
      <c r="M17" s="32">
        <f t="shared" si="1"/>
        <v>10</v>
      </c>
      <c r="N17" s="32">
        <f t="shared" si="2"/>
        <v>5</v>
      </c>
      <c r="O17" s="36" t="s">
        <v>417</v>
      </c>
    </row>
    <row r="18" spans="1:15" ht="12.65" customHeight="1">
      <c r="A18" s="19" t="s">
        <v>100</v>
      </c>
      <c r="B18" s="13" t="s">
        <v>166</v>
      </c>
      <c r="C18" s="29" t="s">
        <v>89</v>
      </c>
      <c r="D18" s="32">
        <v>9</v>
      </c>
      <c r="E18" s="32">
        <v>2</v>
      </c>
      <c r="F18" s="32">
        <v>2</v>
      </c>
      <c r="G18" s="32">
        <f t="shared" si="0"/>
        <v>5</v>
      </c>
      <c r="H18" s="32">
        <v>9</v>
      </c>
      <c r="I18" s="32">
        <v>12</v>
      </c>
      <c r="J18" s="32">
        <f t="shared" si="3"/>
        <v>-3</v>
      </c>
      <c r="K18" s="32">
        <v>8</v>
      </c>
      <c r="L18" s="32">
        <v>0</v>
      </c>
      <c r="M18" s="32">
        <f t="shared" si="1"/>
        <v>8</v>
      </c>
      <c r="N18" s="32">
        <f t="shared" si="2"/>
        <v>6</v>
      </c>
      <c r="O18" s="36" t="s">
        <v>417</v>
      </c>
    </row>
    <row r="19" spans="1:15" ht="12.65" customHeight="1">
      <c r="A19" s="19" t="s">
        <v>100</v>
      </c>
      <c r="B19" s="13" t="s">
        <v>169</v>
      </c>
      <c r="C19" s="29" t="s">
        <v>89</v>
      </c>
      <c r="D19" s="32">
        <v>9</v>
      </c>
      <c r="E19" s="32">
        <v>2</v>
      </c>
      <c r="F19" s="32">
        <v>2</v>
      </c>
      <c r="G19" s="32">
        <f t="shared" si="0"/>
        <v>5</v>
      </c>
      <c r="H19" s="32">
        <v>10</v>
      </c>
      <c r="I19" s="32">
        <v>16</v>
      </c>
      <c r="J19" s="32">
        <f t="shared" si="3"/>
        <v>-6</v>
      </c>
      <c r="K19" s="32">
        <v>8</v>
      </c>
      <c r="L19" s="32">
        <v>0</v>
      </c>
      <c r="M19" s="32">
        <f t="shared" si="1"/>
        <v>8</v>
      </c>
      <c r="N19" s="32">
        <f t="shared" si="2"/>
        <v>7</v>
      </c>
      <c r="O19" s="36" t="s">
        <v>417</v>
      </c>
    </row>
    <row r="20" spans="1:15" ht="12.65" customHeight="1">
      <c r="A20" s="19" t="s">
        <v>100</v>
      </c>
      <c r="B20" s="13" t="s">
        <v>174</v>
      </c>
      <c r="C20" s="29" t="s">
        <v>89</v>
      </c>
      <c r="D20" s="32">
        <v>9</v>
      </c>
      <c r="E20" s="32">
        <v>1</v>
      </c>
      <c r="F20" s="32">
        <v>3</v>
      </c>
      <c r="G20" s="32">
        <f t="shared" si="0"/>
        <v>5</v>
      </c>
      <c r="H20" s="32">
        <v>8</v>
      </c>
      <c r="I20" s="32">
        <v>11</v>
      </c>
      <c r="J20" s="32">
        <f t="shared" si="3"/>
        <v>-3</v>
      </c>
      <c r="K20" s="32">
        <v>6</v>
      </c>
      <c r="L20" s="32">
        <v>0</v>
      </c>
      <c r="M20" s="32">
        <f t="shared" si="1"/>
        <v>6</v>
      </c>
      <c r="N20" s="32">
        <f t="shared" si="2"/>
        <v>8</v>
      </c>
      <c r="O20" s="36" t="s">
        <v>417</v>
      </c>
    </row>
    <row r="21" spans="1:15" ht="12.65" customHeight="1">
      <c r="A21" s="19" t="s">
        <v>113</v>
      </c>
      <c r="B21" s="13" t="s">
        <v>176</v>
      </c>
      <c r="C21" s="29" t="s">
        <v>89</v>
      </c>
      <c r="D21" s="32">
        <v>9</v>
      </c>
      <c r="E21" s="32">
        <v>8</v>
      </c>
      <c r="F21" s="32">
        <v>0</v>
      </c>
      <c r="G21" s="32">
        <f t="shared" si="0"/>
        <v>1</v>
      </c>
      <c r="H21" s="32">
        <v>16</v>
      </c>
      <c r="I21" s="32">
        <v>3</v>
      </c>
      <c r="J21" s="32">
        <f t="shared" si="3"/>
        <v>13</v>
      </c>
      <c r="K21" s="32">
        <v>24</v>
      </c>
      <c r="L21" s="32">
        <v>0</v>
      </c>
      <c r="M21" s="32">
        <f t="shared" si="1"/>
        <v>24</v>
      </c>
      <c r="N21" s="32">
        <f t="shared" si="2"/>
        <v>1</v>
      </c>
      <c r="O21" s="36" t="s">
        <v>417</v>
      </c>
    </row>
    <row r="22" spans="1:15" ht="12.65" customHeight="1">
      <c r="A22" s="19" t="s">
        <v>113</v>
      </c>
      <c r="B22" s="13" t="s">
        <v>170</v>
      </c>
      <c r="C22" s="29" t="s">
        <v>89</v>
      </c>
      <c r="D22" s="32">
        <v>9</v>
      </c>
      <c r="E22" s="32">
        <v>6</v>
      </c>
      <c r="F22" s="32">
        <v>0</v>
      </c>
      <c r="G22" s="32">
        <f t="shared" si="0"/>
        <v>3</v>
      </c>
      <c r="H22" s="32">
        <v>13</v>
      </c>
      <c r="I22" s="32">
        <v>5</v>
      </c>
      <c r="J22" s="32">
        <f t="shared" si="3"/>
        <v>8</v>
      </c>
      <c r="K22" s="32">
        <v>18</v>
      </c>
      <c r="L22" s="32">
        <v>0</v>
      </c>
      <c r="M22" s="32">
        <f t="shared" si="1"/>
        <v>18</v>
      </c>
      <c r="N22" s="32">
        <f t="shared" si="2"/>
        <v>2</v>
      </c>
      <c r="O22" s="36" t="s">
        <v>417</v>
      </c>
    </row>
    <row r="23" spans="1:15" ht="12.65" customHeight="1">
      <c r="A23" s="19" t="s">
        <v>113</v>
      </c>
      <c r="B23" s="13" t="s">
        <v>174</v>
      </c>
      <c r="C23" s="29" t="s">
        <v>89</v>
      </c>
      <c r="D23" s="32">
        <v>9</v>
      </c>
      <c r="E23" s="32">
        <v>4</v>
      </c>
      <c r="F23" s="32">
        <v>2</v>
      </c>
      <c r="G23" s="32">
        <f t="shared" si="0"/>
        <v>3</v>
      </c>
      <c r="H23" s="32">
        <v>12</v>
      </c>
      <c r="I23" s="32">
        <v>11</v>
      </c>
      <c r="J23" s="32">
        <f t="shared" si="3"/>
        <v>1</v>
      </c>
      <c r="K23" s="32">
        <v>14</v>
      </c>
      <c r="L23" s="32">
        <v>0</v>
      </c>
      <c r="M23" s="32">
        <f t="shared" si="1"/>
        <v>14</v>
      </c>
      <c r="N23" s="32">
        <f t="shared" si="2"/>
        <v>3</v>
      </c>
      <c r="O23" s="36" t="s">
        <v>417</v>
      </c>
    </row>
    <row r="24" spans="1:15" ht="12.65" customHeight="1">
      <c r="A24" s="19" t="s">
        <v>113</v>
      </c>
      <c r="B24" s="13" t="s">
        <v>166</v>
      </c>
      <c r="C24" s="29" t="s">
        <v>89</v>
      </c>
      <c r="D24" s="32">
        <v>9</v>
      </c>
      <c r="E24" s="32">
        <v>4</v>
      </c>
      <c r="F24" s="32">
        <v>1</v>
      </c>
      <c r="G24" s="32">
        <f t="shared" si="0"/>
        <v>4</v>
      </c>
      <c r="H24" s="32">
        <v>8</v>
      </c>
      <c r="I24" s="32">
        <v>9</v>
      </c>
      <c r="J24" s="32">
        <f t="shared" si="3"/>
        <v>-1</v>
      </c>
      <c r="K24" s="32">
        <v>13</v>
      </c>
      <c r="L24" s="32">
        <v>0</v>
      </c>
      <c r="M24" s="32">
        <f t="shared" si="1"/>
        <v>13</v>
      </c>
      <c r="N24" s="32">
        <f t="shared" si="2"/>
        <v>4</v>
      </c>
      <c r="O24" s="36" t="s">
        <v>417</v>
      </c>
    </row>
    <row r="25" spans="1:15" ht="12.65" customHeight="1">
      <c r="A25" s="19" t="s">
        <v>113</v>
      </c>
      <c r="B25" s="13" t="s">
        <v>172</v>
      </c>
      <c r="C25" s="29" t="s">
        <v>89</v>
      </c>
      <c r="D25" s="32">
        <v>9</v>
      </c>
      <c r="E25" s="32">
        <v>3</v>
      </c>
      <c r="F25" s="32">
        <v>3</v>
      </c>
      <c r="G25" s="32">
        <f t="shared" si="0"/>
        <v>3</v>
      </c>
      <c r="H25" s="32">
        <v>11</v>
      </c>
      <c r="I25" s="32">
        <v>13</v>
      </c>
      <c r="J25" s="32">
        <f t="shared" si="3"/>
        <v>-2</v>
      </c>
      <c r="K25" s="32">
        <v>12</v>
      </c>
      <c r="L25" s="32">
        <v>0</v>
      </c>
      <c r="M25" s="32">
        <f t="shared" si="1"/>
        <v>12</v>
      </c>
      <c r="N25" s="32">
        <f t="shared" si="2"/>
        <v>5</v>
      </c>
      <c r="O25" s="36" t="s">
        <v>417</v>
      </c>
    </row>
    <row r="26" spans="1:15" ht="12.65" customHeight="1">
      <c r="A26" s="19" t="s">
        <v>113</v>
      </c>
      <c r="B26" s="13" t="s">
        <v>175</v>
      </c>
      <c r="C26" s="29" t="s">
        <v>89</v>
      </c>
      <c r="D26" s="32">
        <v>9</v>
      </c>
      <c r="E26" s="32">
        <v>2</v>
      </c>
      <c r="F26" s="32">
        <v>2</v>
      </c>
      <c r="G26" s="32">
        <f t="shared" si="0"/>
        <v>5</v>
      </c>
      <c r="H26" s="32">
        <v>7</v>
      </c>
      <c r="I26" s="32">
        <v>11</v>
      </c>
      <c r="J26" s="32">
        <f t="shared" si="3"/>
        <v>-4</v>
      </c>
      <c r="K26" s="32">
        <v>8</v>
      </c>
      <c r="L26" s="32">
        <v>0</v>
      </c>
      <c r="M26" s="32">
        <f t="shared" si="1"/>
        <v>8</v>
      </c>
      <c r="N26" s="32">
        <f t="shared" si="2"/>
        <v>6</v>
      </c>
      <c r="O26" s="36" t="s">
        <v>417</v>
      </c>
    </row>
    <row r="27" spans="1:15" ht="12.65" customHeight="1">
      <c r="A27" s="19" t="s">
        <v>113</v>
      </c>
      <c r="B27" s="13" t="s">
        <v>169</v>
      </c>
      <c r="C27" s="29" t="s">
        <v>89</v>
      </c>
      <c r="D27" s="32">
        <v>9</v>
      </c>
      <c r="E27" s="32">
        <v>2</v>
      </c>
      <c r="F27" s="32">
        <v>1</v>
      </c>
      <c r="G27" s="32">
        <f t="shared" si="0"/>
        <v>6</v>
      </c>
      <c r="H27" s="32">
        <v>8</v>
      </c>
      <c r="I27" s="32">
        <v>17</v>
      </c>
      <c r="J27" s="32">
        <f t="shared" si="3"/>
        <v>-9</v>
      </c>
      <c r="K27" s="32">
        <v>7</v>
      </c>
      <c r="L27" s="32">
        <v>0</v>
      </c>
      <c r="M27" s="32">
        <f t="shared" si="1"/>
        <v>7</v>
      </c>
      <c r="N27" s="32">
        <f t="shared" si="2"/>
        <v>7</v>
      </c>
      <c r="O27" s="36" t="s">
        <v>417</v>
      </c>
    </row>
    <row r="28" spans="1:15" ht="12.65" customHeight="1">
      <c r="A28" s="19" t="s">
        <v>113</v>
      </c>
      <c r="B28" s="13" t="s">
        <v>173</v>
      </c>
      <c r="C28" s="29" t="s">
        <v>89</v>
      </c>
      <c r="D28" s="32">
        <v>9</v>
      </c>
      <c r="E28" s="32">
        <v>1</v>
      </c>
      <c r="F28" s="32">
        <v>3</v>
      </c>
      <c r="G28" s="32">
        <f t="shared" si="0"/>
        <v>5</v>
      </c>
      <c r="H28" s="32">
        <v>9</v>
      </c>
      <c r="I28" s="32">
        <v>15</v>
      </c>
      <c r="J28" s="32">
        <f t="shared" si="3"/>
        <v>-6</v>
      </c>
      <c r="K28" s="32">
        <v>6</v>
      </c>
      <c r="L28" s="32">
        <v>0</v>
      </c>
      <c r="M28" s="32">
        <f t="shared" si="1"/>
        <v>6</v>
      </c>
      <c r="N28" s="32">
        <f t="shared" si="2"/>
        <v>8</v>
      </c>
      <c r="O28" s="36" t="s">
        <v>417</v>
      </c>
    </row>
    <row r="29" spans="1:15" ht="12.65" customHeight="1">
      <c r="A29" s="19" t="s">
        <v>125</v>
      </c>
      <c r="B29" s="13" t="s">
        <v>166</v>
      </c>
      <c r="C29" s="29" t="s">
        <v>89</v>
      </c>
      <c r="D29" s="32">
        <v>9</v>
      </c>
      <c r="E29" s="32">
        <v>5</v>
      </c>
      <c r="F29" s="32">
        <v>3</v>
      </c>
      <c r="G29" s="32">
        <f t="shared" si="0"/>
        <v>1</v>
      </c>
      <c r="H29" s="32">
        <v>19</v>
      </c>
      <c r="I29" s="32">
        <v>7</v>
      </c>
      <c r="J29" s="32">
        <f t="shared" si="3"/>
        <v>12</v>
      </c>
      <c r="K29" s="32">
        <v>18</v>
      </c>
      <c r="L29" s="32">
        <v>0</v>
      </c>
      <c r="M29" s="32">
        <f t="shared" si="1"/>
        <v>18</v>
      </c>
      <c r="N29" s="32">
        <f t="shared" si="2"/>
        <v>1</v>
      </c>
      <c r="O29" s="36" t="s">
        <v>417</v>
      </c>
    </row>
    <row r="30" spans="1:15" ht="12.65" customHeight="1">
      <c r="A30" s="19" t="s">
        <v>125</v>
      </c>
      <c r="B30" s="13" t="s">
        <v>170</v>
      </c>
      <c r="C30" s="29" t="s">
        <v>89</v>
      </c>
      <c r="D30" s="32">
        <v>9</v>
      </c>
      <c r="E30" s="32">
        <v>5</v>
      </c>
      <c r="F30" s="32">
        <v>2</v>
      </c>
      <c r="G30" s="32">
        <f t="shared" si="0"/>
        <v>2</v>
      </c>
      <c r="H30" s="32">
        <v>11</v>
      </c>
      <c r="I30" s="32">
        <v>9</v>
      </c>
      <c r="J30" s="32">
        <f t="shared" si="3"/>
        <v>2</v>
      </c>
      <c r="K30" s="32">
        <v>17</v>
      </c>
      <c r="L30" s="32">
        <v>0</v>
      </c>
      <c r="M30" s="32">
        <f t="shared" si="1"/>
        <v>17</v>
      </c>
      <c r="N30" s="32">
        <f t="shared" si="2"/>
        <v>2</v>
      </c>
      <c r="O30" s="36" t="s">
        <v>417</v>
      </c>
    </row>
    <row r="31" spans="1:15" ht="12.65" customHeight="1">
      <c r="A31" s="19" t="s">
        <v>125</v>
      </c>
      <c r="B31" s="13" t="s">
        <v>173</v>
      </c>
      <c r="C31" s="29" t="s">
        <v>89</v>
      </c>
      <c r="D31" s="32">
        <v>9</v>
      </c>
      <c r="E31" s="32">
        <v>5</v>
      </c>
      <c r="F31" s="32">
        <v>0</v>
      </c>
      <c r="G31" s="32">
        <f t="shared" si="0"/>
        <v>4</v>
      </c>
      <c r="H31" s="32">
        <v>11</v>
      </c>
      <c r="I31" s="32">
        <v>10</v>
      </c>
      <c r="J31" s="32">
        <f t="shared" si="3"/>
        <v>1</v>
      </c>
      <c r="K31" s="32">
        <v>15</v>
      </c>
      <c r="L31" s="32">
        <v>0</v>
      </c>
      <c r="M31" s="32">
        <f t="shared" si="1"/>
        <v>15</v>
      </c>
      <c r="N31" s="32">
        <f t="shared" si="2"/>
        <v>3</v>
      </c>
      <c r="O31" s="36" t="s">
        <v>417</v>
      </c>
    </row>
    <row r="32" spans="1:15" ht="12.65" customHeight="1">
      <c r="A32" s="19" t="s">
        <v>125</v>
      </c>
      <c r="B32" s="13" t="s">
        <v>169</v>
      </c>
      <c r="C32" s="29" t="s">
        <v>89</v>
      </c>
      <c r="D32" s="32">
        <v>9</v>
      </c>
      <c r="E32" s="32">
        <v>4</v>
      </c>
      <c r="F32" s="32">
        <v>2</v>
      </c>
      <c r="G32" s="32">
        <f t="shared" si="0"/>
        <v>3</v>
      </c>
      <c r="H32" s="32">
        <v>13</v>
      </c>
      <c r="I32" s="32">
        <v>9</v>
      </c>
      <c r="J32" s="32">
        <f t="shared" si="3"/>
        <v>4</v>
      </c>
      <c r="K32" s="32">
        <v>14</v>
      </c>
      <c r="L32" s="32">
        <v>0</v>
      </c>
      <c r="M32" s="32">
        <f t="shared" si="1"/>
        <v>14</v>
      </c>
      <c r="N32" s="32">
        <f t="shared" si="2"/>
        <v>4</v>
      </c>
      <c r="O32" s="36" t="s">
        <v>417</v>
      </c>
    </row>
    <row r="33" spans="1:15" ht="12.65" customHeight="1">
      <c r="A33" s="19" t="s">
        <v>125</v>
      </c>
      <c r="B33" s="13" t="s">
        <v>176</v>
      </c>
      <c r="C33" s="29" t="s">
        <v>89</v>
      </c>
      <c r="D33" s="32">
        <v>9</v>
      </c>
      <c r="E33" s="32">
        <v>3</v>
      </c>
      <c r="F33" s="32">
        <v>4</v>
      </c>
      <c r="G33" s="32">
        <f t="shared" si="0"/>
        <v>2</v>
      </c>
      <c r="H33" s="32">
        <v>9</v>
      </c>
      <c r="I33" s="32">
        <v>9</v>
      </c>
      <c r="J33" s="32">
        <f t="shared" si="3"/>
        <v>0</v>
      </c>
      <c r="K33" s="32">
        <v>13</v>
      </c>
      <c r="L33" s="32">
        <v>0</v>
      </c>
      <c r="M33" s="32">
        <f t="shared" si="1"/>
        <v>13</v>
      </c>
      <c r="N33" s="32">
        <f t="shared" si="2"/>
        <v>5</v>
      </c>
      <c r="O33" s="36" t="s">
        <v>417</v>
      </c>
    </row>
    <row r="34" spans="1:15" ht="12.65" customHeight="1">
      <c r="A34" s="19" t="s">
        <v>125</v>
      </c>
      <c r="B34" s="13" t="s">
        <v>174</v>
      </c>
      <c r="C34" s="29" t="s">
        <v>89</v>
      </c>
      <c r="D34" s="32">
        <v>9</v>
      </c>
      <c r="E34" s="32">
        <v>2</v>
      </c>
      <c r="F34" s="32">
        <v>3</v>
      </c>
      <c r="G34" s="32">
        <f t="shared" si="0"/>
        <v>4</v>
      </c>
      <c r="H34" s="32">
        <v>10</v>
      </c>
      <c r="I34" s="32">
        <v>10</v>
      </c>
      <c r="J34" s="32">
        <f t="shared" si="3"/>
        <v>0</v>
      </c>
      <c r="K34" s="32">
        <v>9</v>
      </c>
      <c r="L34" s="32">
        <v>0</v>
      </c>
      <c r="M34" s="32">
        <f t="shared" si="1"/>
        <v>9</v>
      </c>
      <c r="N34" s="32">
        <f t="shared" si="2"/>
        <v>6</v>
      </c>
      <c r="O34" s="36" t="s">
        <v>417</v>
      </c>
    </row>
    <row r="35" spans="1:15" ht="12.65" customHeight="1">
      <c r="A35" s="19" t="s">
        <v>125</v>
      </c>
      <c r="B35" s="13" t="s">
        <v>172</v>
      </c>
      <c r="C35" s="29" t="s">
        <v>89</v>
      </c>
      <c r="D35" s="32">
        <v>9</v>
      </c>
      <c r="E35" s="32">
        <v>2</v>
      </c>
      <c r="F35" s="32">
        <v>2</v>
      </c>
      <c r="G35" s="32">
        <f t="shared" si="0"/>
        <v>5</v>
      </c>
      <c r="H35" s="32">
        <v>8</v>
      </c>
      <c r="I35" s="32">
        <v>14</v>
      </c>
      <c r="J35" s="32">
        <f t="shared" si="3"/>
        <v>-6</v>
      </c>
      <c r="K35" s="32">
        <v>8</v>
      </c>
      <c r="L35" s="32">
        <v>0</v>
      </c>
      <c r="M35" s="32">
        <f t="shared" si="1"/>
        <v>8</v>
      </c>
      <c r="N35" s="32">
        <f t="shared" si="2"/>
        <v>7</v>
      </c>
      <c r="O35" s="36" t="s">
        <v>417</v>
      </c>
    </row>
    <row r="36" spans="1:15" ht="12.65" customHeight="1">
      <c r="A36" s="19" t="s">
        <v>125</v>
      </c>
      <c r="B36" s="13" t="s">
        <v>175</v>
      </c>
      <c r="C36" s="29" t="s">
        <v>89</v>
      </c>
      <c r="D36" s="32">
        <v>9</v>
      </c>
      <c r="E36" s="32">
        <v>1</v>
      </c>
      <c r="F36" s="32">
        <v>2</v>
      </c>
      <c r="G36" s="32">
        <f t="shared" si="0"/>
        <v>6</v>
      </c>
      <c r="H36" s="32">
        <v>6</v>
      </c>
      <c r="I36" s="32">
        <v>19</v>
      </c>
      <c r="J36" s="32">
        <f t="shared" si="3"/>
        <v>-13</v>
      </c>
      <c r="K36" s="32">
        <v>5</v>
      </c>
      <c r="L36" s="32">
        <v>0</v>
      </c>
      <c r="M36" s="32">
        <f t="shared" si="1"/>
        <v>5</v>
      </c>
      <c r="N36" s="32">
        <f t="shared" si="2"/>
        <v>8</v>
      </c>
      <c r="O36" s="36" t="s">
        <v>417</v>
      </c>
    </row>
    <row r="37" spans="1:15" ht="12.65" customHeight="1">
      <c r="A37" s="19" t="s">
        <v>136</v>
      </c>
      <c r="B37" s="13" t="s">
        <v>170</v>
      </c>
      <c r="C37" s="29" t="s">
        <v>89</v>
      </c>
      <c r="D37" s="32">
        <v>9</v>
      </c>
      <c r="E37" s="32">
        <v>7</v>
      </c>
      <c r="F37" s="32">
        <v>0</v>
      </c>
      <c r="G37" s="32">
        <f t="shared" ref="G37:G68" si="4">IF(C37&lt;&gt;"Sí","",D37-E37-F37)</f>
        <v>2</v>
      </c>
      <c r="H37" s="32">
        <v>21</v>
      </c>
      <c r="I37" s="32">
        <v>4</v>
      </c>
      <c r="J37" s="32">
        <f t="shared" ref="J37:J68" si="5">IF(C37&lt;&gt;"Sí","",H37-I37)</f>
        <v>17</v>
      </c>
      <c r="K37" s="32">
        <v>21</v>
      </c>
      <c r="L37" s="32">
        <v>0</v>
      </c>
      <c r="M37" s="32">
        <f t="shared" ref="M37:M68" si="6">IF(C37&lt;&gt;"Sí","",K37-L37)</f>
        <v>21</v>
      </c>
      <c r="N37" s="32">
        <f t="shared" ref="N37:N68" si="7">IF(C37&lt;&gt;"Sí","",1+COUNTIFS($A$5:$A$76,A37,$C$5:$C$76,"Sí",$M$5:$M$76,"&gt;"&amp;M37)+COUNTIFS($A$5:$A$76,A37,$C$5:$C$76,"Sí",$M$5:$M$76,M37,$J$5:$J$76,"&gt;"&amp;J37)+COUNTIFS($A$5:$A$76,A37,$C$5:$C$76,"Sí",$M$5:$M$76,M37,$J$5:$J$76,J37,$H$5:$H$76,"&gt;"&amp;H37))</f>
        <v>1</v>
      </c>
      <c r="O37" s="36" t="s">
        <v>417</v>
      </c>
    </row>
    <row r="38" spans="1:15" ht="12.65" customHeight="1">
      <c r="A38" s="19" t="s">
        <v>136</v>
      </c>
      <c r="B38" s="13" t="s">
        <v>166</v>
      </c>
      <c r="C38" s="29" t="s">
        <v>89</v>
      </c>
      <c r="D38" s="32">
        <v>9</v>
      </c>
      <c r="E38" s="32">
        <v>4</v>
      </c>
      <c r="F38" s="32">
        <v>3</v>
      </c>
      <c r="G38" s="32">
        <f t="shared" si="4"/>
        <v>2</v>
      </c>
      <c r="H38" s="32">
        <v>11</v>
      </c>
      <c r="I38" s="32">
        <v>9</v>
      </c>
      <c r="J38" s="32">
        <f t="shared" si="5"/>
        <v>2</v>
      </c>
      <c r="K38" s="32">
        <v>15</v>
      </c>
      <c r="L38" s="32">
        <v>0</v>
      </c>
      <c r="M38" s="32">
        <f t="shared" si="6"/>
        <v>15</v>
      </c>
      <c r="N38" s="32">
        <f t="shared" si="7"/>
        <v>2</v>
      </c>
      <c r="O38" s="36" t="s">
        <v>417</v>
      </c>
    </row>
    <row r="39" spans="1:15" ht="12.65" customHeight="1">
      <c r="A39" s="19" t="s">
        <v>136</v>
      </c>
      <c r="B39" s="13" t="s">
        <v>176</v>
      </c>
      <c r="C39" s="29" t="s">
        <v>89</v>
      </c>
      <c r="D39" s="32">
        <v>9</v>
      </c>
      <c r="E39" s="32">
        <v>4</v>
      </c>
      <c r="F39" s="32">
        <v>2</v>
      </c>
      <c r="G39" s="32">
        <f t="shared" si="4"/>
        <v>3</v>
      </c>
      <c r="H39" s="32">
        <v>16</v>
      </c>
      <c r="I39" s="32">
        <v>11</v>
      </c>
      <c r="J39" s="32">
        <f t="shared" si="5"/>
        <v>5</v>
      </c>
      <c r="K39" s="32">
        <v>14</v>
      </c>
      <c r="L39" s="32">
        <v>0</v>
      </c>
      <c r="M39" s="32">
        <f t="shared" si="6"/>
        <v>14</v>
      </c>
      <c r="N39" s="32">
        <f t="shared" si="7"/>
        <v>3</v>
      </c>
      <c r="O39" s="36" t="s">
        <v>417</v>
      </c>
    </row>
    <row r="40" spans="1:15" ht="12.65" customHeight="1">
      <c r="A40" s="19" t="s">
        <v>136</v>
      </c>
      <c r="B40" s="13" t="s">
        <v>174</v>
      </c>
      <c r="C40" s="29" t="s">
        <v>89</v>
      </c>
      <c r="D40" s="32">
        <v>9</v>
      </c>
      <c r="E40" s="32">
        <v>4</v>
      </c>
      <c r="F40" s="32">
        <v>1</v>
      </c>
      <c r="G40" s="32">
        <f t="shared" si="4"/>
        <v>4</v>
      </c>
      <c r="H40" s="32">
        <v>11</v>
      </c>
      <c r="I40" s="32">
        <v>9</v>
      </c>
      <c r="J40" s="32">
        <f t="shared" si="5"/>
        <v>2</v>
      </c>
      <c r="K40" s="32">
        <v>13</v>
      </c>
      <c r="L40" s="32">
        <v>0</v>
      </c>
      <c r="M40" s="32">
        <f t="shared" si="6"/>
        <v>13</v>
      </c>
      <c r="N40" s="32">
        <f t="shared" si="7"/>
        <v>4</v>
      </c>
      <c r="O40" s="36" t="s">
        <v>417</v>
      </c>
    </row>
    <row r="41" spans="1:15" ht="12.65" customHeight="1">
      <c r="A41" s="19" t="s">
        <v>136</v>
      </c>
      <c r="B41" s="13" t="s">
        <v>169</v>
      </c>
      <c r="C41" s="29" t="s">
        <v>89</v>
      </c>
      <c r="D41" s="32">
        <v>9</v>
      </c>
      <c r="E41" s="32">
        <v>4</v>
      </c>
      <c r="F41" s="32">
        <v>1</v>
      </c>
      <c r="G41" s="32">
        <f t="shared" si="4"/>
        <v>4</v>
      </c>
      <c r="H41" s="32">
        <v>13</v>
      </c>
      <c r="I41" s="32">
        <v>13</v>
      </c>
      <c r="J41" s="32">
        <f t="shared" si="5"/>
        <v>0</v>
      </c>
      <c r="K41" s="32">
        <v>13</v>
      </c>
      <c r="L41" s="32">
        <v>0</v>
      </c>
      <c r="M41" s="32">
        <f t="shared" si="6"/>
        <v>13</v>
      </c>
      <c r="N41" s="32">
        <f t="shared" si="7"/>
        <v>5</v>
      </c>
      <c r="O41" s="36" t="s">
        <v>417</v>
      </c>
    </row>
    <row r="42" spans="1:15" ht="12.65" customHeight="1">
      <c r="A42" s="19" t="s">
        <v>136</v>
      </c>
      <c r="B42" s="13" t="s">
        <v>172</v>
      </c>
      <c r="C42" s="29" t="s">
        <v>89</v>
      </c>
      <c r="D42" s="32">
        <v>9</v>
      </c>
      <c r="E42" s="32">
        <v>4</v>
      </c>
      <c r="F42" s="32">
        <v>1</v>
      </c>
      <c r="G42" s="32">
        <f t="shared" si="4"/>
        <v>4</v>
      </c>
      <c r="H42" s="32">
        <v>7</v>
      </c>
      <c r="I42" s="32">
        <v>13</v>
      </c>
      <c r="J42" s="32">
        <f t="shared" si="5"/>
        <v>-6</v>
      </c>
      <c r="K42" s="32">
        <v>13</v>
      </c>
      <c r="L42" s="32">
        <v>0</v>
      </c>
      <c r="M42" s="32">
        <f t="shared" si="6"/>
        <v>13</v>
      </c>
      <c r="N42" s="32">
        <f t="shared" si="7"/>
        <v>6</v>
      </c>
      <c r="O42" s="36" t="s">
        <v>417</v>
      </c>
    </row>
    <row r="43" spans="1:15" ht="12.65" customHeight="1">
      <c r="A43" s="19" t="s">
        <v>136</v>
      </c>
      <c r="B43" s="13" t="s">
        <v>175</v>
      </c>
      <c r="C43" s="29" t="s">
        <v>89</v>
      </c>
      <c r="D43" s="32">
        <v>9</v>
      </c>
      <c r="E43" s="32">
        <v>2</v>
      </c>
      <c r="F43" s="32">
        <v>1</v>
      </c>
      <c r="G43" s="32">
        <f t="shared" si="4"/>
        <v>6</v>
      </c>
      <c r="H43" s="32">
        <v>8</v>
      </c>
      <c r="I43" s="32">
        <v>17</v>
      </c>
      <c r="J43" s="32">
        <f t="shared" si="5"/>
        <v>-9</v>
      </c>
      <c r="K43" s="32">
        <v>7</v>
      </c>
      <c r="L43" s="32">
        <v>0</v>
      </c>
      <c r="M43" s="32">
        <f t="shared" si="6"/>
        <v>7</v>
      </c>
      <c r="N43" s="32">
        <f t="shared" si="7"/>
        <v>7</v>
      </c>
      <c r="O43" s="36" t="s">
        <v>417</v>
      </c>
    </row>
    <row r="44" spans="1:15" ht="12.65" customHeight="1">
      <c r="A44" s="19" t="s">
        <v>136</v>
      </c>
      <c r="B44" s="13" t="s">
        <v>173</v>
      </c>
      <c r="C44" s="29" t="s">
        <v>89</v>
      </c>
      <c r="D44" s="32">
        <v>9</v>
      </c>
      <c r="E44" s="32">
        <v>2</v>
      </c>
      <c r="F44" s="32">
        <v>1</v>
      </c>
      <c r="G44" s="32">
        <f t="shared" si="4"/>
        <v>6</v>
      </c>
      <c r="H44" s="32">
        <v>5</v>
      </c>
      <c r="I44" s="32">
        <v>16</v>
      </c>
      <c r="J44" s="32">
        <f t="shared" si="5"/>
        <v>-11</v>
      </c>
      <c r="K44" s="32">
        <v>7</v>
      </c>
      <c r="L44" s="32">
        <v>0</v>
      </c>
      <c r="M44" s="32">
        <f t="shared" si="6"/>
        <v>7</v>
      </c>
      <c r="N44" s="32">
        <f t="shared" si="7"/>
        <v>8</v>
      </c>
      <c r="O44" s="36" t="s">
        <v>417</v>
      </c>
    </row>
    <row r="45" spans="1:15" ht="12.65" customHeight="1">
      <c r="A45" s="19" t="s">
        <v>143</v>
      </c>
      <c r="B45" s="13" t="s">
        <v>166</v>
      </c>
      <c r="C45" s="29" t="s">
        <v>89</v>
      </c>
      <c r="D45" s="32">
        <v>9</v>
      </c>
      <c r="E45" s="32">
        <v>5</v>
      </c>
      <c r="F45" s="32">
        <v>2</v>
      </c>
      <c r="G45" s="32">
        <f t="shared" si="4"/>
        <v>2</v>
      </c>
      <c r="H45" s="32">
        <v>12</v>
      </c>
      <c r="I45" s="32">
        <v>6</v>
      </c>
      <c r="J45" s="32">
        <f t="shared" si="5"/>
        <v>6</v>
      </c>
      <c r="K45" s="32">
        <v>17</v>
      </c>
      <c r="L45" s="32">
        <v>0</v>
      </c>
      <c r="M45" s="32">
        <f t="shared" si="6"/>
        <v>17</v>
      </c>
      <c r="N45" s="32">
        <f t="shared" si="7"/>
        <v>1</v>
      </c>
      <c r="O45" s="36" t="s">
        <v>417</v>
      </c>
    </row>
    <row r="46" spans="1:15" ht="12.65" customHeight="1">
      <c r="A46" s="19" t="s">
        <v>143</v>
      </c>
      <c r="B46" s="13" t="s">
        <v>169</v>
      </c>
      <c r="C46" s="29" t="s">
        <v>89</v>
      </c>
      <c r="D46" s="32">
        <v>9</v>
      </c>
      <c r="E46" s="32">
        <v>5</v>
      </c>
      <c r="F46" s="32">
        <v>2</v>
      </c>
      <c r="G46" s="32">
        <f t="shared" si="4"/>
        <v>2</v>
      </c>
      <c r="H46" s="32">
        <v>16</v>
      </c>
      <c r="I46" s="32">
        <v>12</v>
      </c>
      <c r="J46" s="32">
        <f t="shared" si="5"/>
        <v>4</v>
      </c>
      <c r="K46" s="32">
        <v>17</v>
      </c>
      <c r="L46" s="32">
        <v>0</v>
      </c>
      <c r="M46" s="32">
        <f t="shared" si="6"/>
        <v>17</v>
      </c>
      <c r="N46" s="32">
        <f t="shared" si="7"/>
        <v>2</v>
      </c>
      <c r="O46" s="36" t="s">
        <v>417</v>
      </c>
    </row>
    <row r="47" spans="1:15" ht="12.65" customHeight="1">
      <c r="A47" s="19" t="s">
        <v>143</v>
      </c>
      <c r="B47" s="13" t="s">
        <v>174</v>
      </c>
      <c r="C47" s="29" t="s">
        <v>89</v>
      </c>
      <c r="D47" s="32">
        <v>9</v>
      </c>
      <c r="E47" s="32">
        <v>5</v>
      </c>
      <c r="F47" s="32">
        <v>1</v>
      </c>
      <c r="G47" s="32">
        <f t="shared" si="4"/>
        <v>3</v>
      </c>
      <c r="H47" s="32">
        <v>11</v>
      </c>
      <c r="I47" s="32">
        <v>8</v>
      </c>
      <c r="J47" s="32">
        <f t="shared" si="5"/>
        <v>3</v>
      </c>
      <c r="K47" s="32">
        <v>16</v>
      </c>
      <c r="L47" s="32">
        <v>0</v>
      </c>
      <c r="M47" s="32">
        <f t="shared" si="6"/>
        <v>16</v>
      </c>
      <c r="N47" s="32">
        <f t="shared" si="7"/>
        <v>3</v>
      </c>
      <c r="O47" s="36" t="s">
        <v>417</v>
      </c>
    </row>
    <row r="48" spans="1:15" ht="12.65" customHeight="1">
      <c r="A48" s="19" t="s">
        <v>143</v>
      </c>
      <c r="B48" s="13" t="s">
        <v>172</v>
      </c>
      <c r="C48" s="29" t="s">
        <v>89</v>
      </c>
      <c r="D48" s="32">
        <v>9</v>
      </c>
      <c r="E48" s="32">
        <v>4</v>
      </c>
      <c r="F48" s="32">
        <v>2</v>
      </c>
      <c r="G48" s="32">
        <f t="shared" si="4"/>
        <v>3</v>
      </c>
      <c r="H48" s="32">
        <v>6</v>
      </c>
      <c r="I48" s="32">
        <v>7</v>
      </c>
      <c r="J48" s="32">
        <f t="shared" si="5"/>
        <v>-1</v>
      </c>
      <c r="K48" s="32">
        <v>14</v>
      </c>
      <c r="L48" s="32">
        <v>0</v>
      </c>
      <c r="M48" s="32">
        <f t="shared" si="6"/>
        <v>14</v>
      </c>
      <c r="N48" s="32">
        <f t="shared" si="7"/>
        <v>4</v>
      </c>
      <c r="O48" s="36" t="s">
        <v>417</v>
      </c>
    </row>
    <row r="49" spans="1:15" ht="12.65" customHeight="1">
      <c r="A49" s="19" t="s">
        <v>143</v>
      </c>
      <c r="B49" s="13" t="s">
        <v>170</v>
      </c>
      <c r="C49" s="29" t="s">
        <v>89</v>
      </c>
      <c r="D49" s="32">
        <v>9</v>
      </c>
      <c r="E49" s="32">
        <v>4</v>
      </c>
      <c r="F49" s="32">
        <v>1</v>
      </c>
      <c r="G49" s="32">
        <f t="shared" si="4"/>
        <v>4</v>
      </c>
      <c r="H49" s="32">
        <v>8</v>
      </c>
      <c r="I49" s="32">
        <v>5</v>
      </c>
      <c r="J49" s="32">
        <f t="shared" si="5"/>
        <v>3</v>
      </c>
      <c r="K49" s="32">
        <v>13</v>
      </c>
      <c r="L49" s="32">
        <v>0</v>
      </c>
      <c r="M49" s="32">
        <f t="shared" si="6"/>
        <v>13</v>
      </c>
      <c r="N49" s="32">
        <f t="shared" si="7"/>
        <v>5</v>
      </c>
      <c r="O49" s="36" t="s">
        <v>417</v>
      </c>
    </row>
    <row r="50" spans="1:15" ht="12.65" customHeight="1">
      <c r="A50" s="19" t="s">
        <v>143</v>
      </c>
      <c r="B50" s="13" t="s">
        <v>176</v>
      </c>
      <c r="C50" s="29" t="s">
        <v>89</v>
      </c>
      <c r="D50" s="32">
        <v>9</v>
      </c>
      <c r="E50" s="32">
        <v>3</v>
      </c>
      <c r="F50" s="32">
        <v>1</v>
      </c>
      <c r="G50" s="32">
        <f t="shared" si="4"/>
        <v>5</v>
      </c>
      <c r="H50" s="32">
        <v>13</v>
      </c>
      <c r="I50" s="32">
        <v>12</v>
      </c>
      <c r="J50" s="32">
        <f t="shared" si="5"/>
        <v>1</v>
      </c>
      <c r="K50" s="32">
        <v>10</v>
      </c>
      <c r="L50" s="32">
        <v>0</v>
      </c>
      <c r="M50" s="32">
        <f t="shared" si="6"/>
        <v>10</v>
      </c>
      <c r="N50" s="32">
        <f t="shared" si="7"/>
        <v>6</v>
      </c>
      <c r="O50" s="36" t="s">
        <v>417</v>
      </c>
    </row>
    <row r="51" spans="1:15" ht="12.65" customHeight="1">
      <c r="A51" s="19" t="s">
        <v>143</v>
      </c>
      <c r="B51" s="13" t="s">
        <v>175</v>
      </c>
      <c r="C51" s="29" t="s">
        <v>89</v>
      </c>
      <c r="D51" s="32">
        <v>9</v>
      </c>
      <c r="E51" s="32">
        <v>2</v>
      </c>
      <c r="F51" s="32">
        <v>3</v>
      </c>
      <c r="G51" s="32">
        <f t="shared" si="4"/>
        <v>4</v>
      </c>
      <c r="H51" s="32">
        <v>9</v>
      </c>
      <c r="I51" s="32">
        <v>14</v>
      </c>
      <c r="J51" s="32">
        <f t="shared" si="5"/>
        <v>-5</v>
      </c>
      <c r="K51" s="32">
        <v>9</v>
      </c>
      <c r="L51" s="32">
        <v>0</v>
      </c>
      <c r="M51" s="32">
        <f t="shared" si="6"/>
        <v>9</v>
      </c>
      <c r="N51" s="32">
        <f t="shared" si="7"/>
        <v>7</v>
      </c>
      <c r="O51" s="36" t="s">
        <v>417</v>
      </c>
    </row>
    <row r="52" spans="1:15" ht="12.65" customHeight="1">
      <c r="A52" s="19" t="s">
        <v>143</v>
      </c>
      <c r="B52" s="13" t="s">
        <v>173</v>
      </c>
      <c r="C52" s="29" t="s">
        <v>89</v>
      </c>
      <c r="D52" s="32">
        <v>9</v>
      </c>
      <c r="E52" s="32">
        <v>1</v>
      </c>
      <c r="F52" s="32">
        <v>2</v>
      </c>
      <c r="G52" s="32">
        <f t="shared" si="4"/>
        <v>6</v>
      </c>
      <c r="H52" s="32">
        <v>4</v>
      </c>
      <c r="I52" s="32">
        <v>15</v>
      </c>
      <c r="J52" s="32">
        <f t="shared" si="5"/>
        <v>-11</v>
      </c>
      <c r="K52" s="32">
        <v>5</v>
      </c>
      <c r="L52" s="32">
        <v>0</v>
      </c>
      <c r="M52" s="32">
        <f t="shared" si="6"/>
        <v>5</v>
      </c>
      <c r="N52" s="32">
        <f t="shared" si="7"/>
        <v>8</v>
      </c>
      <c r="O52" s="36" t="s">
        <v>417</v>
      </c>
    </row>
    <row r="53" spans="1:15" ht="12.65" customHeight="1">
      <c r="A53" s="19" t="s">
        <v>147</v>
      </c>
      <c r="B53" s="13" t="s">
        <v>166</v>
      </c>
      <c r="C53" s="29" t="s">
        <v>89</v>
      </c>
      <c r="D53" s="32">
        <v>9</v>
      </c>
      <c r="E53" s="32">
        <v>5</v>
      </c>
      <c r="F53" s="32">
        <v>3</v>
      </c>
      <c r="G53" s="32">
        <f t="shared" si="4"/>
        <v>1</v>
      </c>
      <c r="H53" s="32">
        <v>17</v>
      </c>
      <c r="I53" s="32">
        <v>6</v>
      </c>
      <c r="J53" s="32">
        <f t="shared" si="5"/>
        <v>11</v>
      </c>
      <c r="K53" s="32">
        <v>18</v>
      </c>
      <c r="L53" s="32">
        <v>0</v>
      </c>
      <c r="M53" s="32">
        <f t="shared" si="6"/>
        <v>18</v>
      </c>
      <c r="N53" s="32">
        <f t="shared" si="7"/>
        <v>1</v>
      </c>
      <c r="O53" s="36" t="s">
        <v>417</v>
      </c>
    </row>
    <row r="54" spans="1:15" ht="12.65" customHeight="1">
      <c r="A54" s="19" t="s">
        <v>147</v>
      </c>
      <c r="B54" s="13" t="s">
        <v>174</v>
      </c>
      <c r="C54" s="29" t="s">
        <v>89</v>
      </c>
      <c r="D54" s="32">
        <v>9</v>
      </c>
      <c r="E54" s="32">
        <v>4</v>
      </c>
      <c r="F54" s="32">
        <v>2</v>
      </c>
      <c r="G54" s="32">
        <f t="shared" si="4"/>
        <v>3</v>
      </c>
      <c r="H54" s="32">
        <v>14</v>
      </c>
      <c r="I54" s="32">
        <v>13</v>
      </c>
      <c r="J54" s="32">
        <f t="shared" si="5"/>
        <v>1</v>
      </c>
      <c r="K54" s="32">
        <v>14</v>
      </c>
      <c r="L54" s="32">
        <v>0</v>
      </c>
      <c r="M54" s="32">
        <f t="shared" si="6"/>
        <v>14</v>
      </c>
      <c r="N54" s="32">
        <f t="shared" si="7"/>
        <v>2</v>
      </c>
      <c r="O54" s="36" t="s">
        <v>417</v>
      </c>
    </row>
    <row r="55" spans="1:15" ht="12.65" customHeight="1">
      <c r="A55" s="19" t="s">
        <v>147</v>
      </c>
      <c r="B55" s="13" t="s">
        <v>170</v>
      </c>
      <c r="C55" s="29" t="s">
        <v>89</v>
      </c>
      <c r="D55" s="32">
        <v>9</v>
      </c>
      <c r="E55" s="32">
        <v>3</v>
      </c>
      <c r="F55" s="32">
        <v>4</v>
      </c>
      <c r="G55" s="32">
        <f t="shared" si="4"/>
        <v>2</v>
      </c>
      <c r="H55" s="32">
        <v>17</v>
      </c>
      <c r="I55" s="32">
        <v>15</v>
      </c>
      <c r="J55" s="32">
        <f t="shared" si="5"/>
        <v>2</v>
      </c>
      <c r="K55" s="32">
        <v>13</v>
      </c>
      <c r="L55" s="32">
        <v>0</v>
      </c>
      <c r="M55" s="32">
        <f t="shared" si="6"/>
        <v>13</v>
      </c>
      <c r="N55" s="32">
        <f t="shared" si="7"/>
        <v>3</v>
      </c>
      <c r="O55" s="36" t="s">
        <v>417</v>
      </c>
    </row>
    <row r="56" spans="1:15" ht="12.65" customHeight="1">
      <c r="A56" s="19" t="s">
        <v>147</v>
      </c>
      <c r="B56" s="13" t="s">
        <v>172</v>
      </c>
      <c r="C56" s="29" t="s">
        <v>89</v>
      </c>
      <c r="D56" s="32">
        <v>9</v>
      </c>
      <c r="E56" s="32">
        <v>3</v>
      </c>
      <c r="F56" s="32">
        <v>4</v>
      </c>
      <c r="G56" s="32">
        <f t="shared" si="4"/>
        <v>2</v>
      </c>
      <c r="H56" s="32">
        <v>15</v>
      </c>
      <c r="I56" s="32">
        <v>15</v>
      </c>
      <c r="J56" s="32">
        <f t="shared" si="5"/>
        <v>0</v>
      </c>
      <c r="K56" s="32">
        <v>13</v>
      </c>
      <c r="L56" s="32">
        <v>0</v>
      </c>
      <c r="M56" s="32">
        <f t="shared" si="6"/>
        <v>13</v>
      </c>
      <c r="N56" s="32">
        <f t="shared" si="7"/>
        <v>4</v>
      </c>
      <c r="O56" s="36" t="s">
        <v>417</v>
      </c>
    </row>
    <row r="57" spans="1:15" ht="12.65" customHeight="1">
      <c r="A57" s="19" t="s">
        <v>147</v>
      </c>
      <c r="B57" s="13" t="s">
        <v>169</v>
      </c>
      <c r="C57" s="29" t="s">
        <v>89</v>
      </c>
      <c r="D57" s="32">
        <v>9</v>
      </c>
      <c r="E57" s="32">
        <v>3</v>
      </c>
      <c r="F57" s="32">
        <v>3</v>
      </c>
      <c r="G57" s="32">
        <f t="shared" si="4"/>
        <v>3</v>
      </c>
      <c r="H57" s="32">
        <v>15</v>
      </c>
      <c r="I57" s="32">
        <v>13</v>
      </c>
      <c r="J57" s="32">
        <f t="shared" si="5"/>
        <v>2</v>
      </c>
      <c r="K57" s="32">
        <v>12</v>
      </c>
      <c r="L57" s="32">
        <v>0</v>
      </c>
      <c r="M57" s="32">
        <f t="shared" si="6"/>
        <v>12</v>
      </c>
      <c r="N57" s="32">
        <f t="shared" si="7"/>
        <v>5</v>
      </c>
      <c r="O57" s="36" t="s">
        <v>417</v>
      </c>
    </row>
    <row r="58" spans="1:15" ht="12.65" customHeight="1">
      <c r="A58" s="19" t="s">
        <v>147</v>
      </c>
      <c r="B58" s="13" t="s">
        <v>175</v>
      </c>
      <c r="C58" s="29" t="s">
        <v>89</v>
      </c>
      <c r="D58" s="32">
        <v>9</v>
      </c>
      <c r="E58" s="32">
        <v>4</v>
      </c>
      <c r="F58" s="32">
        <v>0</v>
      </c>
      <c r="G58" s="32">
        <f t="shared" si="4"/>
        <v>5</v>
      </c>
      <c r="H58" s="32">
        <v>9</v>
      </c>
      <c r="I58" s="32">
        <v>15</v>
      </c>
      <c r="J58" s="32">
        <f t="shared" si="5"/>
        <v>-6</v>
      </c>
      <c r="K58" s="32">
        <v>12</v>
      </c>
      <c r="L58" s="32">
        <v>0</v>
      </c>
      <c r="M58" s="32">
        <f t="shared" si="6"/>
        <v>12</v>
      </c>
      <c r="N58" s="32">
        <f t="shared" si="7"/>
        <v>6</v>
      </c>
      <c r="O58" s="36" t="s">
        <v>417</v>
      </c>
    </row>
    <row r="59" spans="1:15" ht="12.65" customHeight="1">
      <c r="A59" s="19" t="s">
        <v>147</v>
      </c>
      <c r="B59" s="13" t="s">
        <v>173</v>
      </c>
      <c r="C59" s="29" t="s">
        <v>89</v>
      </c>
      <c r="D59" s="32">
        <v>9</v>
      </c>
      <c r="E59" s="32">
        <v>2</v>
      </c>
      <c r="F59" s="32">
        <v>3</v>
      </c>
      <c r="G59" s="32">
        <f t="shared" si="4"/>
        <v>4</v>
      </c>
      <c r="H59" s="32">
        <v>10</v>
      </c>
      <c r="I59" s="32">
        <v>9</v>
      </c>
      <c r="J59" s="32">
        <f t="shared" si="5"/>
        <v>1</v>
      </c>
      <c r="K59" s="32">
        <v>9</v>
      </c>
      <c r="L59" s="32">
        <v>0</v>
      </c>
      <c r="M59" s="32">
        <f t="shared" si="6"/>
        <v>9</v>
      </c>
      <c r="N59" s="32">
        <f t="shared" si="7"/>
        <v>7</v>
      </c>
      <c r="O59" s="36" t="s">
        <v>417</v>
      </c>
    </row>
    <row r="60" spans="1:15" ht="12.65" customHeight="1">
      <c r="A60" s="19" t="s">
        <v>147</v>
      </c>
      <c r="B60" s="13" t="s">
        <v>176</v>
      </c>
      <c r="C60" s="29" t="s">
        <v>89</v>
      </c>
      <c r="D60" s="32">
        <v>9</v>
      </c>
      <c r="E60" s="32">
        <v>1</v>
      </c>
      <c r="F60" s="32">
        <v>3</v>
      </c>
      <c r="G60" s="32">
        <f t="shared" si="4"/>
        <v>5</v>
      </c>
      <c r="H60" s="32">
        <v>10</v>
      </c>
      <c r="I60" s="32">
        <v>21</v>
      </c>
      <c r="J60" s="32">
        <f t="shared" si="5"/>
        <v>-11</v>
      </c>
      <c r="K60" s="32">
        <v>6</v>
      </c>
      <c r="L60" s="32">
        <v>0</v>
      </c>
      <c r="M60" s="32">
        <f t="shared" si="6"/>
        <v>6</v>
      </c>
      <c r="N60" s="32">
        <f t="shared" si="7"/>
        <v>8</v>
      </c>
      <c r="O60" s="36" t="s">
        <v>417</v>
      </c>
    </row>
    <row r="61" spans="1:15" ht="12.65" customHeight="1">
      <c r="A61" s="19" t="s">
        <v>149</v>
      </c>
      <c r="B61" s="13" t="s">
        <v>175</v>
      </c>
      <c r="C61" s="29" t="s">
        <v>89</v>
      </c>
      <c r="D61" s="32">
        <v>9</v>
      </c>
      <c r="E61" s="32">
        <v>6</v>
      </c>
      <c r="F61" s="32">
        <v>3</v>
      </c>
      <c r="G61" s="32">
        <f t="shared" si="4"/>
        <v>0</v>
      </c>
      <c r="H61" s="32">
        <v>20</v>
      </c>
      <c r="I61" s="32">
        <v>8</v>
      </c>
      <c r="J61" s="32">
        <f t="shared" si="5"/>
        <v>12</v>
      </c>
      <c r="K61" s="32">
        <v>21</v>
      </c>
      <c r="L61" s="32">
        <v>0</v>
      </c>
      <c r="M61" s="32">
        <f t="shared" si="6"/>
        <v>21</v>
      </c>
      <c r="N61" s="32">
        <f t="shared" si="7"/>
        <v>1</v>
      </c>
      <c r="O61" s="36" t="s">
        <v>417</v>
      </c>
    </row>
    <row r="62" spans="1:15" ht="12.65" customHeight="1">
      <c r="A62" s="19" t="s">
        <v>149</v>
      </c>
      <c r="B62" s="13" t="s">
        <v>176</v>
      </c>
      <c r="C62" s="29" t="s">
        <v>89</v>
      </c>
      <c r="D62" s="32">
        <v>9</v>
      </c>
      <c r="E62" s="32">
        <v>6</v>
      </c>
      <c r="F62" s="32">
        <v>2</v>
      </c>
      <c r="G62" s="32">
        <f t="shared" si="4"/>
        <v>1</v>
      </c>
      <c r="H62" s="32">
        <v>20</v>
      </c>
      <c r="I62" s="32">
        <v>8</v>
      </c>
      <c r="J62" s="32">
        <f t="shared" si="5"/>
        <v>12</v>
      </c>
      <c r="K62" s="32">
        <v>20</v>
      </c>
      <c r="L62" s="32">
        <v>0</v>
      </c>
      <c r="M62" s="32">
        <f t="shared" si="6"/>
        <v>20</v>
      </c>
      <c r="N62" s="32">
        <f t="shared" si="7"/>
        <v>2</v>
      </c>
      <c r="O62" s="36" t="s">
        <v>417</v>
      </c>
    </row>
    <row r="63" spans="1:15" ht="12.65" customHeight="1">
      <c r="A63" s="19" t="s">
        <v>149</v>
      </c>
      <c r="B63" s="13" t="s">
        <v>170</v>
      </c>
      <c r="C63" s="29" t="s">
        <v>89</v>
      </c>
      <c r="D63" s="32">
        <v>9</v>
      </c>
      <c r="E63" s="32">
        <v>4</v>
      </c>
      <c r="F63" s="32">
        <v>3</v>
      </c>
      <c r="G63" s="32">
        <f t="shared" si="4"/>
        <v>2</v>
      </c>
      <c r="H63" s="32">
        <v>13</v>
      </c>
      <c r="I63" s="32">
        <v>7</v>
      </c>
      <c r="J63" s="32">
        <f t="shared" si="5"/>
        <v>6</v>
      </c>
      <c r="K63" s="32">
        <v>15</v>
      </c>
      <c r="L63" s="32">
        <v>0</v>
      </c>
      <c r="M63" s="32">
        <f t="shared" si="6"/>
        <v>15</v>
      </c>
      <c r="N63" s="32">
        <f t="shared" si="7"/>
        <v>3</v>
      </c>
      <c r="O63" s="36" t="s">
        <v>417</v>
      </c>
    </row>
    <row r="64" spans="1:15" ht="12.65" customHeight="1">
      <c r="A64" s="19" t="s">
        <v>149</v>
      </c>
      <c r="B64" s="13" t="s">
        <v>166</v>
      </c>
      <c r="C64" s="29" t="s">
        <v>89</v>
      </c>
      <c r="D64" s="32">
        <v>9</v>
      </c>
      <c r="E64" s="32">
        <v>3</v>
      </c>
      <c r="F64" s="32">
        <v>3</v>
      </c>
      <c r="G64" s="32">
        <f t="shared" si="4"/>
        <v>3</v>
      </c>
      <c r="H64" s="32">
        <v>14</v>
      </c>
      <c r="I64" s="32">
        <v>13</v>
      </c>
      <c r="J64" s="32">
        <f t="shared" si="5"/>
        <v>1</v>
      </c>
      <c r="K64" s="32">
        <v>12</v>
      </c>
      <c r="L64" s="32">
        <v>0</v>
      </c>
      <c r="M64" s="32">
        <f t="shared" si="6"/>
        <v>12</v>
      </c>
      <c r="N64" s="32">
        <f t="shared" si="7"/>
        <v>4</v>
      </c>
      <c r="O64" s="36" t="s">
        <v>417</v>
      </c>
    </row>
    <row r="65" spans="1:15" ht="12.65" customHeight="1">
      <c r="A65" s="19" t="s">
        <v>149</v>
      </c>
      <c r="B65" s="13" t="s">
        <v>173</v>
      </c>
      <c r="C65" s="29" t="s">
        <v>89</v>
      </c>
      <c r="D65" s="32">
        <v>9</v>
      </c>
      <c r="E65" s="32">
        <v>3</v>
      </c>
      <c r="F65" s="32">
        <v>3</v>
      </c>
      <c r="G65" s="32">
        <f t="shared" si="4"/>
        <v>3</v>
      </c>
      <c r="H65" s="32">
        <v>9</v>
      </c>
      <c r="I65" s="32">
        <v>12</v>
      </c>
      <c r="J65" s="32">
        <f t="shared" si="5"/>
        <v>-3</v>
      </c>
      <c r="K65" s="32">
        <v>12</v>
      </c>
      <c r="L65" s="32">
        <v>0</v>
      </c>
      <c r="M65" s="32">
        <f t="shared" si="6"/>
        <v>12</v>
      </c>
      <c r="N65" s="32">
        <f t="shared" si="7"/>
        <v>5</v>
      </c>
      <c r="O65" s="36" t="s">
        <v>417</v>
      </c>
    </row>
    <row r="66" spans="1:15" ht="12.65" customHeight="1">
      <c r="A66" s="19" t="s">
        <v>149</v>
      </c>
      <c r="B66" s="13" t="s">
        <v>172</v>
      </c>
      <c r="C66" s="29" t="s">
        <v>89</v>
      </c>
      <c r="D66" s="32">
        <v>9</v>
      </c>
      <c r="E66" s="32">
        <v>2</v>
      </c>
      <c r="F66" s="32">
        <v>2</v>
      </c>
      <c r="G66" s="32">
        <f t="shared" si="4"/>
        <v>5</v>
      </c>
      <c r="H66" s="32">
        <v>6</v>
      </c>
      <c r="I66" s="32">
        <v>14</v>
      </c>
      <c r="J66" s="32">
        <f t="shared" si="5"/>
        <v>-8</v>
      </c>
      <c r="K66" s="32">
        <v>8</v>
      </c>
      <c r="L66" s="32">
        <v>0</v>
      </c>
      <c r="M66" s="32">
        <f t="shared" si="6"/>
        <v>8</v>
      </c>
      <c r="N66" s="32">
        <f t="shared" si="7"/>
        <v>6</v>
      </c>
      <c r="O66" s="36" t="s">
        <v>417</v>
      </c>
    </row>
    <row r="67" spans="1:15" ht="12.65" customHeight="1">
      <c r="A67" s="19" t="s">
        <v>149</v>
      </c>
      <c r="B67" s="13" t="s">
        <v>169</v>
      </c>
      <c r="C67" s="29" t="s">
        <v>89</v>
      </c>
      <c r="D67" s="32">
        <v>9</v>
      </c>
      <c r="E67" s="32">
        <v>2</v>
      </c>
      <c r="F67" s="32">
        <v>0</v>
      </c>
      <c r="G67" s="32">
        <f t="shared" si="4"/>
        <v>7</v>
      </c>
      <c r="H67" s="32">
        <v>6</v>
      </c>
      <c r="I67" s="32">
        <v>18</v>
      </c>
      <c r="J67" s="32">
        <f t="shared" si="5"/>
        <v>-12</v>
      </c>
      <c r="K67" s="32">
        <v>6</v>
      </c>
      <c r="L67" s="32">
        <v>0</v>
      </c>
      <c r="M67" s="32">
        <f t="shared" si="6"/>
        <v>6</v>
      </c>
      <c r="N67" s="32">
        <f t="shared" si="7"/>
        <v>7</v>
      </c>
      <c r="O67" s="36" t="s">
        <v>417</v>
      </c>
    </row>
    <row r="68" spans="1:15" ht="12.65" customHeight="1">
      <c r="A68" s="19" t="s">
        <v>149</v>
      </c>
      <c r="B68" s="13" t="s">
        <v>174</v>
      </c>
      <c r="C68" s="29" t="s">
        <v>89</v>
      </c>
      <c r="D68" s="32">
        <v>9</v>
      </c>
      <c r="E68" s="32">
        <v>1</v>
      </c>
      <c r="F68" s="32">
        <v>2</v>
      </c>
      <c r="G68" s="32">
        <f t="shared" si="4"/>
        <v>6</v>
      </c>
      <c r="H68" s="32">
        <v>6</v>
      </c>
      <c r="I68" s="32">
        <v>14</v>
      </c>
      <c r="J68" s="32">
        <f t="shared" si="5"/>
        <v>-8</v>
      </c>
      <c r="K68" s="32">
        <v>5</v>
      </c>
      <c r="L68" s="32">
        <v>0</v>
      </c>
      <c r="M68" s="32">
        <f t="shared" si="6"/>
        <v>5</v>
      </c>
      <c r="N68" s="32">
        <f t="shared" si="7"/>
        <v>8</v>
      </c>
      <c r="O68" s="36" t="s">
        <v>417</v>
      </c>
    </row>
    <row r="69" spans="1:15" ht="12.65" customHeight="1">
      <c r="A69" s="19" t="s">
        <v>150</v>
      </c>
      <c r="B69" s="13" t="s">
        <v>173</v>
      </c>
      <c r="C69" s="29" t="s">
        <v>89</v>
      </c>
      <c r="D69" s="32">
        <v>9</v>
      </c>
      <c r="E69" s="32">
        <v>7</v>
      </c>
      <c r="F69" s="32">
        <v>1</v>
      </c>
      <c r="G69" s="32">
        <f t="shared" ref="G69:G76" si="8">IF(C69&lt;&gt;"Sí","",D69-E69-F69)</f>
        <v>1</v>
      </c>
      <c r="H69" s="32">
        <v>24</v>
      </c>
      <c r="I69" s="32">
        <v>11</v>
      </c>
      <c r="J69" s="32">
        <f t="shared" ref="J69:J76" si="9">IF(C69&lt;&gt;"Sí","",H69-I69)</f>
        <v>13</v>
      </c>
      <c r="K69" s="32">
        <v>22</v>
      </c>
      <c r="L69" s="32">
        <v>0</v>
      </c>
      <c r="M69" s="32">
        <f t="shared" ref="M69:M76" si="10">IF(C69&lt;&gt;"Sí","",K69-L69)</f>
        <v>22</v>
      </c>
      <c r="N69" s="32">
        <f t="shared" ref="N69:N76" si="11">IF(C69&lt;&gt;"Sí","",1+COUNTIFS($A$5:$A$76,A69,$C$5:$C$76,"Sí",$M$5:$M$76,"&gt;"&amp;M69)+COUNTIFS($A$5:$A$76,A69,$C$5:$C$76,"Sí",$M$5:$M$76,M69,$J$5:$J$76,"&gt;"&amp;J69)+COUNTIFS($A$5:$A$76,A69,$C$5:$C$76,"Sí",$M$5:$M$76,M69,$J$5:$J$76,J69,$H$5:$H$76,"&gt;"&amp;H69))</f>
        <v>1</v>
      </c>
      <c r="O69" s="36" t="s">
        <v>417</v>
      </c>
    </row>
    <row r="70" spans="1:15" ht="12.65" customHeight="1">
      <c r="A70" s="19" t="s">
        <v>150</v>
      </c>
      <c r="B70" s="13" t="s">
        <v>169</v>
      </c>
      <c r="C70" s="29" t="s">
        <v>89</v>
      </c>
      <c r="D70" s="32">
        <v>9</v>
      </c>
      <c r="E70" s="32">
        <v>5</v>
      </c>
      <c r="F70" s="32">
        <v>2</v>
      </c>
      <c r="G70" s="32">
        <f t="shared" si="8"/>
        <v>2</v>
      </c>
      <c r="H70" s="32">
        <v>22</v>
      </c>
      <c r="I70" s="32">
        <v>12</v>
      </c>
      <c r="J70" s="32">
        <f t="shared" si="9"/>
        <v>10</v>
      </c>
      <c r="K70" s="32">
        <v>17</v>
      </c>
      <c r="L70" s="32">
        <v>0</v>
      </c>
      <c r="M70" s="32">
        <f t="shared" si="10"/>
        <v>17</v>
      </c>
      <c r="N70" s="32">
        <f t="shared" si="11"/>
        <v>2</v>
      </c>
      <c r="O70" s="36" t="s">
        <v>417</v>
      </c>
    </row>
    <row r="71" spans="1:15" ht="12.65" customHeight="1">
      <c r="A71" s="19" t="s">
        <v>150</v>
      </c>
      <c r="B71" s="13" t="s">
        <v>166</v>
      </c>
      <c r="C71" s="29" t="s">
        <v>89</v>
      </c>
      <c r="D71" s="32">
        <v>9</v>
      </c>
      <c r="E71" s="32">
        <v>4</v>
      </c>
      <c r="F71" s="32">
        <v>2</v>
      </c>
      <c r="G71" s="32">
        <f t="shared" si="8"/>
        <v>3</v>
      </c>
      <c r="H71" s="32">
        <v>20</v>
      </c>
      <c r="I71" s="32">
        <v>12</v>
      </c>
      <c r="J71" s="32">
        <f t="shared" si="9"/>
        <v>8</v>
      </c>
      <c r="K71" s="32">
        <v>14</v>
      </c>
      <c r="L71" s="32">
        <v>0</v>
      </c>
      <c r="M71" s="32">
        <f t="shared" si="10"/>
        <v>14</v>
      </c>
      <c r="N71" s="32">
        <f t="shared" si="11"/>
        <v>3</v>
      </c>
      <c r="O71" s="36" t="s">
        <v>417</v>
      </c>
    </row>
    <row r="72" spans="1:15" ht="12.65" customHeight="1">
      <c r="A72" s="19" t="s">
        <v>150</v>
      </c>
      <c r="B72" s="13" t="s">
        <v>174</v>
      </c>
      <c r="C72" s="29" t="s">
        <v>89</v>
      </c>
      <c r="D72" s="32">
        <v>9</v>
      </c>
      <c r="E72" s="32">
        <v>3</v>
      </c>
      <c r="F72" s="32">
        <v>2</v>
      </c>
      <c r="G72" s="32">
        <f t="shared" si="8"/>
        <v>4</v>
      </c>
      <c r="H72" s="32">
        <v>13</v>
      </c>
      <c r="I72" s="32">
        <v>14</v>
      </c>
      <c r="J72" s="32">
        <f t="shared" si="9"/>
        <v>-1</v>
      </c>
      <c r="K72" s="32">
        <v>11</v>
      </c>
      <c r="L72" s="32">
        <v>0</v>
      </c>
      <c r="M72" s="32">
        <f t="shared" si="10"/>
        <v>11</v>
      </c>
      <c r="N72" s="32">
        <f t="shared" si="11"/>
        <v>4</v>
      </c>
      <c r="O72" s="36" t="s">
        <v>417</v>
      </c>
    </row>
    <row r="73" spans="1:15" ht="12.65" customHeight="1">
      <c r="A73" s="19" t="s">
        <v>150</v>
      </c>
      <c r="B73" s="13" t="s">
        <v>175</v>
      </c>
      <c r="C73" s="29" t="s">
        <v>89</v>
      </c>
      <c r="D73" s="32">
        <v>9</v>
      </c>
      <c r="E73" s="32">
        <v>3</v>
      </c>
      <c r="F73" s="32">
        <v>2</v>
      </c>
      <c r="G73" s="32">
        <f t="shared" si="8"/>
        <v>4</v>
      </c>
      <c r="H73" s="32">
        <v>11</v>
      </c>
      <c r="I73" s="32">
        <v>18</v>
      </c>
      <c r="J73" s="32">
        <f t="shared" si="9"/>
        <v>-7</v>
      </c>
      <c r="K73" s="32">
        <v>11</v>
      </c>
      <c r="L73" s="32">
        <v>0</v>
      </c>
      <c r="M73" s="32">
        <f t="shared" si="10"/>
        <v>11</v>
      </c>
      <c r="N73" s="32">
        <f t="shared" si="11"/>
        <v>5</v>
      </c>
      <c r="O73" s="36" t="s">
        <v>417</v>
      </c>
    </row>
    <row r="74" spans="1:15" ht="12.65" customHeight="1">
      <c r="A74" s="19" t="s">
        <v>150</v>
      </c>
      <c r="B74" s="13" t="s">
        <v>172</v>
      </c>
      <c r="C74" s="29" t="s">
        <v>89</v>
      </c>
      <c r="D74" s="32">
        <v>9</v>
      </c>
      <c r="E74" s="32">
        <v>2</v>
      </c>
      <c r="F74" s="32">
        <v>3</v>
      </c>
      <c r="G74" s="32">
        <f t="shared" si="8"/>
        <v>4</v>
      </c>
      <c r="H74" s="32">
        <v>12</v>
      </c>
      <c r="I74" s="32">
        <v>20</v>
      </c>
      <c r="J74" s="32">
        <f t="shared" si="9"/>
        <v>-8</v>
      </c>
      <c r="K74" s="32">
        <v>9</v>
      </c>
      <c r="L74" s="32">
        <v>0</v>
      </c>
      <c r="M74" s="32">
        <f t="shared" si="10"/>
        <v>9</v>
      </c>
      <c r="N74" s="32">
        <f t="shared" si="11"/>
        <v>6</v>
      </c>
      <c r="O74" s="36" t="s">
        <v>417</v>
      </c>
    </row>
    <row r="75" spans="1:15" ht="12.65" customHeight="1">
      <c r="A75" s="19" t="s">
        <v>150</v>
      </c>
      <c r="B75" s="13" t="s">
        <v>170</v>
      </c>
      <c r="C75" s="29" t="s">
        <v>89</v>
      </c>
      <c r="D75" s="32">
        <v>9</v>
      </c>
      <c r="E75" s="32">
        <v>1</v>
      </c>
      <c r="F75" s="32">
        <v>5</v>
      </c>
      <c r="G75" s="32">
        <f t="shared" si="8"/>
        <v>3</v>
      </c>
      <c r="H75" s="32">
        <v>11</v>
      </c>
      <c r="I75" s="32">
        <v>15</v>
      </c>
      <c r="J75" s="32">
        <f t="shared" si="9"/>
        <v>-4</v>
      </c>
      <c r="K75" s="32">
        <v>8</v>
      </c>
      <c r="L75" s="32">
        <v>0</v>
      </c>
      <c r="M75" s="32">
        <f t="shared" si="10"/>
        <v>8</v>
      </c>
      <c r="N75" s="32">
        <f t="shared" si="11"/>
        <v>7</v>
      </c>
      <c r="O75" s="36" t="s">
        <v>417</v>
      </c>
    </row>
    <row r="76" spans="1:15" ht="12.65" customHeight="1">
      <c r="A76" s="21" t="s">
        <v>150</v>
      </c>
      <c r="B76" s="22" t="s">
        <v>176</v>
      </c>
      <c r="C76" s="30" t="s">
        <v>89</v>
      </c>
      <c r="D76" s="33">
        <v>9</v>
      </c>
      <c r="E76" s="33">
        <v>1</v>
      </c>
      <c r="F76" s="33">
        <v>3</v>
      </c>
      <c r="G76" s="33">
        <f t="shared" si="8"/>
        <v>5</v>
      </c>
      <c r="H76" s="33">
        <v>7</v>
      </c>
      <c r="I76" s="33">
        <v>18</v>
      </c>
      <c r="J76" s="33">
        <f t="shared" si="9"/>
        <v>-11</v>
      </c>
      <c r="K76" s="33">
        <v>6</v>
      </c>
      <c r="L76" s="33">
        <v>0</v>
      </c>
      <c r="M76" s="33">
        <f t="shared" si="10"/>
        <v>6</v>
      </c>
      <c r="N76" s="33">
        <f t="shared" si="11"/>
        <v>8</v>
      </c>
      <c r="O76" s="37" t="s">
        <v>417</v>
      </c>
    </row>
    <row r="77" spans="1:15">
      <c r="A77" s="10"/>
    </row>
    <row r="78" spans="1:15">
      <c r="A78" s="10"/>
    </row>
    <row r="79" spans="1:15">
      <c r="A79" s="10"/>
    </row>
    <row r="80" spans="1:15">
      <c r="A80" s="10"/>
    </row>
    <row r="81" spans="1:1">
      <c r="A81" s="10"/>
    </row>
    <row r="82" spans="1:1">
      <c r="A82" s="10"/>
    </row>
    <row r="83" spans="1:1">
      <c r="A83" s="10"/>
    </row>
    <row r="84" spans="1:1">
      <c r="A84" s="10"/>
    </row>
    <row r="85" spans="1:1">
      <c r="A85" s="10"/>
    </row>
    <row r="86" spans="1:1">
      <c r="A86" s="10"/>
    </row>
    <row r="87" spans="1:1">
      <c r="A87" s="10"/>
    </row>
    <row r="88" spans="1:1">
      <c r="A88" s="10"/>
    </row>
    <row r="89" spans="1:1">
      <c r="A89" s="10"/>
    </row>
    <row r="90" spans="1:1">
      <c r="A90" s="10"/>
    </row>
    <row r="91" spans="1:1">
      <c r="A91" s="10"/>
    </row>
    <row r="92" spans="1:1">
      <c r="A92" s="10"/>
    </row>
    <row r="93" spans="1:1">
      <c r="A93" s="10"/>
    </row>
    <row r="94" spans="1:1">
      <c r="A94" s="10"/>
    </row>
    <row r="95" spans="1:1">
      <c r="A95" s="10"/>
    </row>
    <row r="96" spans="1:1">
      <c r="A96" s="10"/>
    </row>
    <row r="97" spans="1:1">
      <c r="A97" s="10"/>
    </row>
    <row r="98" spans="1:1">
      <c r="A98" s="10"/>
    </row>
    <row r="99" spans="1:1">
      <c r="A99" s="10"/>
    </row>
    <row r="100" spans="1:1">
      <c r="A100" s="10"/>
    </row>
    <row r="101" spans="1:1">
      <c r="A101" s="10"/>
    </row>
    <row r="102" spans="1:1">
      <c r="A102" s="10"/>
    </row>
    <row r="103" spans="1:1">
      <c r="A103" s="10"/>
    </row>
    <row r="104" spans="1:1">
      <c r="A104" s="10"/>
    </row>
    <row r="105" spans="1:1">
      <c r="A105" s="10"/>
    </row>
    <row r="106" spans="1:1">
      <c r="A106" s="10"/>
    </row>
    <row r="107" spans="1:1">
      <c r="A107" s="10"/>
    </row>
    <row r="108" spans="1:1">
      <c r="A108" s="10"/>
    </row>
    <row r="109" spans="1:1">
      <c r="A109" s="10"/>
    </row>
    <row r="110" spans="1:1">
      <c r="A110" s="10"/>
    </row>
    <row r="111" spans="1:1">
      <c r="A111" s="10"/>
    </row>
    <row r="112" spans="1:1">
      <c r="A112" s="10"/>
    </row>
    <row r="113" spans="1:1">
      <c r="A113" s="10"/>
    </row>
    <row r="114" spans="1:1">
      <c r="A114" s="10"/>
    </row>
    <row r="115" spans="1:1">
      <c r="A115" s="10"/>
    </row>
    <row r="116" spans="1:1">
      <c r="A116" s="10"/>
    </row>
    <row r="117" spans="1:1">
      <c r="A117" s="10"/>
    </row>
    <row r="118" spans="1:1">
      <c r="A118" s="10"/>
    </row>
    <row r="119" spans="1:1">
      <c r="A119" s="10"/>
    </row>
    <row r="120" spans="1:1">
      <c r="A120" s="10"/>
    </row>
    <row r="121" spans="1:1">
      <c r="A121" s="10"/>
    </row>
    <row r="122" spans="1:1">
      <c r="A122" s="10"/>
    </row>
    <row r="123" spans="1:1">
      <c r="A123" s="10"/>
    </row>
    <row r="124" spans="1:1">
      <c r="A124" s="10"/>
    </row>
    <row r="125" spans="1:1">
      <c r="A125" s="10"/>
    </row>
    <row r="126" spans="1:1">
      <c r="A126" s="10"/>
    </row>
    <row r="127" spans="1:1">
      <c r="A127" s="10"/>
    </row>
    <row r="128" spans="1:1">
      <c r="A128" s="10"/>
    </row>
    <row r="129" spans="1:1">
      <c r="A129" s="10"/>
    </row>
    <row r="130" spans="1:1">
      <c r="A130" s="10"/>
    </row>
    <row r="131" spans="1:1">
      <c r="A131" s="10"/>
    </row>
    <row r="132" spans="1:1">
      <c r="A132" s="10"/>
    </row>
    <row r="133" spans="1:1">
      <c r="A133" s="10"/>
    </row>
    <row r="134" spans="1:1">
      <c r="A134" s="10"/>
    </row>
    <row r="135" spans="1:1">
      <c r="A135" s="10"/>
    </row>
    <row r="136" spans="1:1">
      <c r="A136" s="10"/>
    </row>
    <row r="137" spans="1:1">
      <c r="A137" s="10"/>
    </row>
    <row r="138" spans="1:1">
      <c r="A138" s="10"/>
    </row>
    <row r="139" spans="1:1">
      <c r="A139" s="10"/>
    </row>
    <row r="140" spans="1:1">
      <c r="A140" s="10"/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  <row r="159" spans="1:1">
      <c r="A159" s="10"/>
    </row>
    <row r="160" spans="1:1">
      <c r="A160" s="10"/>
    </row>
    <row r="161" spans="1:1">
      <c r="A161" s="10"/>
    </row>
    <row r="162" spans="1:1">
      <c r="A162" s="10"/>
    </row>
    <row r="163" spans="1:1">
      <c r="A163" s="10"/>
    </row>
    <row r="164" spans="1:1">
      <c r="A164" s="10"/>
    </row>
    <row r="165" spans="1:1">
      <c r="A165" s="10"/>
    </row>
    <row r="166" spans="1:1">
      <c r="A166" s="10"/>
    </row>
    <row r="167" spans="1:1">
      <c r="A167" s="10"/>
    </row>
    <row r="168" spans="1:1">
      <c r="A168" s="10"/>
    </row>
    <row r="169" spans="1:1">
      <c r="A169" s="10"/>
    </row>
    <row r="170" spans="1:1">
      <c r="A170" s="10"/>
    </row>
    <row r="171" spans="1:1">
      <c r="A171" s="10"/>
    </row>
    <row r="172" spans="1:1">
      <c r="A172" s="10"/>
    </row>
    <row r="173" spans="1:1">
      <c r="A173" s="10"/>
    </row>
    <row r="174" spans="1:1">
      <c r="A174" s="10"/>
    </row>
    <row r="175" spans="1:1">
      <c r="A175" s="10"/>
    </row>
    <row r="176" spans="1:1">
      <c r="A176" s="10"/>
    </row>
    <row r="177" spans="1:1">
      <c r="A177" s="10"/>
    </row>
    <row r="178" spans="1:1">
      <c r="A178" s="10"/>
    </row>
    <row r="179" spans="1:1">
      <c r="A179" s="10"/>
    </row>
    <row r="180" spans="1:1">
      <c r="A180" s="10"/>
    </row>
    <row r="181" spans="1:1">
      <c r="A181" s="10"/>
    </row>
    <row r="182" spans="1:1">
      <c r="A182" s="10"/>
    </row>
    <row r="183" spans="1:1">
      <c r="A183" s="10"/>
    </row>
    <row r="184" spans="1:1">
      <c r="A184" s="10"/>
    </row>
    <row r="185" spans="1:1">
      <c r="A185" s="10"/>
    </row>
    <row r="186" spans="1:1">
      <c r="A186" s="10"/>
    </row>
    <row r="187" spans="1:1">
      <c r="A187" s="10"/>
    </row>
    <row r="188" spans="1:1">
      <c r="A188" s="10"/>
    </row>
    <row r="189" spans="1:1">
      <c r="A189" s="10"/>
    </row>
    <row r="190" spans="1:1">
      <c r="A190" s="10"/>
    </row>
    <row r="191" spans="1:1">
      <c r="A191" s="10"/>
    </row>
    <row r="192" spans="1:1">
      <c r="A192" s="10"/>
    </row>
    <row r="193" spans="1:1">
      <c r="A193" s="10"/>
    </row>
    <row r="194" spans="1:1">
      <c r="A194" s="10"/>
    </row>
    <row r="195" spans="1:1">
      <c r="A195" s="10"/>
    </row>
    <row r="196" spans="1:1">
      <c r="A196" s="10"/>
    </row>
    <row r="197" spans="1:1">
      <c r="A197" s="10"/>
    </row>
    <row r="198" spans="1:1">
      <c r="A198" s="10"/>
    </row>
    <row r="199" spans="1:1">
      <c r="A199" s="10"/>
    </row>
    <row r="200" spans="1:1">
      <c r="A200" s="10"/>
    </row>
    <row r="201" spans="1:1">
      <c r="A201" s="10"/>
    </row>
    <row r="202" spans="1:1">
      <c r="A202" s="10"/>
    </row>
    <row r="203" spans="1:1">
      <c r="A203" s="10"/>
    </row>
    <row r="204" spans="1:1">
      <c r="A204" s="10"/>
    </row>
    <row r="205" spans="1:1">
      <c r="A205" s="10"/>
    </row>
    <row r="206" spans="1:1">
      <c r="A206" s="10"/>
    </row>
    <row r="207" spans="1:1">
      <c r="A207" s="10"/>
    </row>
    <row r="208" spans="1:1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10"/>
    </row>
    <row r="255" spans="1:1">
      <c r="A255" s="10"/>
    </row>
    <row r="256" spans="1:1">
      <c r="A256" s="10"/>
    </row>
    <row r="257" spans="1:1">
      <c r="A257" s="10"/>
    </row>
    <row r="258" spans="1:1">
      <c r="A258" s="10"/>
    </row>
    <row r="259" spans="1:1">
      <c r="A259" s="10"/>
    </row>
    <row r="260" spans="1:1">
      <c r="A260" s="10"/>
    </row>
    <row r="261" spans="1:1">
      <c r="A261" s="10"/>
    </row>
    <row r="262" spans="1:1">
      <c r="A262" s="10"/>
    </row>
    <row r="263" spans="1:1">
      <c r="A263" s="10"/>
    </row>
    <row r="264" spans="1:1">
      <c r="A264" s="10"/>
    </row>
    <row r="265" spans="1:1">
      <c r="A265" s="10"/>
    </row>
    <row r="266" spans="1:1">
      <c r="A266" s="10"/>
    </row>
    <row r="267" spans="1:1">
      <c r="A267" s="10"/>
    </row>
    <row r="268" spans="1:1">
      <c r="A268" s="10"/>
    </row>
    <row r="269" spans="1:1">
      <c r="A269" s="10"/>
    </row>
    <row r="270" spans="1:1">
      <c r="A270" s="10"/>
    </row>
    <row r="271" spans="1:1">
      <c r="A271" s="10"/>
    </row>
    <row r="272" spans="1:1">
      <c r="A272" s="10"/>
    </row>
    <row r="273" spans="1:1">
      <c r="A273" s="10"/>
    </row>
    <row r="274" spans="1:1">
      <c r="A274" s="10"/>
    </row>
    <row r="275" spans="1:1">
      <c r="A275" s="10"/>
    </row>
    <row r="276" spans="1:1">
      <c r="A276" s="10"/>
    </row>
    <row r="277" spans="1:1">
      <c r="A277" s="10"/>
    </row>
    <row r="278" spans="1:1">
      <c r="A278" s="10"/>
    </row>
    <row r="279" spans="1:1">
      <c r="A279" s="10"/>
    </row>
    <row r="280" spans="1:1">
      <c r="A280" s="10"/>
    </row>
    <row r="281" spans="1:1">
      <c r="A281" s="10"/>
    </row>
    <row r="282" spans="1:1">
      <c r="A282" s="10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  <row r="390" spans="1:1">
      <c r="A390" s="10"/>
    </row>
    <row r="391" spans="1:1">
      <c r="A391" s="10"/>
    </row>
    <row r="392" spans="1:1">
      <c r="A392" s="10"/>
    </row>
    <row r="393" spans="1:1">
      <c r="A393" s="10"/>
    </row>
    <row r="394" spans="1:1">
      <c r="A394" s="10"/>
    </row>
    <row r="395" spans="1:1">
      <c r="A395" s="10"/>
    </row>
    <row r="396" spans="1:1">
      <c r="A396" s="10"/>
    </row>
    <row r="397" spans="1:1">
      <c r="A397" s="10"/>
    </row>
    <row r="398" spans="1:1">
      <c r="A398" s="10"/>
    </row>
    <row r="399" spans="1:1">
      <c r="A399" s="10"/>
    </row>
    <row r="400" spans="1:1">
      <c r="A400" s="10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10"/>
    </row>
    <row r="410" spans="1:1">
      <c r="A410" s="10"/>
    </row>
    <row r="411" spans="1:1">
      <c r="A411" s="10"/>
    </row>
    <row r="412" spans="1:1">
      <c r="A412" s="10"/>
    </row>
    <row r="413" spans="1:1">
      <c r="A413" s="10"/>
    </row>
    <row r="414" spans="1:1">
      <c r="A414" s="10"/>
    </row>
    <row r="415" spans="1:1">
      <c r="A415" s="10"/>
    </row>
    <row r="416" spans="1:1">
      <c r="A416" s="10"/>
    </row>
    <row r="417" spans="1:1">
      <c r="A417" s="10"/>
    </row>
    <row r="418" spans="1:1">
      <c r="A418" s="10"/>
    </row>
    <row r="419" spans="1:1">
      <c r="A419" s="10"/>
    </row>
    <row r="420" spans="1:1">
      <c r="A420" s="10"/>
    </row>
    <row r="421" spans="1:1">
      <c r="A421" s="10"/>
    </row>
    <row r="422" spans="1:1">
      <c r="A422" s="10"/>
    </row>
    <row r="423" spans="1:1">
      <c r="A423" s="10"/>
    </row>
    <row r="424" spans="1:1">
      <c r="A424" s="10"/>
    </row>
    <row r="425" spans="1:1">
      <c r="A425" s="10"/>
    </row>
    <row r="426" spans="1:1">
      <c r="A426" s="10"/>
    </row>
    <row r="427" spans="1:1">
      <c r="A427" s="10"/>
    </row>
    <row r="428" spans="1:1">
      <c r="A428" s="10"/>
    </row>
    <row r="429" spans="1:1">
      <c r="A429" s="10"/>
    </row>
    <row r="430" spans="1:1">
      <c r="A430" s="10"/>
    </row>
    <row r="431" spans="1:1">
      <c r="A431" s="10"/>
    </row>
    <row r="432" spans="1:1">
      <c r="A432" s="10"/>
    </row>
    <row r="433" spans="1:1">
      <c r="A433" s="10"/>
    </row>
    <row r="434" spans="1:1">
      <c r="A434" s="10"/>
    </row>
    <row r="435" spans="1:1">
      <c r="A435" s="10"/>
    </row>
    <row r="436" spans="1:1">
      <c r="A436" s="10"/>
    </row>
    <row r="437" spans="1:1">
      <c r="A437" s="10"/>
    </row>
    <row r="438" spans="1:1">
      <c r="A438" s="10"/>
    </row>
    <row r="439" spans="1:1">
      <c r="A439" s="10"/>
    </row>
    <row r="440" spans="1:1">
      <c r="A440" s="10"/>
    </row>
    <row r="441" spans="1:1">
      <c r="A441" s="10"/>
    </row>
    <row r="442" spans="1:1">
      <c r="A442" s="10"/>
    </row>
    <row r="443" spans="1:1">
      <c r="A443" s="10"/>
    </row>
    <row r="444" spans="1:1">
      <c r="A444" s="10"/>
    </row>
    <row r="445" spans="1:1">
      <c r="A445" s="10"/>
    </row>
    <row r="446" spans="1:1">
      <c r="A446" s="10"/>
    </row>
    <row r="447" spans="1:1">
      <c r="A447" s="10"/>
    </row>
    <row r="448" spans="1:1">
      <c r="A448" s="10"/>
    </row>
    <row r="449" spans="1:1">
      <c r="A449" s="10"/>
    </row>
    <row r="450" spans="1:1">
      <c r="A450" s="10"/>
    </row>
    <row r="451" spans="1:1">
      <c r="A451" s="10"/>
    </row>
    <row r="452" spans="1:1">
      <c r="A452" s="10"/>
    </row>
    <row r="453" spans="1:1">
      <c r="A453" s="10"/>
    </row>
    <row r="454" spans="1:1">
      <c r="A454" s="10"/>
    </row>
    <row r="455" spans="1:1">
      <c r="A455" s="10"/>
    </row>
    <row r="456" spans="1:1">
      <c r="A456" s="10"/>
    </row>
    <row r="457" spans="1:1">
      <c r="A457" s="10"/>
    </row>
    <row r="458" spans="1:1">
      <c r="A458" s="10"/>
    </row>
    <row r="459" spans="1:1">
      <c r="A459" s="10"/>
    </row>
    <row r="460" spans="1:1">
      <c r="A460" s="10"/>
    </row>
    <row r="461" spans="1:1">
      <c r="A461" s="10"/>
    </row>
    <row r="462" spans="1:1">
      <c r="A462" s="10"/>
    </row>
    <row r="463" spans="1:1">
      <c r="A463" s="10"/>
    </row>
    <row r="464" spans="1:1">
      <c r="A464" s="10"/>
    </row>
    <row r="465" spans="1:1">
      <c r="A465" s="10"/>
    </row>
    <row r="466" spans="1:1">
      <c r="A466" s="10"/>
    </row>
    <row r="467" spans="1:1">
      <c r="A467" s="10"/>
    </row>
    <row r="468" spans="1:1">
      <c r="A468" s="10"/>
    </row>
    <row r="469" spans="1:1">
      <c r="A469" s="10"/>
    </row>
    <row r="470" spans="1:1">
      <c r="A470" s="10"/>
    </row>
    <row r="471" spans="1:1">
      <c r="A471" s="10"/>
    </row>
    <row r="472" spans="1:1">
      <c r="A472" s="10"/>
    </row>
    <row r="473" spans="1:1">
      <c r="A473" s="10"/>
    </row>
    <row r="474" spans="1:1">
      <c r="A474" s="10"/>
    </row>
    <row r="475" spans="1:1">
      <c r="A475" s="10"/>
    </row>
    <row r="476" spans="1:1">
      <c r="A476" s="10"/>
    </row>
    <row r="477" spans="1:1">
      <c r="A477" s="10"/>
    </row>
    <row r="478" spans="1:1">
      <c r="A478" s="10"/>
    </row>
    <row r="479" spans="1:1">
      <c r="A479" s="10"/>
    </row>
    <row r="480" spans="1:1">
      <c r="A480" s="10"/>
    </row>
    <row r="481" spans="1:1">
      <c r="A481" s="10"/>
    </row>
    <row r="482" spans="1:1">
      <c r="A482" s="10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</sheetData>
  <mergeCells count="2">
    <mergeCell ref="A1:O1"/>
    <mergeCell ref="A2:O2"/>
  </mergeCells>
  <conditionalFormatting sqref="A5:O76">
    <cfRule type="expression" dxfId="28" priority="4">
      <formula>MOD(ROW(),2)=0</formula>
    </cfRule>
  </conditionalFormatting>
  <conditionalFormatting sqref="M5:M76">
    <cfRule type="dataBar" priority="1">
      <dataBar>
        <cfvo type="min"/>
        <cfvo type="max"/>
        <color rgb="FF0D3F7A"/>
      </dataBar>
    </cfRule>
    <cfRule type="dataBar" priority="3">
      <dataBar>
        <cfvo type="min"/>
        <cfvo type="max"/>
        <color rgb="FF0D3F7A"/>
      </dataBar>
    </cfRule>
    <cfRule type="dataBar" priority="5">
      <dataBar>
        <cfvo type="min"/>
        <cfvo type="max"/>
        <color rgb="FFA02B93"/>
      </dataBar>
    </cfRule>
    <cfRule type="dataBar" priority="7">
      <dataBar>
        <cfvo type="min"/>
        <cfvo type="max"/>
        <color rgb="FF0D3F7A"/>
      </dataBar>
      <extLst>
        <ext xmlns:x14="http://schemas.microsoft.com/office/spreadsheetml/2009/9/main" uri="{B025F937-C7B1-47D3-B67F-A62EFF666E3E}">
          <x14:id>{F453ED6F-89C8-9EA8-3BCC-535DE8BC5C7F}</x14:id>
        </ext>
      </extLst>
    </cfRule>
    <cfRule type="dataBar" priority="7">
      <dataBar>
        <cfvo type="min"/>
        <cfvo type="max"/>
        <color rgb="FFA02B93"/>
      </dataBar>
    </cfRule>
  </conditionalFormatting>
  <conditionalFormatting sqref="N5:N76">
    <cfRule type="expression" dxfId="27" priority="2">
      <formula>N5=1</formula>
    </cfRule>
    <cfRule type="expression" dxfId="26" priority="6">
      <formula>N5=1</formula>
    </cfRule>
  </conditionalFormatting>
  <dataValidations count="1">
    <dataValidation type="list" sqref="C5:C76" xr:uid="{00000000-0002-0000-0900-000000000000}">
      <formula1>"Sí,No,Por confirmar"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53ED6F-89C8-9EA8-3BCC-535DE8BC5C7F}">
            <x14:dataBar>
              <x14:cfvo type="min"/>
              <x14:cfvo type="max"/>
              <x14:negativeFillColor auto="1"/>
              <x14:axisColor auto="1"/>
            </x14:dataBar>
          </x14:cfRule>
          <xm:sqref>M5:M76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00"/>
  <sheetViews>
    <sheetView workbookViewId="0">
      <selection sqref="A1:I1"/>
    </sheetView>
  </sheetViews>
  <sheetFormatPr baseColWidth="10" defaultColWidth="7.58203125" defaultRowHeight="14"/>
  <sheetData>
    <row r="1" spans="1:9" ht="18.399999999999999" customHeight="1">
      <c r="A1" s="43" t="s">
        <v>249</v>
      </c>
      <c r="B1" s="41"/>
      <c r="C1" s="41"/>
      <c r="D1" s="41"/>
      <c r="E1" s="41"/>
      <c r="F1" s="41"/>
      <c r="G1" s="41"/>
      <c r="H1" s="41"/>
      <c r="I1" s="41"/>
    </row>
    <row r="2" spans="1:9" ht="18.399999999999999" customHeight="1">
      <c r="A2" s="44" t="s">
        <v>250</v>
      </c>
      <c r="B2" s="42"/>
      <c r="C2" s="42"/>
      <c r="D2" s="42"/>
      <c r="E2" s="42"/>
      <c r="F2" s="42"/>
      <c r="G2" s="42"/>
      <c r="H2" s="42"/>
      <c r="I2" s="42"/>
    </row>
    <row r="3" spans="1:9" ht="18.399999999999999" customHeight="1">
      <c r="A3" s="10"/>
    </row>
    <row r="4" spans="1:9" ht="18.399999999999999" customHeight="1">
      <c r="A4" s="11" t="s">
        <v>211</v>
      </c>
      <c r="B4" s="1" t="s">
        <v>247</v>
      </c>
      <c r="C4" s="1" t="s">
        <v>152</v>
      </c>
      <c r="D4" s="1" t="s">
        <v>178</v>
      </c>
      <c r="E4" s="1" t="s">
        <v>251</v>
      </c>
      <c r="F4" s="1" t="s">
        <v>252</v>
      </c>
      <c r="G4" s="1" t="s">
        <v>253</v>
      </c>
      <c r="H4" s="1" t="s">
        <v>254</v>
      </c>
      <c r="I4" s="1" t="s">
        <v>165</v>
      </c>
    </row>
    <row r="5" spans="1:9" ht="18.399999999999999" customHeight="1">
      <c r="A5" s="12" t="e">
        <f>#REF!</f>
        <v>#REF!</v>
      </c>
      <c r="B5" s="2" t="e">
        <f>IF(A5="","",#REF!&amp;" "&amp;#REF!&amp;" "&amp;#REF!)</f>
        <v>#REF!</v>
      </c>
      <c r="C5" s="2" t="e">
        <f>#REF!</f>
        <v>#REF!</v>
      </c>
      <c r="D5" s="2" t="e">
        <f>#REF!</f>
        <v>#REF!</v>
      </c>
      <c r="E5" s="2"/>
      <c r="F5" s="2" t="e">
        <f>IF(A5="","",COUNTIF(#REF!,A5))</f>
        <v>#REF!</v>
      </c>
      <c r="G5" s="2" t="e">
        <f>IF(A5="","",COUNTIFS(#REF!,A5,#REF!,"Penal"))</f>
        <v>#REF!</v>
      </c>
      <c r="H5" s="2" t="e">
        <f>IF(A5="","",COUNTIFS(#REF!,A5,#REF!,"Autogol"))</f>
        <v>#REF!</v>
      </c>
      <c r="I5" s="2" t="e">
        <f>#REF!</f>
        <v>#REF!</v>
      </c>
    </row>
    <row r="6" spans="1:9" ht="18.399999999999999" customHeight="1">
      <c r="A6" s="12" t="e">
        <f>#REF!</f>
        <v>#REF!</v>
      </c>
      <c r="B6" s="2" t="e">
        <f>IF(A6="","",#REF!&amp;" "&amp;#REF!&amp;" "&amp;#REF!)</f>
        <v>#REF!</v>
      </c>
      <c r="C6" s="2" t="e">
        <f>#REF!</f>
        <v>#REF!</v>
      </c>
      <c r="D6" s="2" t="e">
        <f>#REF!</f>
        <v>#REF!</v>
      </c>
      <c r="E6" s="2"/>
      <c r="F6" s="2" t="e">
        <f>IF(A6="","",COUNTIF(#REF!,A6))</f>
        <v>#REF!</v>
      </c>
      <c r="G6" s="2" t="e">
        <f>IF(A6="","",COUNTIFS(#REF!,A6,#REF!,"Penal"))</f>
        <v>#REF!</v>
      </c>
      <c r="H6" s="2" t="e">
        <f>IF(A6="","",COUNTIFS(#REF!,A6,#REF!,"Autogol"))</f>
        <v>#REF!</v>
      </c>
      <c r="I6" s="2" t="e">
        <f>#REF!</f>
        <v>#REF!</v>
      </c>
    </row>
    <row r="7" spans="1:9" ht="18.399999999999999" customHeight="1">
      <c r="A7" s="12" t="e">
        <f>#REF!</f>
        <v>#REF!</v>
      </c>
      <c r="B7" s="2" t="e">
        <f>IF(A7="","",#REF!&amp;" "&amp;#REF!&amp;" "&amp;#REF!)</f>
        <v>#REF!</v>
      </c>
      <c r="C7" s="2" t="e">
        <f>#REF!</f>
        <v>#REF!</v>
      </c>
      <c r="D7" s="2" t="e">
        <f>#REF!</f>
        <v>#REF!</v>
      </c>
      <c r="E7" s="2"/>
      <c r="F7" s="2" t="e">
        <f>IF(A7="","",COUNTIF(#REF!,A7))</f>
        <v>#REF!</v>
      </c>
      <c r="G7" s="2" t="e">
        <f>IF(A7="","",COUNTIFS(#REF!,A7,#REF!,"Penal"))</f>
        <v>#REF!</v>
      </c>
      <c r="H7" s="2" t="e">
        <f>IF(A7="","",COUNTIFS(#REF!,A7,#REF!,"Autogol"))</f>
        <v>#REF!</v>
      </c>
      <c r="I7" s="2" t="e">
        <f>#REF!</f>
        <v>#REF!</v>
      </c>
    </row>
    <row r="8" spans="1:9" ht="18.399999999999999" customHeight="1">
      <c r="A8" s="12" t="e">
        <f>#REF!</f>
        <v>#REF!</v>
      </c>
      <c r="B8" s="2" t="e">
        <f>IF(A8="","",#REF!&amp;" "&amp;#REF!&amp;" "&amp;#REF!)</f>
        <v>#REF!</v>
      </c>
      <c r="C8" s="2" t="e">
        <f>#REF!</f>
        <v>#REF!</v>
      </c>
      <c r="D8" s="2" t="e">
        <f>#REF!</f>
        <v>#REF!</v>
      </c>
      <c r="E8" s="2"/>
      <c r="F8" s="2" t="e">
        <f>IF(A8="","",COUNTIF(#REF!,A8))</f>
        <v>#REF!</v>
      </c>
      <c r="G8" s="2" t="e">
        <f>IF(A8="","",COUNTIFS(#REF!,A8,#REF!,"Penal"))</f>
        <v>#REF!</v>
      </c>
      <c r="H8" s="2" t="e">
        <f>IF(A8="","",COUNTIFS(#REF!,A8,#REF!,"Autogol"))</f>
        <v>#REF!</v>
      </c>
      <c r="I8" s="2" t="e">
        <f>#REF!</f>
        <v>#REF!</v>
      </c>
    </row>
    <row r="9" spans="1:9" ht="18.399999999999999" customHeight="1">
      <c r="A9" s="12" t="e">
        <f>#REF!</f>
        <v>#REF!</v>
      </c>
      <c r="B9" s="2" t="e">
        <f>IF(A9="","",#REF!&amp;" "&amp;#REF!&amp;" "&amp;#REF!)</f>
        <v>#REF!</v>
      </c>
      <c r="C9" s="2" t="e">
        <f>#REF!</f>
        <v>#REF!</v>
      </c>
      <c r="D9" s="2" t="e">
        <f>#REF!</f>
        <v>#REF!</v>
      </c>
      <c r="E9" s="2"/>
      <c r="F9" s="2" t="e">
        <f>IF(A9="","",COUNTIF(#REF!,A9))</f>
        <v>#REF!</v>
      </c>
      <c r="G9" s="2" t="e">
        <f>IF(A9="","",COUNTIFS(#REF!,A9,#REF!,"Penal"))</f>
        <v>#REF!</v>
      </c>
      <c r="H9" s="2" t="e">
        <f>IF(A9="","",COUNTIFS(#REF!,A9,#REF!,"Autogol"))</f>
        <v>#REF!</v>
      </c>
      <c r="I9" s="2" t="e">
        <f>#REF!</f>
        <v>#REF!</v>
      </c>
    </row>
    <row r="10" spans="1:9" ht="18.399999999999999" customHeight="1">
      <c r="A10" s="12" t="e">
        <f>#REF!</f>
        <v>#REF!</v>
      </c>
      <c r="B10" s="2" t="e">
        <f>IF(A10="","",#REF!&amp;" "&amp;#REF!&amp;" "&amp;#REF!)</f>
        <v>#REF!</v>
      </c>
      <c r="C10" s="2" t="e">
        <f>#REF!</f>
        <v>#REF!</v>
      </c>
      <c r="D10" s="2" t="e">
        <f>#REF!</f>
        <v>#REF!</v>
      </c>
      <c r="E10" s="2"/>
      <c r="F10" s="2" t="e">
        <f>IF(A10="","",COUNTIF(#REF!,A10))</f>
        <v>#REF!</v>
      </c>
      <c r="G10" s="2" t="e">
        <f>IF(A10="","",COUNTIFS(#REF!,A10,#REF!,"Penal"))</f>
        <v>#REF!</v>
      </c>
      <c r="H10" s="2" t="e">
        <f>IF(A10="","",COUNTIFS(#REF!,A10,#REF!,"Autogol"))</f>
        <v>#REF!</v>
      </c>
      <c r="I10" s="2" t="e">
        <f>#REF!</f>
        <v>#REF!</v>
      </c>
    </row>
    <row r="11" spans="1:9" ht="18.399999999999999" customHeight="1">
      <c r="A11" s="12" t="e">
        <f>#REF!</f>
        <v>#REF!</v>
      </c>
      <c r="B11" s="2" t="e">
        <f>IF(A11="","",#REF!&amp;" "&amp;#REF!&amp;" "&amp;#REF!)</f>
        <v>#REF!</v>
      </c>
      <c r="C11" s="2" t="e">
        <f>#REF!</f>
        <v>#REF!</v>
      </c>
      <c r="D11" s="2" t="e">
        <f>#REF!</f>
        <v>#REF!</v>
      </c>
      <c r="E11" s="2"/>
      <c r="F11" s="2" t="e">
        <f>IF(A11="","",COUNTIF(#REF!,A11))</f>
        <v>#REF!</v>
      </c>
      <c r="G11" s="2" t="e">
        <f>IF(A11="","",COUNTIFS(#REF!,A11,#REF!,"Penal"))</f>
        <v>#REF!</v>
      </c>
      <c r="H11" s="2" t="e">
        <f>IF(A11="","",COUNTIFS(#REF!,A11,#REF!,"Autogol"))</f>
        <v>#REF!</v>
      </c>
      <c r="I11" s="2" t="e">
        <f>#REF!</f>
        <v>#REF!</v>
      </c>
    </row>
    <row r="12" spans="1:9" ht="18.399999999999999" customHeight="1">
      <c r="A12" s="12" t="e">
        <f>#REF!</f>
        <v>#REF!</v>
      </c>
      <c r="B12" s="2" t="e">
        <f>IF(A12="","",#REF!&amp;" "&amp;#REF!&amp;" "&amp;#REF!)</f>
        <v>#REF!</v>
      </c>
      <c r="C12" s="2" t="e">
        <f>#REF!</f>
        <v>#REF!</v>
      </c>
      <c r="D12" s="2" t="e">
        <f>#REF!</f>
        <v>#REF!</v>
      </c>
      <c r="E12" s="2"/>
      <c r="F12" s="2" t="e">
        <f>IF(A12="","",COUNTIF(#REF!,A12))</f>
        <v>#REF!</v>
      </c>
      <c r="G12" s="2" t="e">
        <f>IF(A12="","",COUNTIFS(#REF!,A12,#REF!,"Penal"))</f>
        <v>#REF!</v>
      </c>
      <c r="H12" s="2" t="e">
        <f>IF(A12="","",COUNTIFS(#REF!,A12,#REF!,"Autogol"))</f>
        <v>#REF!</v>
      </c>
      <c r="I12" s="2" t="e">
        <f>#REF!</f>
        <v>#REF!</v>
      </c>
    </row>
    <row r="13" spans="1:9" ht="18.399999999999999" customHeight="1">
      <c r="A13" s="12" t="e">
        <f>#REF!</f>
        <v>#REF!</v>
      </c>
      <c r="B13" s="2" t="e">
        <f>IF(A13="","",#REF!&amp;" "&amp;#REF!&amp;" "&amp;#REF!)</f>
        <v>#REF!</v>
      </c>
      <c r="C13" s="2" t="e">
        <f>#REF!</f>
        <v>#REF!</v>
      </c>
      <c r="D13" s="2" t="e">
        <f>#REF!</f>
        <v>#REF!</v>
      </c>
      <c r="E13" s="2"/>
      <c r="F13" s="2" t="e">
        <f>IF(A13="","",COUNTIF(#REF!,A13))</f>
        <v>#REF!</v>
      </c>
      <c r="G13" s="2" t="e">
        <f>IF(A13="","",COUNTIFS(#REF!,A13,#REF!,"Penal"))</f>
        <v>#REF!</v>
      </c>
      <c r="H13" s="2" t="e">
        <f>IF(A13="","",COUNTIFS(#REF!,A13,#REF!,"Autogol"))</f>
        <v>#REF!</v>
      </c>
      <c r="I13" s="2" t="e">
        <f>#REF!</f>
        <v>#REF!</v>
      </c>
    </row>
    <row r="14" spans="1:9" ht="18.399999999999999" customHeight="1">
      <c r="A14" s="12" t="e">
        <f>#REF!</f>
        <v>#REF!</v>
      </c>
      <c r="B14" s="2" t="e">
        <f>IF(A14="","",#REF!&amp;" "&amp;#REF!&amp;" "&amp;#REF!)</f>
        <v>#REF!</v>
      </c>
      <c r="C14" s="2" t="e">
        <f>#REF!</f>
        <v>#REF!</v>
      </c>
      <c r="D14" s="2" t="e">
        <f>#REF!</f>
        <v>#REF!</v>
      </c>
      <c r="E14" s="2"/>
      <c r="F14" s="2" t="e">
        <f>IF(A14="","",COUNTIF(#REF!,A14))</f>
        <v>#REF!</v>
      </c>
      <c r="G14" s="2" t="e">
        <f>IF(A14="","",COUNTIFS(#REF!,A14,#REF!,"Penal"))</f>
        <v>#REF!</v>
      </c>
      <c r="H14" s="2" t="e">
        <f>IF(A14="","",COUNTIFS(#REF!,A14,#REF!,"Autogol"))</f>
        <v>#REF!</v>
      </c>
      <c r="I14" s="2" t="e">
        <f>#REF!</f>
        <v>#REF!</v>
      </c>
    </row>
    <row r="15" spans="1:9" ht="18.399999999999999" customHeight="1">
      <c r="A15" s="12" t="e">
        <f>#REF!</f>
        <v>#REF!</v>
      </c>
      <c r="B15" s="2" t="e">
        <f>IF(A15="","",#REF!&amp;" "&amp;#REF!&amp;" "&amp;#REF!)</f>
        <v>#REF!</v>
      </c>
      <c r="C15" s="2" t="e">
        <f>#REF!</f>
        <v>#REF!</v>
      </c>
      <c r="D15" s="2" t="e">
        <f>#REF!</f>
        <v>#REF!</v>
      </c>
      <c r="E15" s="2"/>
      <c r="F15" s="2" t="e">
        <f>IF(A15="","",COUNTIF(#REF!,A15))</f>
        <v>#REF!</v>
      </c>
      <c r="G15" s="2" t="e">
        <f>IF(A15="","",COUNTIFS(#REF!,A15,#REF!,"Penal"))</f>
        <v>#REF!</v>
      </c>
      <c r="H15" s="2" t="e">
        <f>IF(A15="","",COUNTIFS(#REF!,A15,#REF!,"Autogol"))</f>
        <v>#REF!</v>
      </c>
      <c r="I15" s="2" t="e">
        <f>#REF!</f>
        <v>#REF!</v>
      </c>
    </row>
    <row r="16" spans="1:9" ht="18.399999999999999" customHeight="1">
      <c r="A16" s="12" t="e">
        <f>#REF!</f>
        <v>#REF!</v>
      </c>
      <c r="B16" s="2" t="e">
        <f>IF(A16="","",#REF!&amp;" "&amp;#REF!&amp;" "&amp;#REF!)</f>
        <v>#REF!</v>
      </c>
      <c r="C16" s="2" t="e">
        <f>#REF!</f>
        <v>#REF!</v>
      </c>
      <c r="D16" s="2" t="e">
        <f>#REF!</f>
        <v>#REF!</v>
      </c>
      <c r="E16" s="2"/>
      <c r="F16" s="2" t="e">
        <f>IF(A16="","",COUNTIF(#REF!,A16))</f>
        <v>#REF!</v>
      </c>
      <c r="G16" s="2" t="e">
        <f>IF(A16="","",COUNTIFS(#REF!,A16,#REF!,"Penal"))</f>
        <v>#REF!</v>
      </c>
      <c r="H16" s="2" t="e">
        <f>IF(A16="","",COUNTIFS(#REF!,A16,#REF!,"Autogol"))</f>
        <v>#REF!</v>
      </c>
      <c r="I16" s="2" t="e">
        <f>#REF!</f>
        <v>#REF!</v>
      </c>
    </row>
    <row r="17" spans="1:9" ht="18.399999999999999" customHeight="1">
      <c r="A17" s="12" t="e">
        <f>#REF!</f>
        <v>#REF!</v>
      </c>
      <c r="B17" s="2" t="e">
        <f>IF(A17="","",#REF!&amp;" "&amp;#REF!&amp;" "&amp;#REF!)</f>
        <v>#REF!</v>
      </c>
      <c r="C17" s="2" t="e">
        <f>#REF!</f>
        <v>#REF!</v>
      </c>
      <c r="D17" s="2" t="e">
        <f>#REF!</f>
        <v>#REF!</v>
      </c>
      <c r="E17" s="2"/>
      <c r="F17" s="2" t="e">
        <f>IF(A17="","",COUNTIF(#REF!,A17))</f>
        <v>#REF!</v>
      </c>
      <c r="G17" s="2" t="e">
        <f>IF(A17="","",COUNTIFS(#REF!,A17,#REF!,"Penal"))</f>
        <v>#REF!</v>
      </c>
      <c r="H17" s="2" t="e">
        <f>IF(A17="","",COUNTIFS(#REF!,A17,#REF!,"Autogol"))</f>
        <v>#REF!</v>
      </c>
      <c r="I17" s="2" t="e">
        <f>#REF!</f>
        <v>#REF!</v>
      </c>
    </row>
    <row r="18" spans="1:9" ht="18.399999999999999" customHeight="1">
      <c r="A18" s="12" t="e">
        <f>#REF!</f>
        <v>#REF!</v>
      </c>
      <c r="B18" s="2" t="e">
        <f>IF(A18="","",#REF!&amp;" "&amp;#REF!&amp;" "&amp;#REF!)</f>
        <v>#REF!</v>
      </c>
      <c r="C18" s="2" t="e">
        <f>#REF!</f>
        <v>#REF!</v>
      </c>
      <c r="D18" s="2" t="e">
        <f>#REF!</f>
        <v>#REF!</v>
      </c>
      <c r="E18" s="2"/>
      <c r="F18" s="2" t="e">
        <f>IF(A18="","",COUNTIF(#REF!,A18))</f>
        <v>#REF!</v>
      </c>
      <c r="G18" s="2" t="e">
        <f>IF(A18="","",COUNTIFS(#REF!,A18,#REF!,"Penal"))</f>
        <v>#REF!</v>
      </c>
      <c r="H18" s="2" t="e">
        <f>IF(A18="","",COUNTIFS(#REF!,A18,#REF!,"Autogol"))</f>
        <v>#REF!</v>
      </c>
      <c r="I18" s="2" t="e">
        <f>#REF!</f>
        <v>#REF!</v>
      </c>
    </row>
    <row r="19" spans="1:9" ht="18.399999999999999" customHeight="1">
      <c r="A19" s="12" t="e">
        <f>#REF!</f>
        <v>#REF!</v>
      </c>
      <c r="B19" s="2" t="e">
        <f>IF(A19="","",#REF!&amp;" "&amp;#REF!&amp;" "&amp;#REF!)</f>
        <v>#REF!</v>
      </c>
      <c r="C19" s="2" t="e">
        <f>#REF!</f>
        <v>#REF!</v>
      </c>
      <c r="D19" s="2" t="e">
        <f>#REF!</f>
        <v>#REF!</v>
      </c>
      <c r="E19" s="2"/>
      <c r="F19" s="2" t="e">
        <f>IF(A19="","",COUNTIF(#REF!,A19))</f>
        <v>#REF!</v>
      </c>
      <c r="G19" s="2" t="e">
        <f>IF(A19="","",COUNTIFS(#REF!,A19,#REF!,"Penal"))</f>
        <v>#REF!</v>
      </c>
      <c r="H19" s="2" t="e">
        <f>IF(A19="","",COUNTIFS(#REF!,A19,#REF!,"Autogol"))</f>
        <v>#REF!</v>
      </c>
      <c r="I19" s="2" t="e">
        <f>#REF!</f>
        <v>#REF!</v>
      </c>
    </row>
    <row r="20" spans="1:9" ht="18.399999999999999" customHeight="1">
      <c r="A20" s="12" t="e">
        <f>#REF!</f>
        <v>#REF!</v>
      </c>
      <c r="B20" s="2" t="e">
        <f>IF(A20="","",#REF!&amp;" "&amp;#REF!&amp;" "&amp;#REF!)</f>
        <v>#REF!</v>
      </c>
      <c r="C20" s="2" t="e">
        <f>#REF!</f>
        <v>#REF!</v>
      </c>
      <c r="D20" s="2" t="e">
        <f>#REF!</f>
        <v>#REF!</v>
      </c>
      <c r="E20" s="2"/>
      <c r="F20" s="2" t="e">
        <f>IF(A20="","",COUNTIF(#REF!,A20))</f>
        <v>#REF!</v>
      </c>
      <c r="G20" s="2" t="e">
        <f>IF(A20="","",COUNTIFS(#REF!,A20,#REF!,"Penal"))</f>
        <v>#REF!</v>
      </c>
      <c r="H20" s="2" t="e">
        <f>IF(A20="","",COUNTIFS(#REF!,A20,#REF!,"Autogol"))</f>
        <v>#REF!</v>
      </c>
      <c r="I20" s="2" t="e">
        <f>#REF!</f>
        <v>#REF!</v>
      </c>
    </row>
    <row r="21" spans="1:9" ht="18.399999999999999" customHeight="1">
      <c r="A21" s="12" t="e">
        <f>#REF!</f>
        <v>#REF!</v>
      </c>
      <c r="B21" s="2" t="e">
        <f>IF(A21="","",#REF!&amp;" "&amp;#REF!&amp;" "&amp;#REF!)</f>
        <v>#REF!</v>
      </c>
      <c r="C21" s="2" t="e">
        <f>#REF!</f>
        <v>#REF!</v>
      </c>
      <c r="D21" s="2" t="e">
        <f>#REF!</f>
        <v>#REF!</v>
      </c>
      <c r="E21" s="2"/>
      <c r="F21" s="2" t="e">
        <f>IF(A21="","",COUNTIF(#REF!,A21))</f>
        <v>#REF!</v>
      </c>
      <c r="G21" s="2" t="e">
        <f>IF(A21="","",COUNTIFS(#REF!,A21,#REF!,"Penal"))</f>
        <v>#REF!</v>
      </c>
      <c r="H21" s="2" t="e">
        <f>IF(A21="","",COUNTIFS(#REF!,A21,#REF!,"Autogol"))</f>
        <v>#REF!</v>
      </c>
      <c r="I21" s="2" t="e">
        <f>#REF!</f>
        <v>#REF!</v>
      </c>
    </row>
    <row r="22" spans="1:9" ht="18.399999999999999" customHeight="1">
      <c r="A22" s="12" t="e">
        <f>#REF!</f>
        <v>#REF!</v>
      </c>
      <c r="B22" s="2" t="e">
        <f>IF(A22="","",#REF!&amp;" "&amp;#REF!&amp;" "&amp;#REF!)</f>
        <v>#REF!</v>
      </c>
      <c r="C22" s="2" t="e">
        <f>#REF!</f>
        <v>#REF!</v>
      </c>
      <c r="D22" s="2" t="e">
        <f>#REF!</f>
        <v>#REF!</v>
      </c>
      <c r="E22" s="2"/>
      <c r="F22" s="2" t="e">
        <f>IF(A22="","",COUNTIF(#REF!,A22))</f>
        <v>#REF!</v>
      </c>
      <c r="G22" s="2" t="e">
        <f>IF(A22="","",COUNTIFS(#REF!,A22,#REF!,"Penal"))</f>
        <v>#REF!</v>
      </c>
      <c r="H22" s="2" t="e">
        <f>IF(A22="","",COUNTIFS(#REF!,A22,#REF!,"Autogol"))</f>
        <v>#REF!</v>
      </c>
      <c r="I22" s="2" t="e">
        <f>#REF!</f>
        <v>#REF!</v>
      </c>
    </row>
    <row r="23" spans="1:9" ht="18.399999999999999" customHeight="1">
      <c r="A23" s="12" t="e">
        <f>#REF!</f>
        <v>#REF!</v>
      </c>
      <c r="B23" s="2" t="e">
        <f>IF(A23="","",#REF!&amp;" "&amp;#REF!&amp;" "&amp;#REF!)</f>
        <v>#REF!</v>
      </c>
      <c r="C23" s="2" t="e">
        <f>#REF!</f>
        <v>#REF!</v>
      </c>
      <c r="D23" s="2" t="e">
        <f>#REF!</f>
        <v>#REF!</v>
      </c>
      <c r="E23" s="2"/>
      <c r="F23" s="2" t="e">
        <f>IF(A23="","",COUNTIF(#REF!,A23))</f>
        <v>#REF!</v>
      </c>
      <c r="G23" s="2" t="e">
        <f>IF(A23="","",COUNTIFS(#REF!,A23,#REF!,"Penal"))</f>
        <v>#REF!</v>
      </c>
      <c r="H23" s="2" t="e">
        <f>IF(A23="","",COUNTIFS(#REF!,A23,#REF!,"Autogol"))</f>
        <v>#REF!</v>
      </c>
      <c r="I23" s="2" t="e">
        <f>#REF!</f>
        <v>#REF!</v>
      </c>
    </row>
    <row r="24" spans="1:9" ht="18.399999999999999" customHeight="1">
      <c r="A24" s="12" t="e">
        <f>#REF!</f>
        <v>#REF!</v>
      </c>
      <c r="B24" s="2" t="e">
        <f>IF(A24="","",#REF!&amp;" "&amp;#REF!&amp;" "&amp;#REF!)</f>
        <v>#REF!</v>
      </c>
      <c r="C24" s="2" t="e">
        <f>#REF!</f>
        <v>#REF!</v>
      </c>
      <c r="D24" s="2" t="e">
        <f>#REF!</f>
        <v>#REF!</v>
      </c>
      <c r="E24" s="2"/>
      <c r="F24" s="2" t="e">
        <f>IF(A24="","",COUNTIF(#REF!,A24))</f>
        <v>#REF!</v>
      </c>
      <c r="G24" s="2" t="e">
        <f>IF(A24="","",COUNTIFS(#REF!,A24,#REF!,"Penal"))</f>
        <v>#REF!</v>
      </c>
      <c r="H24" s="2" t="e">
        <f>IF(A24="","",COUNTIFS(#REF!,A24,#REF!,"Autogol"))</f>
        <v>#REF!</v>
      </c>
      <c r="I24" s="2" t="e">
        <f>#REF!</f>
        <v>#REF!</v>
      </c>
    </row>
    <row r="25" spans="1:9" ht="18.399999999999999" customHeight="1">
      <c r="A25" s="12" t="e">
        <f>#REF!</f>
        <v>#REF!</v>
      </c>
      <c r="B25" s="2" t="e">
        <f>IF(A25="","",#REF!&amp;" "&amp;#REF!&amp;" "&amp;#REF!)</f>
        <v>#REF!</v>
      </c>
      <c r="C25" s="2" t="e">
        <f>#REF!</f>
        <v>#REF!</v>
      </c>
      <c r="D25" s="2" t="e">
        <f>#REF!</f>
        <v>#REF!</v>
      </c>
      <c r="E25" s="2"/>
      <c r="F25" s="2" t="e">
        <f>IF(A25="","",COUNTIF(#REF!,A25))</f>
        <v>#REF!</v>
      </c>
      <c r="G25" s="2" t="e">
        <f>IF(A25="","",COUNTIFS(#REF!,A25,#REF!,"Penal"))</f>
        <v>#REF!</v>
      </c>
      <c r="H25" s="2" t="e">
        <f>IF(A25="","",COUNTIFS(#REF!,A25,#REF!,"Autogol"))</f>
        <v>#REF!</v>
      </c>
      <c r="I25" s="2" t="e">
        <f>#REF!</f>
        <v>#REF!</v>
      </c>
    </row>
    <row r="26" spans="1:9" ht="18.399999999999999" customHeight="1">
      <c r="A26" s="12" t="e">
        <f>#REF!</f>
        <v>#REF!</v>
      </c>
      <c r="B26" s="2" t="e">
        <f>IF(A26="","",#REF!&amp;" "&amp;#REF!&amp;" "&amp;#REF!)</f>
        <v>#REF!</v>
      </c>
      <c r="C26" s="2" t="e">
        <f>#REF!</f>
        <v>#REF!</v>
      </c>
      <c r="D26" s="2" t="e">
        <f>#REF!</f>
        <v>#REF!</v>
      </c>
      <c r="E26" s="2"/>
      <c r="F26" s="2" t="e">
        <f>IF(A26="","",COUNTIF(#REF!,A26))</f>
        <v>#REF!</v>
      </c>
      <c r="G26" s="2" t="e">
        <f>IF(A26="","",COUNTIFS(#REF!,A26,#REF!,"Penal"))</f>
        <v>#REF!</v>
      </c>
      <c r="H26" s="2" t="e">
        <f>IF(A26="","",COUNTIFS(#REF!,A26,#REF!,"Autogol"))</f>
        <v>#REF!</v>
      </c>
      <c r="I26" s="2" t="e">
        <f>#REF!</f>
        <v>#REF!</v>
      </c>
    </row>
    <row r="27" spans="1:9" ht="18.399999999999999" customHeight="1">
      <c r="A27" s="12" t="e">
        <f>#REF!</f>
        <v>#REF!</v>
      </c>
      <c r="B27" s="2" t="e">
        <f>IF(A27="","",#REF!&amp;" "&amp;#REF!&amp;" "&amp;#REF!)</f>
        <v>#REF!</v>
      </c>
      <c r="C27" s="2" t="e">
        <f>#REF!</f>
        <v>#REF!</v>
      </c>
      <c r="D27" s="2" t="e">
        <f>#REF!</f>
        <v>#REF!</v>
      </c>
      <c r="E27" s="2"/>
      <c r="F27" s="2" t="e">
        <f>IF(A27="","",COUNTIF(#REF!,A27))</f>
        <v>#REF!</v>
      </c>
      <c r="G27" s="2" t="e">
        <f>IF(A27="","",COUNTIFS(#REF!,A27,#REF!,"Penal"))</f>
        <v>#REF!</v>
      </c>
      <c r="H27" s="2" t="e">
        <f>IF(A27="","",COUNTIFS(#REF!,A27,#REF!,"Autogol"))</f>
        <v>#REF!</v>
      </c>
      <c r="I27" s="2" t="e">
        <f>#REF!</f>
        <v>#REF!</v>
      </c>
    </row>
    <row r="28" spans="1:9" ht="18.399999999999999" customHeight="1">
      <c r="A28" s="12" t="e">
        <f>#REF!</f>
        <v>#REF!</v>
      </c>
      <c r="B28" s="2" t="e">
        <f>IF(A28="","",#REF!&amp;" "&amp;#REF!&amp;" "&amp;#REF!)</f>
        <v>#REF!</v>
      </c>
      <c r="C28" s="2" t="e">
        <f>#REF!</f>
        <v>#REF!</v>
      </c>
      <c r="D28" s="2" t="e">
        <f>#REF!</f>
        <v>#REF!</v>
      </c>
      <c r="E28" s="2"/>
      <c r="F28" s="2" t="e">
        <f>IF(A28="","",COUNTIF(#REF!,A28))</f>
        <v>#REF!</v>
      </c>
      <c r="G28" s="2" t="e">
        <f>IF(A28="","",COUNTIFS(#REF!,A28,#REF!,"Penal"))</f>
        <v>#REF!</v>
      </c>
      <c r="H28" s="2" t="e">
        <f>IF(A28="","",COUNTIFS(#REF!,A28,#REF!,"Autogol"))</f>
        <v>#REF!</v>
      </c>
      <c r="I28" s="2" t="e">
        <f>#REF!</f>
        <v>#REF!</v>
      </c>
    </row>
    <row r="29" spans="1:9" ht="18.399999999999999" customHeight="1">
      <c r="A29" s="12" t="e">
        <f>#REF!</f>
        <v>#REF!</v>
      </c>
      <c r="B29" s="2" t="e">
        <f>IF(A29="","",#REF!&amp;" "&amp;#REF!&amp;" "&amp;#REF!)</f>
        <v>#REF!</v>
      </c>
      <c r="C29" s="2" t="e">
        <f>#REF!</f>
        <v>#REF!</v>
      </c>
      <c r="D29" s="2" t="e">
        <f>#REF!</f>
        <v>#REF!</v>
      </c>
      <c r="E29" s="2"/>
      <c r="F29" s="2" t="e">
        <f>IF(A29="","",COUNTIF(#REF!,A29))</f>
        <v>#REF!</v>
      </c>
      <c r="G29" s="2" t="e">
        <f>IF(A29="","",COUNTIFS(#REF!,A29,#REF!,"Penal"))</f>
        <v>#REF!</v>
      </c>
      <c r="H29" s="2" t="e">
        <f>IF(A29="","",COUNTIFS(#REF!,A29,#REF!,"Autogol"))</f>
        <v>#REF!</v>
      </c>
      <c r="I29" s="2" t="e">
        <f>#REF!</f>
        <v>#REF!</v>
      </c>
    </row>
    <row r="30" spans="1:9" ht="18.399999999999999" customHeight="1">
      <c r="A30" s="12" t="e">
        <f>#REF!</f>
        <v>#REF!</v>
      </c>
      <c r="B30" s="2" t="e">
        <f>IF(A30="","",#REF!&amp;" "&amp;#REF!&amp;" "&amp;#REF!)</f>
        <v>#REF!</v>
      </c>
      <c r="C30" s="2" t="e">
        <f>#REF!</f>
        <v>#REF!</v>
      </c>
      <c r="D30" s="2" t="e">
        <f>#REF!</f>
        <v>#REF!</v>
      </c>
      <c r="E30" s="2"/>
      <c r="F30" s="2" t="e">
        <f>IF(A30="","",COUNTIF(#REF!,A30))</f>
        <v>#REF!</v>
      </c>
      <c r="G30" s="2" t="e">
        <f>IF(A30="","",COUNTIFS(#REF!,A30,#REF!,"Penal"))</f>
        <v>#REF!</v>
      </c>
      <c r="H30" s="2" t="e">
        <f>IF(A30="","",COUNTIFS(#REF!,A30,#REF!,"Autogol"))</f>
        <v>#REF!</v>
      </c>
      <c r="I30" s="2" t="e">
        <f>#REF!</f>
        <v>#REF!</v>
      </c>
    </row>
    <row r="31" spans="1:9" ht="18.399999999999999" customHeight="1">
      <c r="A31" s="12" t="e">
        <f>#REF!</f>
        <v>#REF!</v>
      </c>
      <c r="B31" s="2" t="e">
        <f>IF(A31="","",#REF!&amp;" "&amp;#REF!&amp;" "&amp;#REF!)</f>
        <v>#REF!</v>
      </c>
      <c r="C31" s="2" t="e">
        <f>#REF!</f>
        <v>#REF!</v>
      </c>
      <c r="D31" s="2" t="e">
        <f>#REF!</f>
        <v>#REF!</v>
      </c>
      <c r="E31" s="2"/>
      <c r="F31" s="2" t="e">
        <f>IF(A31="","",COUNTIF(#REF!,A31))</f>
        <v>#REF!</v>
      </c>
      <c r="G31" s="2" t="e">
        <f>IF(A31="","",COUNTIFS(#REF!,A31,#REF!,"Penal"))</f>
        <v>#REF!</v>
      </c>
      <c r="H31" s="2" t="e">
        <f>IF(A31="","",COUNTIFS(#REF!,A31,#REF!,"Autogol"))</f>
        <v>#REF!</v>
      </c>
      <c r="I31" s="2" t="e">
        <f>#REF!</f>
        <v>#REF!</v>
      </c>
    </row>
    <row r="32" spans="1:9" ht="18.399999999999999" customHeight="1">
      <c r="A32" s="12" t="e">
        <f>#REF!</f>
        <v>#REF!</v>
      </c>
      <c r="B32" s="2" t="e">
        <f>IF(A32="","",#REF!&amp;" "&amp;#REF!&amp;" "&amp;#REF!)</f>
        <v>#REF!</v>
      </c>
      <c r="C32" s="2" t="e">
        <f>#REF!</f>
        <v>#REF!</v>
      </c>
      <c r="D32" s="2" t="e">
        <f>#REF!</f>
        <v>#REF!</v>
      </c>
      <c r="E32" s="2"/>
      <c r="F32" s="2" t="e">
        <f>IF(A32="","",COUNTIF(#REF!,A32))</f>
        <v>#REF!</v>
      </c>
      <c r="G32" s="2" t="e">
        <f>IF(A32="","",COUNTIFS(#REF!,A32,#REF!,"Penal"))</f>
        <v>#REF!</v>
      </c>
      <c r="H32" s="2" t="e">
        <f>IF(A32="","",COUNTIFS(#REF!,A32,#REF!,"Autogol"))</f>
        <v>#REF!</v>
      </c>
      <c r="I32" s="2" t="e">
        <f>#REF!</f>
        <v>#REF!</v>
      </c>
    </row>
    <row r="33" spans="1:9" ht="18.399999999999999" customHeight="1">
      <c r="A33" s="12" t="e">
        <f>#REF!</f>
        <v>#REF!</v>
      </c>
      <c r="B33" s="2" t="e">
        <f>IF(A33="","",#REF!&amp;" "&amp;#REF!&amp;" "&amp;#REF!)</f>
        <v>#REF!</v>
      </c>
      <c r="C33" s="2" t="e">
        <f>#REF!</f>
        <v>#REF!</v>
      </c>
      <c r="D33" s="2" t="e">
        <f>#REF!</f>
        <v>#REF!</v>
      </c>
      <c r="E33" s="2"/>
      <c r="F33" s="2" t="e">
        <f>IF(A33="","",COUNTIF(#REF!,A33))</f>
        <v>#REF!</v>
      </c>
      <c r="G33" s="2" t="e">
        <f>IF(A33="","",COUNTIFS(#REF!,A33,#REF!,"Penal"))</f>
        <v>#REF!</v>
      </c>
      <c r="H33" s="2" t="e">
        <f>IF(A33="","",COUNTIFS(#REF!,A33,#REF!,"Autogol"))</f>
        <v>#REF!</v>
      </c>
      <c r="I33" s="2" t="e">
        <f>#REF!</f>
        <v>#REF!</v>
      </c>
    </row>
    <row r="34" spans="1:9" ht="18.399999999999999" customHeight="1">
      <c r="A34" s="12" t="e">
        <f>#REF!</f>
        <v>#REF!</v>
      </c>
      <c r="B34" s="2" t="e">
        <f>IF(A34="","",#REF!&amp;" "&amp;#REF!&amp;" "&amp;#REF!)</f>
        <v>#REF!</v>
      </c>
      <c r="C34" s="2" t="e">
        <f>#REF!</f>
        <v>#REF!</v>
      </c>
      <c r="D34" s="2" t="e">
        <f>#REF!</f>
        <v>#REF!</v>
      </c>
      <c r="E34" s="2"/>
      <c r="F34" s="2" t="e">
        <f>IF(A34="","",COUNTIF(#REF!,A34))</f>
        <v>#REF!</v>
      </c>
      <c r="G34" s="2" t="e">
        <f>IF(A34="","",COUNTIFS(#REF!,A34,#REF!,"Penal"))</f>
        <v>#REF!</v>
      </c>
      <c r="H34" s="2" t="e">
        <f>IF(A34="","",COUNTIFS(#REF!,A34,#REF!,"Autogol"))</f>
        <v>#REF!</v>
      </c>
      <c r="I34" s="2" t="e">
        <f>#REF!</f>
        <v>#REF!</v>
      </c>
    </row>
    <row r="35" spans="1:9" ht="18.399999999999999" customHeight="1">
      <c r="A35" s="12" t="e">
        <f>#REF!</f>
        <v>#REF!</v>
      </c>
      <c r="B35" s="2" t="e">
        <f>IF(A35="","",#REF!&amp;" "&amp;#REF!&amp;" "&amp;#REF!)</f>
        <v>#REF!</v>
      </c>
      <c r="C35" s="2" t="e">
        <f>#REF!</f>
        <v>#REF!</v>
      </c>
      <c r="D35" s="2" t="e">
        <f>#REF!</f>
        <v>#REF!</v>
      </c>
      <c r="E35" s="2"/>
      <c r="F35" s="2" t="e">
        <f>IF(A35="","",COUNTIF(#REF!,A35))</f>
        <v>#REF!</v>
      </c>
      <c r="G35" s="2" t="e">
        <f>IF(A35="","",COUNTIFS(#REF!,A35,#REF!,"Penal"))</f>
        <v>#REF!</v>
      </c>
      <c r="H35" s="2" t="e">
        <f>IF(A35="","",COUNTIFS(#REF!,A35,#REF!,"Autogol"))</f>
        <v>#REF!</v>
      </c>
      <c r="I35" s="2" t="e">
        <f>#REF!</f>
        <v>#REF!</v>
      </c>
    </row>
    <row r="36" spans="1:9" ht="18.399999999999999" customHeight="1">
      <c r="A36" s="12" t="e">
        <f>#REF!</f>
        <v>#REF!</v>
      </c>
      <c r="B36" s="2" t="e">
        <f>IF(A36="","",#REF!&amp;" "&amp;#REF!&amp;" "&amp;#REF!)</f>
        <v>#REF!</v>
      </c>
      <c r="C36" s="2" t="e">
        <f>#REF!</f>
        <v>#REF!</v>
      </c>
      <c r="D36" s="2" t="e">
        <f>#REF!</f>
        <v>#REF!</v>
      </c>
      <c r="E36" s="2"/>
      <c r="F36" s="2" t="e">
        <f>IF(A36="","",COUNTIF(#REF!,A36))</f>
        <v>#REF!</v>
      </c>
      <c r="G36" s="2" t="e">
        <f>IF(A36="","",COUNTIFS(#REF!,A36,#REF!,"Penal"))</f>
        <v>#REF!</v>
      </c>
      <c r="H36" s="2" t="e">
        <f>IF(A36="","",COUNTIFS(#REF!,A36,#REF!,"Autogol"))</f>
        <v>#REF!</v>
      </c>
      <c r="I36" s="2" t="e">
        <f>#REF!</f>
        <v>#REF!</v>
      </c>
    </row>
    <row r="37" spans="1:9" ht="18.399999999999999" customHeight="1">
      <c r="A37" s="12" t="e">
        <f>#REF!</f>
        <v>#REF!</v>
      </c>
      <c r="B37" s="2" t="e">
        <f>IF(A37="","",#REF!&amp;" "&amp;#REF!&amp;" "&amp;#REF!)</f>
        <v>#REF!</v>
      </c>
      <c r="C37" s="2" t="e">
        <f>#REF!</f>
        <v>#REF!</v>
      </c>
      <c r="D37" s="2" t="e">
        <f>#REF!</f>
        <v>#REF!</v>
      </c>
      <c r="E37" s="2"/>
      <c r="F37" s="2" t="e">
        <f>IF(A37="","",COUNTIF(#REF!,A37))</f>
        <v>#REF!</v>
      </c>
      <c r="G37" s="2" t="e">
        <f>IF(A37="","",COUNTIFS(#REF!,A37,#REF!,"Penal"))</f>
        <v>#REF!</v>
      </c>
      <c r="H37" s="2" t="e">
        <f>IF(A37="","",COUNTIFS(#REF!,A37,#REF!,"Autogol"))</f>
        <v>#REF!</v>
      </c>
      <c r="I37" s="2" t="e">
        <f>#REF!</f>
        <v>#REF!</v>
      </c>
    </row>
    <row r="38" spans="1:9" ht="18.399999999999999" customHeight="1">
      <c r="A38" s="12" t="e">
        <f>#REF!</f>
        <v>#REF!</v>
      </c>
      <c r="B38" s="2" t="e">
        <f>IF(A38="","",#REF!&amp;" "&amp;#REF!&amp;" "&amp;#REF!)</f>
        <v>#REF!</v>
      </c>
      <c r="C38" s="2" t="e">
        <f>#REF!</f>
        <v>#REF!</v>
      </c>
      <c r="D38" s="2" t="e">
        <f>#REF!</f>
        <v>#REF!</v>
      </c>
      <c r="E38" s="2"/>
      <c r="F38" s="2" t="e">
        <f>IF(A38="","",COUNTIF(#REF!,A38))</f>
        <v>#REF!</v>
      </c>
      <c r="G38" s="2" t="e">
        <f>IF(A38="","",COUNTIFS(#REF!,A38,#REF!,"Penal"))</f>
        <v>#REF!</v>
      </c>
      <c r="H38" s="2" t="e">
        <f>IF(A38="","",COUNTIFS(#REF!,A38,#REF!,"Autogol"))</f>
        <v>#REF!</v>
      </c>
      <c r="I38" s="2" t="e">
        <f>#REF!</f>
        <v>#REF!</v>
      </c>
    </row>
    <row r="39" spans="1:9" ht="18.399999999999999" customHeight="1">
      <c r="A39" s="12" t="e">
        <f>#REF!</f>
        <v>#REF!</v>
      </c>
      <c r="B39" s="2" t="e">
        <f>IF(A39="","",#REF!&amp;" "&amp;#REF!&amp;" "&amp;#REF!)</f>
        <v>#REF!</v>
      </c>
      <c r="C39" s="2" t="e">
        <f>#REF!</f>
        <v>#REF!</v>
      </c>
      <c r="D39" s="2" t="e">
        <f>#REF!</f>
        <v>#REF!</v>
      </c>
      <c r="E39" s="2"/>
      <c r="F39" s="2" t="e">
        <f>IF(A39="","",COUNTIF(#REF!,A39))</f>
        <v>#REF!</v>
      </c>
      <c r="G39" s="2" t="e">
        <f>IF(A39="","",COUNTIFS(#REF!,A39,#REF!,"Penal"))</f>
        <v>#REF!</v>
      </c>
      <c r="H39" s="2" t="e">
        <f>IF(A39="","",COUNTIFS(#REF!,A39,#REF!,"Autogol"))</f>
        <v>#REF!</v>
      </c>
      <c r="I39" s="2" t="e">
        <f>#REF!</f>
        <v>#REF!</v>
      </c>
    </row>
    <row r="40" spans="1:9" ht="18.399999999999999" customHeight="1">
      <c r="A40" s="12" t="e">
        <f>#REF!</f>
        <v>#REF!</v>
      </c>
      <c r="B40" s="2" t="e">
        <f>IF(A40="","",#REF!&amp;" "&amp;#REF!&amp;" "&amp;#REF!)</f>
        <v>#REF!</v>
      </c>
      <c r="C40" s="2" t="e">
        <f>#REF!</f>
        <v>#REF!</v>
      </c>
      <c r="D40" s="2" t="e">
        <f>#REF!</f>
        <v>#REF!</v>
      </c>
      <c r="E40" s="2"/>
      <c r="F40" s="2" t="e">
        <f>IF(A40="","",COUNTIF(#REF!,A40))</f>
        <v>#REF!</v>
      </c>
      <c r="G40" s="2" t="e">
        <f>IF(A40="","",COUNTIFS(#REF!,A40,#REF!,"Penal"))</f>
        <v>#REF!</v>
      </c>
      <c r="H40" s="2" t="e">
        <f>IF(A40="","",COUNTIFS(#REF!,A40,#REF!,"Autogol"))</f>
        <v>#REF!</v>
      </c>
      <c r="I40" s="2" t="e">
        <f>#REF!</f>
        <v>#REF!</v>
      </c>
    </row>
    <row r="41" spans="1:9" ht="18.399999999999999" customHeight="1">
      <c r="A41" s="12" t="e">
        <f>#REF!</f>
        <v>#REF!</v>
      </c>
      <c r="B41" s="2" t="e">
        <f>IF(A41="","",#REF!&amp;" "&amp;#REF!&amp;" "&amp;#REF!)</f>
        <v>#REF!</v>
      </c>
      <c r="C41" s="2" t="e">
        <f>#REF!</f>
        <v>#REF!</v>
      </c>
      <c r="D41" s="2" t="e">
        <f>#REF!</f>
        <v>#REF!</v>
      </c>
      <c r="E41" s="2"/>
      <c r="F41" s="2" t="e">
        <f>IF(A41="","",COUNTIF(#REF!,A41))</f>
        <v>#REF!</v>
      </c>
      <c r="G41" s="2" t="e">
        <f>IF(A41="","",COUNTIFS(#REF!,A41,#REF!,"Penal"))</f>
        <v>#REF!</v>
      </c>
      <c r="H41" s="2" t="e">
        <f>IF(A41="","",COUNTIFS(#REF!,A41,#REF!,"Autogol"))</f>
        <v>#REF!</v>
      </c>
      <c r="I41" s="2" t="e">
        <f>#REF!</f>
        <v>#REF!</v>
      </c>
    </row>
    <row r="42" spans="1:9" ht="18.399999999999999" customHeight="1">
      <c r="A42" s="12" t="e">
        <f>#REF!</f>
        <v>#REF!</v>
      </c>
      <c r="B42" s="2" t="e">
        <f>IF(A42="","",#REF!&amp;" "&amp;#REF!&amp;" "&amp;#REF!)</f>
        <v>#REF!</v>
      </c>
      <c r="C42" s="2" t="e">
        <f>#REF!</f>
        <v>#REF!</v>
      </c>
      <c r="D42" s="2" t="e">
        <f>#REF!</f>
        <v>#REF!</v>
      </c>
      <c r="E42" s="2"/>
      <c r="F42" s="2" t="e">
        <f>IF(A42="","",COUNTIF(#REF!,A42))</f>
        <v>#REF!</v>
      </c>
      <c r="G42" s="2" t="e">
        <f>IF(A42="","",COUNTIFS(#REF!,A42,#REF!,"Penal"))</f>
        <v>#REF!</v>
      </c>
      <c r="H42" s="2" t="e">
        <f>IF(A42="","",COUNTIFS(#REF!,A42,#REF!,"Autogol"))</f>
        <v>#REF!</v>
      </c>
      <c r="I42" s="2" t="e">
        <f>#REF!</f>
        <v>#REF!</v>
      </c>
    </row>
    <row r="43" spans="1:9" ht="18.399999999999999" customHeight="1">
      <c r="A43" s="12" t="e">
        <f>#REF!</f>
        <v>#REF!</v>
      </c>
      <c r="B43" s="2" t="e">
        <f>IF(A43="","",#REF!&amp;" "&amp;#REF!&amp;" "&amp;#REF!)</f>
        <v>#REF!</v>
      </c>
      <c r="C43" s="2" t="e">
        <f>#REF!</f>
        <v>#REF!</v>
      </c>
      <c r="D43" s="2" t="e">
        <f>#REF!</f>
        <v>#REF!</v>
      </c>
      <c r="E43" s="2"/>
      <c r="F43" s="2" t="e">
        <f>IF(A43="","",COUNTIF(#REF!,A43))</f>
        <v>#REF!</v>
      </c>
      <c r="G43" s="2" t="e">
        <f>IF(A43="","",COUNTIFS(#REF!,A43,#REF!,"Penal"))</f>
        <v>#REF!</v>
      </c>
      <c r="H43" s="2" t="e">
        <f>IF(A43="","",COUNTIFS(#REF!,A43,#REF!,"Autogol"))</f>
        <v>#REF!</v>
      </c>
      <c r="I43" s="2" t="e">
        <f>#REF!</f>
        <v>#REF!</v>
      </c>
    </row>
    <row r="44" spans="1:9" ht="18.399999999999999" customHeight="1">
      <c r="A44" s="12" t="e">
        <f>#REF!</f>
        <v>#REF!</v>
      </c>
      <c r="B44" s="2" t="e">
        <f>IF(A44="","",#REF!&amp;" "&amp;#REF!&amp;" "&amp;#REF!)</f>
        <v>#REF!</v>
      </c>
      <c r="C44" s="2" t="e">
        <f>#REF!</f>
        <v>#REF!</v>
      </c>
      <c r="D44" s="2" t="e">
        <f>#REF!</f>
        <v>#REF!</v>
      </c>
      <c r="E44" s="2"/>
      <c r="F44" s="2" t="e">
        <f>IF(A44="","",COUNTIF(#REF!,A44))</f>
        <v>#REF!</v>
      </c>
      <c r="G44" s="2" t="e">
        <f>IF(A44="","",COUNTIFS(#REF!,A44,#REF!,"Penal"))</f>
        <v>#REF!</v>
      </c>
      <c r="H44" s="2" t="e">
        <f>IF(A44="","",COUNTIFS(#REF!,A44,#REF!,"Autogol"))</f>
        <v>#REF!</v>
      </c>
      <c r="I44" s="2" t="e">
        <f>#REF!</f>
        <v>#REF!</v>
      </c>
    </row>
    <row r="45" spans="1:9" ht="18.399999999999999" customHeight="1">
      <c r="A45" s="12" t="e">
        <f>#REF!</f>
        <v>#REF!</v>
      </c>
      <c r="B45" s="2" t="e">
        <f>IF(A45="","",#REF!&amp;" "&amp;#REF!&amp;" "&amp;#REF!)</f>
        <v>#REF!</v>
      </c>
      <c r="C45" s="2" t="e">
        <f>#REF!</f>
        <v>#REF!</v>
      </c>
      <c r="D45" s="2" t="e">
        <f>#REF!</f>
        <v>#REF!</v>
      </c>
      <c r="E45" s="2"/>
      <c r="F45" s="2" t="e">
        <f>IF(A45="","",COUNTIF(#REF!,A45))</f>
        <v>#REF!</v>
      </c>
      <c r="G45" s="2" t="e">
        <f>IF(A45="","",COUNTIFS(#REF!,A45,#REF!,"Penal"))</f>
        <v>#REF!</v>
      </c>
      <c r="H45" s="2" t="e">
        <f>IF(A45="","",COUNTIFS(#REF!,A45,#REF!,"Autogol"))</f>
        <v>#REF!</v>
      </c>
      <c r="I45" s="2" t="e">
        <f>#REF!</f>
        <v>#REF!</v>
      </c>
    </row>
    <row r="46" spans="1:9" ht="18.399999999999999" customHeight="1">
      <c r="A46" s="12" t="e">
        <f>#REF!</f>
        <v>#REF!</v>
      </c>
      <c r="B46" s="2" t="e">
        <f>IF(A46="","",#REF!&amp;" "&amp;#REF!&amp;" "&amp;#REF!)</f>
        <v>#REF!</v>
      </c>
      <c r="C46" s="2" t="e">
        <f>#REF!</f>
        <v>#REF!</v>
      </c>
      <c r="D46" s="2" t="e">
        <f>#REF!</f>
        <v>#REF!</v>
      </c>
      <c r="E46" s="2"/>
      <c r="F46" s="2" t="e">
        <f>IF(A46="","",COUNTIF(#REF!,A46))</f>
        <v>#REF!</v>
      </c>
      <c r="G46" s="2" t="e">
        <f>IF(A46="","",COUNTIFS(#REF!,A46,#REF!,"Penal"))</f>
        <v>#REF!</v>
      </c>
      <c r="H46" s="2" t="e">
        <f>IF(A46="","",COUNTIFS(#REF!,A46,#REF!,"Autogol"))</f>
        <v>#REF!</v>
      </c>
      <c r="I46" s="2" t="e">
        <f>#REF!</f>
        <v>#REF!</v>
      </c>
    </row>
    <row r="47" spans="1:9" ht="18.399999999999999" customHeight="1">
      <c r="A47" s="12" t="e">
        <f>#REF!</f>
        <v>#REF!</v>
      </c>
      <c r="B47" s="2" t="e">
        <f>IF(A47="","",#REF!&amp;" "&amp;#REF!&amp;" "&amp;#REF!)</f>
        <v>#REF!</v>
      </c>
      <c r="C47" s="2" t="e">
        <f>#REF!</f>
        <v>#REF!</v>
      </c>
      <c r="D47" s="2" t="e">
        <f>#REF!</f>
        <v>#REF!</v>
      </c>
      <c r="E47" s="2"/>
      <c r="F47" s="2" t="e">
        <f>IF(A47="","",COUNTIF(#REF!,A47))</f>
        <v>#REF!</v>
      </c>
      <c r="G47" s="2" t="e">
        <f>IF(A47="","",COUNTIFS(#REF!,A47,#REF!,"Penal"))</f>
        <v>#REF!</v>
      </c>
      <c r="H47" s="2" t="e">
        <f>IF(A47="","",COUNTIFS(#REF!,A47,#REF!,"Autogol"))</f>
        <v>#REF!</v>
      </c>
      <c r="I47" s="2" t="e">
        <f>#REF!</f>
        <v>#REF!</v>
      </c>
    </row>
    <row r="48" spans="1:9" ht="18.399999999999999" customHeight="1">
      <c r="A48" s="12" t="e">
        <f>#REF!</f>
        <v>#REF!</v>
      </c>
      <c r="B48" s="2" t="e">
        <f>IF(A48="","",#REF!&amp;" "&amp;#REF!&amp;" "&amp;#REF!)</f>
        <v>#REF!</v>
      </c>
      <c r="C48" s="2" t="e">
        <f>#REF!</f>
        <v>#REF!</v>
      </c>
      <c r="D48" s="2" t="e">
        <f>#REF!</f>
        <v>#REF!</v>
      </c>
      <c r="E48" s="2"/>
      <c r="F48" s="2" t="e">
        <f>IF(A48="","",COUNTIF(#REF!,A48))</f>
        <v>#REF!</v>
      </c>
      <c r="G48" s="2" t="e">
        <f>IF(A48="","",COUNTIFS(#REF!,A48,#REF!,"Penal"))</f>
        <v>#REF!</v>
      </c>
      <c r="H48" s="2" t="e">
        <f>IF(A48="","",COUNTIFS(#REF!,A48,#REF!,"Autogol"))</f>
        <v>#REF!</v>
      </c>
      <c r="I48" s="2" t="e">
        <f>#REF!</f>
        <v>#REF!</v>
      </c>
    </row>
    <row r="49" spans="1:9" ht="18.399999999999999" customHeight="1">
      <c r="A49" s="12" t="e">
        <f>#REF!</f>
        <v>#REF!</v>
      </c>
      <c r="B49" s="2" t="e">
        <f>IF(A49="","",#REF!&amp;" "&amp;#REF!&amp;" "&amp;#REF!)</f>
        <v>#REF!</v>
      </c>
      <c r="C49" s="2" t="e">
        <f>#REF!</f>
        <v>#REF!</v>
      </c>
      <c r="D49" s="2" t="e">
        <f>#REF!</f>
        <v>#REF!</v>
      </c>
      <c r="E49" s="2"/>
      <c r="F49" s="2" t="e">
        <f>IF(A49="","",COUNTIF(#REF!,A49))</f>
        <v>#REF!</v>
      </c>
      <c r="G49" s="2" t="e">
        <f>IF(A49="","",COUNTIFS(#REF!,A49,#REF!,"Penal"))</f>
        <v>#REF!</v>
      </c>
      <c r="H49" s="2" t="e">
        <f>IF(A49="","",COUNTIFS(#REF!,A49,#REF!,"Autogol"))</f>
        <v>#REF!</v>
      </c>
      <c r="I49" s="2" t="e">
        <f>#REF!</f>
        <v>#REF!</v>
      </c>
    </row>
    <row r="50" spans="1:9" ht="18.399999999999999" customHeight="1">
      <c r="A50" s="12" t="e">
        <f>#REF!</f>
        <v>#REF!</v>
      </c>
      <c r="B50" s="2" t="e">
        <f>IF(A50="","",#REF!&amp;" "&amp;#REF!&amp;" "&amp;#REF!)</f>
        <v>#REF!</v>
      </c>
      <c r="C50" s="2" t="e">
        <f>#REF!</f>
        <v>#REF!</v>
      </c>
      <c r="D50" s="2" t="e">
        <f>#REF!</f>
        <v>#REF!</v>
      </c>
      <c r="E50" s="2"/>
      <c r="F50" s="2" t="e">
        <f>IF(A50="","",COUNTIF(#REF!,A50))</f>
        <v>#REF!</v>
      </c>
      <c r="G50" s="2" t="e">
        <f>IF(A50="","",COUNTIFS(#REF!,A50,#REF!,"Penal"))</f>
        <v>#REF!</v>
      </c>
      <c r="H50" s="2" t="e">
        <f>IF(A50="","",COUNTIFS(#REF!,A50,#REF!,"Autogol"))</f>
        <v>#REF!</v>
      </c>
      <c r="I50" s="2" t="e">
        <f>#REF!</f>
        <v>#REF!</v>
      </c>
    </row>
    <row r="51" spans="1:9" ht="18.399999999999999" customHeight="1">
      <c r="A51" s="12" t="e">
        <f>#REF!</f>
        <v>#REF!</v>
      </c>
      <c r="B51" s="2" t="e">
        <f>IF(A51="","",#REF!&amp;" "&amp;#REF!&amp;" "&amp;#REF!)</f>
        <v>#REF!</v>
      </c>
      <c r="C51" s="2" t="e">
        <f>#REF!</f>
        <v>#REF!</v>
      </c>
      <c r="D51" s="2" t="e">
        <f>#REF!</f>
        <v>#REF!</v>
      </c>
      <c r="E51" s="2"/>
      <c r="F51" s="2" t="e">
        <f>IF(A51="","",COUNTIF(#REF!,A51))</f>
        <v>#REF!</v>
      </c>
      <c r="G51" s="2" t="e">
        <f>IF(A51="","",COUNTIFS(#REF!,A51,#REF!,"Penal"))</f>
        <v>#REF!</v>
      </c>
      <c r="H51" s="2" t="e">
        <f>IF(A51="","",COUNTIFS(#REF!,A51,#REF!,"Autogol"))</f>
        <v>#REF!</v>
      </c>
      <c r="I51" s="2" t="e">
        <f>#REF!</f>
        <v>#REF!</v>
      </c>
    </row>
    <row r="52" spans="1:9" ht="18.399999999999999" customHeight="1">
      <c r="A52" s="12" t="e">
        <f>#REF!</f>
        <v>#REF!</v>
      </c>
      <c r="B52" s="2" t="e">
        <f>IF(A52="","",#REF!&amp;" "&amp;#REF!&amp;" "&amp;#REF!)</f>
        <v>#REF!</v>
      </c>
      <c r="C52" s="2" t="e">
        <f>#REF!</f>
        <v>#REF!</v>
      </c>
      <c r="D52" s="2" t="e">
        <f>#REF!</f>
        <v>#REF!</v>
      </c>
      <c r="E52" s="2"/>
      <c r="F52" s="2" t="e">
        <f>IF(A52="","",COUNTIF(#REF!,A52))</f>
        <v>#REF!</v>
      </c>
      <c r="G52" s="2" t="e">
        <f>IF(A52="","",COUNTIFS(#REF!,A52,#REF!,"Penal"))</f>
        <v>#REF!</v>
      </c>
      <c r="H52" s="2" t="e">
        <f>IF(A52="","",COUNTIFS(#REF!,A52,#REF!,"Autogol"))</f>
        <v>#REF!</v>
      </c>
      <c r="I52" s="2" t="e">
        <f>#REF!</f>
        <v>#REF!</v>
      </c>
    </row>
    <row r="53" spans="1:9" ht="18.399999999999999" customHeight="1">
      <c r="A53" s="12" t="e">
        <f>#REF!</f>
        <v>#REF!</v>
      </c>
      <c r="B53" s="2" t="e">
        <f>IF(A53="","",#REF!&amp;" "&amp;#REF!&amp;" "&amp;#REF!)</f>
        <v>#REF!</v>
      </c>
      <c r="C53" s="2" t="e">
        <f>#REF!</f>
        <v>#REF!</v>
      </c>
      <c r="D53" s="2" t="e">
        <f>#REF!</f>
        <v>#REF!</v>
      </c>
      <c r="E53" s="2"/>
      <c r="F53" s="2" t="e">
        <f>IF(A53="","",COUNTIF(#REF!,A53))</f>
        <v>#REF!</v>
      </c>
      <c r="G53" s="2" t="e">
        <f>IF(A53="","",COUNTIFS(#REF!,A53,#REF!,"Penal"))</f>
        <v>#REF!</v>
      </c>
      <c r="H53" s="2" t="e">
        <f>IF(A53="","",COUNTIFS(#REF!,A53,#REF!,"Autogol"))</f>
        <v>#REF!</v>
      </c>
      <c r="I53" s="2" t="e">
        <f>#REF!</f>
        <v>#REF!</v>
      </c>
    </row>
    <row r="54" spans="1:9" ht="18.399999999999999" customHeight="1">
      <c r="A54" s="12" t="e">
        <f>#REF!</f>
        <v>#REF!</v>
      </c>
      <c r="B54" s="2" t="e">
        <f>IF(A54="","",#REF!&amp;" "&amp;#REF!&amp;" "&amp;#REF!)</f>
        <v>#REF!</v>
      </c>
      <c r="C54" s="2" t="e">
        <f>#REF!</f>
        <v>#REF!</v>
      </c>
      <c r="D54" s="2" t="e">
        <f>#REF!</f>
        <v>#REF!</v>
      </c>
      <c r="E54" s="2"/>
      <c r="F54" s="2" t="e">
        <f>IF(A54="","",COUNTIF(#REF!,A54))</f>
        <v>#REF!</v>
      </c>
      <c r="G54" s="2" t="e">
        <f>IF(A54="","",COUNTIFS(#REF!,A54,#REF!,"Penal"))</f>
        <v>#REF!</v>
      </c>
      <c r="H54" s="2" t="e">
        <f>IF(A54="","",COUNTIFS(#REF!,A54,#REF!,"Autogol"))</f>
        <v>#REF!</v>
      </c>
      <c r="I54" s="2" t="e">
        <f>#REF!</f>
        <v>#REF!</v>
      </c>
    </row>
    <row r="55" spans="1:9" ht="18.399999999999999" customHeight="1">
      <c r="A55" s="12" t="e">
        <f>#REF!</f>
        <v>#REF!</v>
      </c>
      <c r="B55" s="2" t="e">
        <f>IF(A55="","",#REF!&amp;" "&amp;#REF!&amp;" "&amp;#REF!)</f>
        <v>#REF!</v>
      </c>
      <c r="C55" s="2" t="e">
        <f>#REF!</f>
        <v>#REF!</v>
      </c>
      <c r="D55" s="2" t="e">
        <f>#REF!</f>
        <v>#REF!</v>
      </c>
      <c r="E55" s="2"/>
      <c r="F55" s="2" t="e">
        <f>IF(A55="","",COUNTIF(#REF!,A55))</f>
        <v>#REF!</v>
      </c>
      <c r="G55" s="2" t="e">
        <f>IF(A55="","",COUNTIFS(#REF!,A55,#REF!,"Penal"))</f>
        <v>#REF!</v>
      </c>
      <c r="H55" s="2" t="e">
        <f>IF(A55="","",COUNTIFS(#REF!,A55,#REF!,"Autogol"))</f>
        <v>#REF!</v>
      </c>
      <c r="I55" s="2" t="e">
        <f>#REF!</f>
        <v>#REF!</v>
      </c>
    </row>
    <row r="56" spans="1:9" ht="18.399999999999999" customHeight="1">
      <c r="A56" s="12" t="e">
        <f>#REF!</f>
        <v>#REF!</v>
      </c>
      <c r="B56" s="2" t="e">
        <f>IF(A56="","",#REF!&amp;" "&amp;#REF!&amp;" "&amp;#REF!)</f>
        <v>#REF!</v>
      </c>
      <c r="C56" s="2" t="e">
        <f>#REF!</f>
        <v>#REF!</v>
      </c>
      <c r="D56" s="2" t="e">
        <f>#REF!</f>
        <v>#REF!</v>
      </c>
      <c r="E56" s="2"/>
      <c r="F56" s="2" t="e">
        <f>IF(A56="","",COUNTIF(#REF!,A56))</f>
        <v>#REF!</v>
      </c>
      <c r="G56" s="2" t="e">
        <f>IF(A56="","",COUNTIFS(#REF!,A56,#REF!,"Penal"))</f>
        <v>#REF!</v>
      </c>
      <c r="H56" s="2" t="e">
        <f>IF(A56="","",COUNTIFS(#REF!,A56,#REF!,"Autogol"))</f>
        <v>#REF!</v>
      </c>
      <c r="I56" s="2" t="e">
        <f>#REF!</f>
        <v>#REF!</v>
      </c>
    </row>
    <row r="57" spans="1:9" ht="18.399999999999999" customHeight="1">
      <c r="A57" s="12" t="e">
        <f>#REF!</f>
        <v>#REF!</v>
      </c>
      <c r="B57" s="2" t="e">
        <f>IF(A57="","",#REF!&amp;" "&amp;#REF!&amp;" "&amp;#REF!)</f>
        <v>#REF!</v>
      </c>
      <c r="C57" s="2" t="e">
        <f>#REF!</f>
        <v>#REF!</v>
      </c>
      <c r="D57" s="2" t="e">
        <f>#REF!</f>
        <v>#REF!</v>
      </c>
      <c r="E57" s="2"/>
      <c r="F57" s="2" t="e">
        <f>IF(A57="","",COUNTIF(#REF!,A57))</f>
        <v>#REF!</v>
      </c>
      <c r="G57" s="2" t="e">
        <f>IF(A57="","",COUNTIFS(#REF!,A57,#REF!,"Penal"))</f>
        <v>#REF!</v>
      </c>
      <c r="H57" s="2" t="e">
        <f>IF(A57="","",COUNTIFS(#REF!,A57,#REF!,"Autogol"))</f>
        <v>#REF!</v>
      </c>
      <c r="I57" s="2" t="e">
        <f>#REF!</f>
        <v>#REF!</v>
      </c>
    </row>
    <row r="58" spans="1:9" ht="18.399999999999999" customHeight="1">
      <c r="A58" s="12" t="e">
        <f>#REF!</f>
        <v>#REF!</v>
      </c>
      <c r="B58" s="2" t="e">
        <f>IF(A58="","",#REF!&amp;" "&amp;#REF!&amp;" "&amp;#REF!)</f>
        <v>#REF!</v>
      </c>
      <c r="C58" s="2" t="e">
        <f>#REF!</f>
        <v>#REF!</v>
      </c>
      <c r="D58" s="2" t="e">
        <f>#REF!</f>
        <v>#REF!</v>
      </c>
      <c r="E58" s="2"/>
      <c r="F58" s="2" t="e">
        <f>IF(A58="","",COUNTIF(#REF!,A58))</f>
        <v>#REF!</v>
      </c>
      <c r="G58" s="2" t="e">
        <f>IF(A58="","",COUNTIFS(#REF!,A58,#REF!,"Penal"))</f>
        <v>#REF!</v>
      </c>
      <c r="H58" s="2" t="e">
        <f>IF(A58="","",COUNTIFS(#REF!,A58,#REF!,"Autogol"))</f>
        <v>#REF!</v>
      </c>
      <c r="I58" s="2" t="e">
        <f>#REF!</f>
        <v>#REF!</v>
      </c>
    </row>
    <row r="59" spans="1:9" ht="18.399999999999999" customHeight="1">
      <c r="A59" s="12" t="e">
        <f>#REF!</f>
        <v>#REF!</v>
      </c>
      <c r="B59" s="2" t="e">
        <f>IF(A59="","",#REF!&amp;" "&amp;#REF!&amp;" "&amp;#REF!)</f>
        <v>#REF!</v>
      </c>
      <c r="C59" s="2" t="e">
        <f>#REF!</f>
        <v>#REF!</v>
      </c>
      <c r="D59" s="2" t="e">
        <f>#REF!</f>
        <v>#REF!</v>
      </c>
      <c r="E59" s="2"/>
      <c r="F59" s="2" t="e">
        <f>IF(A59="","",COUNTIF(#REF!,A59))</f>
        <v>#REF!</v>
      </c>
      <c r="G59" s="2" t="e">
        <f>IF(A59="","",COUNTIFS(#REF!,A59,#REF!,"Penal"))</f>
        <v>#REF!</v>
      </c>
      <c r="H59" s="2" t="e">
        <f>IF(A59="","",COUNTIFS(#REF!,A59,#REF!,"Autogol"))</f>
        <v>#REF!</v>
      </c>
      <c r="I59" s="2" t="e">
        <f>#REF!</f>
        <v>#REF!</v>
      </c>
    </row>
    <row r="60" spans="1:9" ht="18.399999999999999" customHeight="1">
      <c r="A60" s="12" t="e">
        <f>#REF!</f>
        <v>#REF!</v>
      </c>
      <c r="B60" s="2" t="e">
        <f>IF(A60="","",#REF!&amp;" "&amp;#REF!&amp;" "&amp;#REF!)</f>
        <v>#REF!</v>
      </c>
      <c r="C60" s="2" t="e">
        <f>#REF!</f>
        <v>#REF!</v>
      </c>
      <c r="D60" s="2" t="e">
        <f>#REF!</f>
        <v>#REF!</v>
      </c>
      <c r="E60" s="2"/>
      <c r="F60" s="2" t="e">
        <f>IF(A60="","",COUNTIF(#REF!,A60))</f>
        <v>#REF!</v>
      </c>
      <c r="G60" s="2" t="e">
        <f>IF(A60="","",COUNTIFS(#REF!,A60,#REF!,"Penal"))</f>
        <v>#REF!</v>
      </c>
      <c r="H60" s="2" t="e">
        <f>IF(A60="","",COUNTIFS(#REF!,A60,#REF!,"Autogol"))</f>
        <v>#REF!</v>
      </c>
      <c r="I60" s="2" t="e">
        <f>#REF!</f>
        <v>#REF!</v>
      </c>
    </row>
    <row r="61" spans="1:9" ht="18.399999999999999" customHeight="1">
      <c r="A61" s="12" t="e">
        <f>#REF!</f>
        <v>#REF!</v>
      </c>
      <c r="B61" s="2" t="e">
        <f>IF(A61="","",#REF!&amp;" "&amp;#REF!&amp;" "&amp;#REF!)</f>
        <v>#REF!</v>
      </c>
      <c r="C61" s="2" t="e">
        <f>#REF!</f>
        <v>#REF!</v>
      </c>
      <c r="D61" s="2" t="e">
        <f>#REF!</f>
        <v>#REF!</v>
      </c>
      <c r="E61" s="2"/>
      <c r="F61" s="2" t="e">
        <f>IF(A61="","",COUNTIF(#REF!,A61))</f>
        <v>#REF!</v>
      </c>
      <c r="G61" s="2" t="e">
        <f>IF(A61="","",COUNTIFS(#REF!,A61,#REF!,"Penal"))</f>
        <v>#REF!</v>
      </c>
      <c r="H61" s="2" t="e">
        <f>IF(A61="","",COUNTIFS(#REF!,A61,#REF!,"Autogol"))</f>
        <v>#REF!</v>
      </c>
      <c r="I61" s="2" t="e">
        <f>#REF!</f>
        <v>#REF!</v>
      </c>
    </row>
    <row r="62" spans="1:9" ht="18.399999999999999" customHeight="1">
      <c r="A62" s="12" t="e">
        <f>#REF!</f>
        <v>#REF!</v>
      </c>
      <c r="B62" s="2" t="e">
        <f>IF(A62="","",#REF!&amp;" "&amp;#REF!&amp;" "&amp;#REF!)</f>
        <v>#REF!</v>
      </c>
      <c r="C62" s="2" t="e">
        <f>#REF!</f>
        <v>#REF!</v>
      </c>
      <c r="D62" s="2" t="e">
        <f>#REF!</f>
        <v>#REF!</v>
      </c>
      <c r="E62" s="2"/>
      <c r="F62" s="2" t="e">
        <f>IF(A62="","",COUNTIF(#REF!,A62))</f>
        <v>#REF!</v>
      </c>
      <c r="G62" s="2" t="e">
        <f>IF(A62="","",COUNTIFS(#REF!,A62,#REF!,"Penal"))</f>
        <v>#REF!</v>
      </c>
      <c r="H62" s="2" t="e">
        <f>IF(A62="","",COUNTIFS(#REF!,A62,#REF!,"Autogol"))</f>
        <v>#REF!</v>
      </c>
      <c r="I62" s="2" t="e">
        <f>#REF!</f>
        <v>#REF!</v>
      </c>
    </row>
    <row r="63" spans="1:9" ht="18.399999999999999" customHeight="1">
      <c r="A63" s="12" t="e">
        <f>#REF!</f>
        <v>#REF!</v>
      </c>
      <c r="B63" s="2" t="e">
        <f>IF(A63="","",#REF!&amp;" "&amp;#REF!&amp;" "&amp;#REF!)</f>
        <v>#REF!</v>
      </c>
      <c r="C63" s="2" t="e">
        <f>#REF!</f>
        <v>#REF!</v>
      </c>
      <c r="D63" s="2" t="e">
        <f>#REF!</f>
        <v>#REF!</v>
      </c>
      <c r="E63" s="2"/>
      <c r="F63" s="2" t="e">
        <f>IF(A63="","",COUNTIF(#REF!,A63))</f>
        <v>#REF!</v>
      </c>
      <c r="G63" s="2" t="e">
        <f>IF(A63="","",COUNTIFS(#REF!,A63,#REF!,"Penal"))</f>
        <v>#REF!</v>
      </c>
      <c r="H63" s="2" t="e">
        <f>IF(A63="","",COUNTIFS(#REF!,A63,#REF!,"Autogol"))</f>
        <v>#REF!</v>
      </c>
      <c r="I63" s="2" t="e">
        <f>#REF!</f>
        <v>#REF!</v>
      </c>
    </row>
    <row r="64" spans="1:9" ht="18.399999999999999" customHeight="1">
      <c r="A64" s="12" t="e">
        <f>#REF!</f>
        <v>#REF!</v>
      </c>
      <c r="B64" s="2" t="e">
        <f>IF(A64="","",#REF!&amp;" "&amp;#REF!&amp;" "&amp;#REF!)</f>
        <v>#REF!</v>
      </c>
      <c r="C64" s="2" t="e">
        <f>#REF!</f>
        <v>#REF!</v>
      </c>
      <c r="D64" s="2" t="e">
        <f>#REF!</f>
        <v>#REF!</v>
      </c>
      <c r="E64" s="2"/>
      <c r="F64" s="2" t="e">
        <f>IF(A64="","",COUNTIF(#REF!,A64))</f>
        <v>#REF!</v>
      </c>
      <c r="G64" s="2" t="e">
        <f>IF(A64="","",COUNTIFS(#REF!,A64,#REF!,"Penal"))</f>
        <v>#REF!</v>
      </c>
      <c r="H64" s="2" t="e">
        <f>IF(A64="","",COUNTIFS(#REF!,A64,#REF!,"Autogol"))</f>
        <v>#REF!</v>
      </c>
      <c r="I64" s="2" t="e">
        <f>#REF!</f>
        <v>#REF!</v>
      </c>
    </row>
    <row r="65" spans="1:9" ht="18.399999999999999" customHeight="1">
      <c r="A65" s="12" t="e">
        <f>#REF!</f>
        <v>#REF!</v>
      </c>
      <c r="B65" s="2" t="e">
        <f>IF(A65="","",#REF!&amp;" "&amp;#REF!&amp;" "&amp;#REF!)</f>
        <v>#REF!</v>
      </c>
      <c r="C65" s="2" t="e">
        <f>#REF!</f>
        <v>#REF!</v>
      </c>
      <c r="D65" s="2" t="e">
        <f>#REF!</f>
        <v>#REF!</v>
      </c>
      <c r="E65" s="2"/>
      <c r="F65" s="2" t="e">
        <f>IF(A65="","",COUNTIF(#REF!,A65))</f>
        <v>#REF!</v>
      </c>
      <c r="G65" s="2" t="e">
        <f>IF(A65="","",COUNTIFS(#REF!,A65,#REF!,"Penal"))</f>
        <v>#REF!</v>
      </c>
      <c r="H65" s="2" t="e">
        <f>IF(A65="","",COUNTIFS(#REF!,A65,#REF!,"Autogol"))</f>
        <v>#REF!</v>
      </c>
      <c r="I65" s="2" t="e">
        <f>#REF!</f>
        <v>#REF!</v>
      </c>
    </row>
    <row r="66" spans="1:9" ht="18.399999999999999" customHeight="1">
      <c r="A66" s="12" t="e">
        <f>#REF!</f>
        <v>#REF!</v>
      </c>
      <c r="B66" s="2" t="e">
        <f>IF(A66="","",#REF!&amp;" "&amp;#REF!&amp;" "&amp;#REF!)</f>
        <v>#REF!</v>
      </c>
      <c r="C66" s="2" t="e">
        <f>#REF!</f>
        <v>#REF!</v>
      </c>
      <c r="D66" s="2" t="e">
        <f>#REF!</f>
        <v>#REF!</v>
      </c>
      <c r="E66" s="2"/>
      <c r="F66" s="2" t="e">
        <f>IF(A66="","",COUNTIF(#REF!,A66))</f>
        <v>#REF!</v>
      </c>
      <c r="G66" s="2" t="e">
        <f>IF(A66="","",COUNTIFS(#REF!,A66,#REF!,"Penal"))</f>
        <v>#REF!</v>
      </c>
      <c r="H66" s="2" t="e">
        <f>IF(A66="","",COUNTIFS(#REF!,A66,#REF!,"Autogol"))</f>
        <v>#REF!</v>
      </c>
      <c r="I66" s="2" t="e">
        <f>#REF!</f>
        <v>#REF!</v>
      </c>
    </row>
    <row r="67" spans="1:9" ht="18.399999999999999" customHeight="1">
      <c r="A67" s="12" t="e">
        <f>#REF!</f>
        <v>#REF!</v>
      </c>
      <c r="B67" s="2" t="e">
        <f>IF(A67="","",#REF!&amp;" "&amp;#REF!&amp;" "&amp;#REF!)</f>
        <v>#REF!</v>
      </c>
      <c r="C67" s="2" t="e">
        <f>#REF!</f>
        <v>#REF!</v>
      </c>
      <c r="D67" s="2" t="e">
        <f>#REF!</f>
        <v>#REF!</v>
      </c>
      <c r="E67" s="2"/>
      <c r="F67" s="2" t="e">
        <f>IF(A67="","",COUNTIF(#REF!,A67))</f>
        <v>#REF!</v>
      </c>
      <c r="G67" s="2" t="e">
        <f>IF(A67="","",COUNTIFS(#REF!,A67,#REF!,"Penal"))</f>
        <v>#REF!</v>
      </c>
      <c r="H67" s="2" t="e">
        <f>IF(A67="","",COUNTIFS(#REF!,A67,#REF!,"Autogol"))</f>
        <v>#REF!</v>
      </c>
      <c r="I67" s="2" t="e">
        <f>#REF!</f>
        <v>#REF!</v>
      </c>
    </row>
    <row r="68" spans="1:9" ht="18.399999999999999" customHeight="1">
      <c r="A68" s="12" t="e">
        <f>#REF!</f>
        <v>#REF!</v>
      </c>
      <c r="B68" s="2" t="e">
        <f>IF(A68="","",#REF!&amp;" "&amp;#REF!&amp;" "&amp;#REF!)</f>
        <v>#REF!</v>
      </c>
      <c r="C68" s="2" t="e">
        <f>#REF!</f>
        <v>#REF!</v>
      </c>
      <c r="D68" s="2" t="e">
        <f>#REF!</f>
        <v>#REF!</v>
      </c>
      <c r="E68" s="2"/>
      <c r="F68" s="2" t="e">
        <f>IF(A68="","",COUNTIF(#REF!,A68))</f>
        <v>#REF!</v>
      </c>
      <c r="G68" s="2" t="e">
        <f>IF(A68="","",COUNTIFS(#REF!,A68,#REF!,"Penal"))</f>
        <v>#REF!</v>
      </c>
      <c r="H68" s="2" t="e">
        <f>IF(A68="","",COUNTIFS(#REF!,A68,#REF!,"Autogol"))</f>
        <v>#REF!</v>
      </c>
      <c r="I68" s="2" t="e">
        <f>#REF!</f>
        <v>#REF!</v>
      </c>
    </row>
    <row r="69" spans="1:9" ht="18.399999999999999" customHeight="1">
      <c r="A69" s="12" t="e">
        <f>#REF!</f>
        <v>#REF!</v>
      </c>
      <c r="B69" s="2" t="e">
        <f>IF(A69="","",#REF!&amp;" "&amp;#REF!&amp;" "&amp;#REF!)</f>
        <v>#REF!</v>
      </c>
      <c r="C69" s="2" t="e">
        <f>#REF!</f>
        <v>#REF!</v>
      </c>
      <c r="D69" s="2" t="e">
        <f>#REF!</f>
        <v>#REF!</v>
      </c>
      <c r="E69" s="2"/>
      <c r="F69" s="2" t="e">
        <f>IF(A69="","",COUNTIF(#REF!,A69))</f>
        <v>#REF!</v>
      </c>
      <c r="G69" s="2" t="e">
        <f>IF(A69="","",COUNTIFS(#REF!,A69,#REF!,"Penal"))</f>
        <v>#REF!</v>
      </c>
      <c r="H69" s="2" t="e">
        <f>IF(A69="","",COUNTIFS(#REF!,A69,#REF!,"Autogol"))</f>
        <v>#REF!</v>
      </c>
      <c r="I69" s="2" t="e">
        <f>#REF!</f>
        <v>#REF!</v>
      </c>
    </row>
    <row r="70" spans="1:9" ht="18.399999999999999" customHeight="1">
      <c r="A70" s="12" t="e">
        <f>#REF!</f>
        <v>#REF!</v>
      </c>
      <c r="B70" s="2" t="e">
        <f>IF(A70="","",#REF!&amp;" "&amp;#REF!&amp;" "&amp;#REF!)</f>
        <v>#REF!</v>
      </c>
      <c r="C70" s="2" t="e">
        <f>#REF!</f>
        <v>#REF!</v>
      </c>
      <c r="D70" s="2" t="e">
        <f>#REF!</f>
        <v>#REF!</v>
      </c>
      <c r="E70" s="2"/>
      <c r="F70" s="2" t="e">
        <f>IF(A70="","",COUNTIF(#REF!,A70))</f>
        <v>#REF!</v>
      </c>
      <c r="G70" s="2" t="e">
        <f>IF(A70="","",COUNTIFS(#REF!,A70,#REF!,"Penal"))</f>
        <v>#REF!</v>
      </c>
      <c r="H70" s="2" t="e">
        <f>IF(A70="","",COUNTIFS(#REF!,A70,#REF!,"Autogol"))</f>
        <v>#REF!</v>
      </c>
      <c r="I70" s="2" t="e">
        <f>#REF!</f>
        <v>#REF!</v>
      </c>
    </row>
    <row r="71" spans="1:9" ht="18.399999999999999" customHeight="1">
      <c r="A71" s="12" t="e">
        <f>#REF!</f>
        <v>#REF!</v>
      </c>
      <c r="B71" s="2" t="e">
        <f>IF(A71="","",#REF!&amp;" "&amp;#REF!&amp;" "&amp;#REF!)</f>
        <v>#REF!</v>
      </c>
      <c r="C71" s="2" t="e">
        <f>#REF!</f>
        <v>#REF!</v>
      </c>
      <c r="D71" s="2" t="e">
        <f>#REF!</f>
        <v>#REF!</v>
      </c>
      <c r="E71" s="2"/>
      <c r="F71" s="2" t="e">
        <f>IF(A71="","",COUNTIF(#REF!,A71))</f>
        <v>#REF!</v>
      </c>
      <c r="G71" s="2" t="e">
        <f>IF(A71="","",COUNTIFS(#REF!,A71,#REF!,"Penal"))</f>
        <v>#REF!</v>
      </c>
      <c r="H71" s="2" t="e">
        <f>IF(A71="","",COUNTIFS(#REF!,A71,#REF!,"Autogol"))</f>
        <v>#REF!</v>
      </c>
      <c r="I71" s="2" t="e">
        <f>#REF!</f>
        <v>#REF!</v>
      </c>
    </row>
    <row r="72" spans="1:9" ht="18.399999999999999" customHeight="1">
      <c r="A72" s="12" t="e">
        <f>#REF!</f>
        <v>#REF!</v>
      </c>
      <c r="B72" s="2" t="e">
        <f>IF(A72="","",#REF!&amp;" "&amp;#REF!&amp;" "&amp;#REF!)</f>
        <v>#REF!</v>
      </c>
      <c r="C72" s="2" t="e">
        <f>#REF!</f>
        <v>#REF!</v>
      </c>
      <c r="D72" s="2" t="e">
        <f>#REF!</f>
        <v>#REF!</v>
      </c>
      <c r="E72" s="2"/>
      <c r="F72" s="2" t="e">
        <f>IF(A72="","",COUNTIF(#REF!,A72))</f>
        <v>#REF!</v>
      </c>
      <c r="G72" s="2" t="e">
        <f>IF(A72="","",COUNTIFS(#REF!,A72,#REF!,"Penal"))</f>
        <v>#REF!</v>
      </c>
      <c r="H72" s="2" t="e">
        <f>IF(A72="","",COUNTIFS(#REF!,A72,#REF!,"Autogol"))</f>
        <v>#REF!</v>
      </c>
      <c r="I72" s="2" t="e">
        <f>#REF!</f>
        <v>#REF!</v>
      </c>
    </row>
    <row r="73" spans="1:9" ht="18.399999999999999" customHeight="1">
      <c r="A73" s="12" t="e">
        <f>#REF!</f>
        <v>#REF!</v>
      </c>
      <c r="B73" s="2" t="e">
        <f>IF(A73="","",#REF!&amp;" "&amp;#REF!&amp;" "&amp;#REF!)</f>
        <v>#REF!</v>
      </c>
      <c r="C73" s="2" t="e">
        <f>#REF!</f>
        <v>#REF!</v>
      </c>
      <c r="D73" s="2" t="e">
        <f>#REF!</f>
        <v>#REF!</v>
      </c>
      <c r="E73" s="2"/>
      <c r="F73" s="2" t="e">
        <f>IF(A73="","",COUNTIF(#REF!,A73))</f>
        <v>#REF!</v>
      </c>
      <c r="G73" s="2" t="e">
        <f>IF(A73="","",COUNTIFS(#REF!,A73,#REF!,"Penal"))</f>
        <v>#REF!</v>
      </c>
      <c r="H73" s="2" t="e">
        <f>IF(A73="","",COUNTIFS(#REF!,A73,#REF!,"Autogol"))</f>
        <v>#REF!</v>
      </c>
      <c r="I73" s="2" t="e">
        <f>#REF!</f>
        <v>#REF!</v>
      </c>
    </row>
    <row r="74" spans="1:9" ht="18.399999999999999" customHeight="1">
      <c r="A74" s="12" t="e">
        <f>#REF!</f>
        <v>#REF!</v>
      </c>
      <c r="B74" s="2" t="e">
        <f>IF(A74="","",#REF!&amp;" "&amp;#REF!&amp;" "&amp;#REF!)</f>
        <v>#REF!</v>
      </c>
      <c r="C74" s="2" t="e">
        <f>#REF!</f>
        <v>#REF!</v>
      </c>
      <c r="D74" s="2" t="e">
        <f>#REF!</f>
        <v>#REF!</v>
      </c>
      <c r="E74" s="2"/>
      <c r="F74" s="2" t="e">
        <f>IF(A74="","",COUNTIF(#REF!,A74))</f>
        <v>#REF!</v>
      </c>
      <c r="G74" s="2" t="e">
        <f>IF(A74="","",COUNTIFS(#REF!,A74,#REF!,"Penal"))</f>
        <v>#REF!</v>
      </c>
      <c r="H74" s="2" t="e">
        <f>IF(A74="","",COUNTIFS(#REF!,A74,#REF!,"Autogol"))</f>
        <v>#REF!</v>
      </c>
      <c r="I74" s="2" t="e">
        <f>#REF!</f>
        <v>#REF!</v>
      </c>
    </row>
    <row r="75" spans="1:9" ht="18.399999999999999" customHeight="1">
      <c r="A75" s="12" t="e">
        <f>#REF!</f>
        <v>#REF!</v>
      </c>
      <c r="B75" s="2" t="e">
        <f>IF(A75="","",#REF!&amp;" "&amp;#REF!&amp;" "&amp;#REF!)</f>
        <v>#REF!</v>
      </c>
      <c r="C75" s="2" t="e">
        <f>#REF!</f>
        <v>#REF!</v>
      </c>
      <c r="D75" s="2" t="e">
        <f>#REF!</f>
        <v>#REF!</v>
      </c>
      <c r="E75" s="2"/>
      <c r="F75" s="2" t="e">
        <f>IF(A75="","",COUNTIF(#REF!,A75))</f>
        <v>#REF!</v>
      </c>
      <c r="G75" s="2" t="e">
        <f>IF(A75="","",COUNTIFS(#REF!,A75,#REF!,"Penal"))</f>
        <v>#REF!</v>
      </c>
      <c r="H75" s="2" t="e">
        <f>IF(A75="","",COUNTIFS(#REF!,A75,#REF!,"Autogol"))</f>
        <v>#REF!</v>
      </c>
      <c r="I75" s="2" t="e">
        <f>#REF!</f>
        <v>#REF!</v>
      </c>
    </row>
    <row r="76" spans="1:9" ht="18.399999999999999" customHeight="1">
      <c r="A76" s="12" t="e">
        <f>#REF!</f>
        <v>#REF!</v>
      </c>
      <c r="B76" s="2" t="e">
        <f>IF(A76="","",#REF!&amp;" "&amp;#REF!&amp;" "&amp;#REF!)</f>
        <v>#REF!</v>
      </c>
      <c r="C76" s="2" t="e">
        <f>#REF!</f>
        <v>#REF!</v>
      </c>
      <c r="D76" s="2" t="e">
        <f>#REF!</f>
        <v>#REF!</v>
      </c>
      <c r="E76" s="2"/>
      <c r="F76" s="2" t="e">
        <f>IF(A76="","",COUNTIF(#REF!,A76))</f>
        <v>#REF!</v>
      </c>
      <c r="G76" s="2" t="e">
        <f>IF(A76="","",COUNTIFS(#REF!,A76,#REF!,"Penal"))</f>
        <v>#REF!</v>
      </c>
      <c r="H76" s="2" t="e">
        <f>IF(A76="","",COUNTIFS(#REF!,A76,#REF!,"Autogol"))</f>
        <v>#REF!</v>
      </c>
      <c r="I76" s="2" t="e">
        <f>#REF!</f>
        <v>#REF!</v>
      </c>
    </row>
    <row r="77" spans="1:9" ht="18.399999999999999" customHeight="1">
      <c r="A77" s="12" t="e">
        <f>#REF!</f>
        <v>#REF!</v>
      </c>
      <c r="B77" s="2" t="e">
        <f>IF(A77="","",#REF!&amp;" "&amp;#REF!&amp;" "&amp;#REF!)</f>
        <v>#REF!</v>
      </c>
      <c r="C77" s="2" t="e">
        <f>#REF!</f>
        <v>#REF!</v>
      </c>
      <c r="D77" s="2" t="e">
        <f>#REF!</f>
        <v>#REF!</v>
      </c>
      <c r="E77" s="2"/>
      <c r="F77" s="2" t="e">
        <f>IF(A77="","",COUNTIF(#REF!,A77))</f>
        <v>#REF!</v>
      </c>
      <c r="G77" s="2" t="e">
        <f>IF(A77="","",COUNTIFS(#REF!,A77,#REF!,"Penal"))</f>
        <v>#REF!</v>
      </c>
      <c r="H77" s="2" t="e">
        <f>IF(A77="","",COUNTIFS(#REF!,A77,#REF!,"Autogol"))</f>
        <v>#REF!</v>
      </c>
      <c r="I77" s="2" t="e">
        <f>#REF!</f>
        <v>#REF!</v>
      </c>
    </row>
    <row r="78" spans="1:9" ht="18.399999999999999" customHeight="1">
      <c r="A78" s="12" t="e">
        <f>#REF!</f>
        <v>#REF!</v>
      </c>
      <c r="B78" s="2" t="e">
        <f>IF(A78="","",#REF!&amp;" "&amp;#REF!&amp;" "&amp;#REF!)</f>
        <v>#REF!</v>
      </c>
      <c r="C78" s="2" t="e">
        <f>#REF!</f>
        <v>#REF!</v>
      </c>
      <c r="D78" s="2" t="e">
        <f>#REF!</f>
        <v>#REF!</v>
      </c>
      <c r="E78" s="2"/>
      <c r="F78" s="2" t="e">
        <f>IF(A78="","",COUNTIF(#REF!,A78))</f>
        <v>#REF!</v>
      </c>
      <c r="G78" s="2" t="e">
        <f>IF(A78="","",COUNTIFS(#REF!,A78,#REF!,"Penal"))</f>
        <v>#REF!</v>
      </c>
      <c r="H78" s="2" t="e">
        <f>IF(A78="","",COUNTIFS(#REF!,A78,#REF!,"Autogol"))</f>
        <v>#REF!</v>
      </c>
      <c r="I78" s="2" t="e">
        <f>#REF!</f>
        <v>#REF!</v>
      </c>
    </row>
    <row r="79" spans="1:9" ht="18.399999999999999" customHeight="1">
      <c r="A79" s="12" t="e">
        <f>#REF!</f>
        <v>#REF!</v>
      </c>
      <c r="B79" s="2" t="e">
        <f>IF(A79="","",#REF!&amp;" "&amp;#REF!&amp;" "&amp;#REF!)</f>
        <v>#REF!</v>
      </c>
      <c r="C79" s="2" t="e">
        <f>#REF!</f>
        <v>#REF!</v>
      </c>
      <c r="D79" s="2" t="e">
        <f>#REF!</f>
        <v>#REF!</v>
      </c>
      <c r="E79" s="2"/>
      <c r="F79" s="2" t="e">
        <f>IF(A79="","",COUNTIF(#REF!,A79))</f>
        <v>#REF!</v>
      </c>
      <c r="G79" s="2" t="e">
        <f>IF(A79="","",COUNTIFS(#REF!,A79,#REF!,"Penal"))</f>
        <v>#REF!</v>
      </c>
      <c r="H79" s="2" t="e">
        <f>IF(A79="","",COUNTIFS(#REF!,A79,#REF!,"Autogol"))</f>
        <v>#REF!</v>
      </c>
      <c r="I79" s="2" t="e">
        <f>#REF!</f>
        <v>#REF!</v>
      </c>
    </row>
    <row r="80" spans="1:9" ht="18.399999999999999" customHeight="1">
      <c r="A80" s="12" t="e">
        <f>#REF!</f>
        <v>#REF!</v>
      </c>
      <c r="B80" s="2" t="e">
        <f>IF(A80="","",#REF!&amp;" "&amp;#REF!&amp;" "&amp;#REF!)</f>
        <v>#REF!</v>
      </c>
      <c r="C80" s="2" t="e">
        <f>#REF!</f>
        <v>#REF!</v>
      </c>
      <c r="D80" s="2" t="e">
        <f>#REF!</f>
        <v>#REF!</v>
      </c>
      <c r="E80" s="2"/>
      <c r="F80" s="2" t="e">
        <f>IF(A80="","",COUNTIF(#REF!,A80))</f>
        <v>#REF!</v>
      </c>
      <c r="G80" s="2" t="e">
        <f>IF(A80="","",COUNTIFS(#REF!,A80,#REF!,"Penal"))</f>
        <v>#REF!</v>
      </c>
      <c r="H80" s="2" t="e">
        <f>IF(A80="","",COUNTIFS(#REF!,A80,#REF!,"Autogol"))</f>
        <v>#REF!</v>
      </c>
      <c r="I80" s="2" t="e">
        <f>#REF!</f>
        <v>#REF!</v>
      </c>
    </row>
    <row r="81" spans="1:9" ht="18.399999999999999" customHeight="1">
      <c r="A81" s="12" t="e">
        <f>#REF!</f>
        <v>#REF!</v>
      </c>
      <c r="B81" s="2" t="e">
        <f>IF(A81="","",#REF!&amp;" "&amp;#REF!&amp;" "&amp;#REF!)</f>
        <v>#REF!</v>
      </c>
      <c r="C81" s="2" t="e">
        <f>#REF!</f>
        <v>#REF!</v>
      </c>
      <c r="D81" s="2" t="e">
        <f>#REF!</f>
        <v>#REF!</v>
      </c>
      <c r="E81" s="2"/>
      <c r="F81" s="2" t="e">
        <f>IF(A81="","",COUNTIF(#REF!,A81))</f>
        <v>#REF!</v>
      </c>
      <c r="G81" s="2" t="e">
        <f>IF(A81="","",COUNTIFS(#REF!,A81,#REF!,"Penal"))</f>
        <v>#REF!</v>
      </c>
      <c r="H81" s="2" t="e">
        <f>IF(A81="","",COUNTIFS(#REF!,A81,#REF!,"Autogol"))</f>
        <v>#REF!</v>
      </c>
      <c r="I81" s="2" t="e">
        <f>#REF!</f>
        <v>#REF!</v>
      </c>
    </row>
    <row r="82" spans="1:9" ht="18.399999999999999" customHeight="1">
      <c r="A82" s="12" t="e">
        <f>#REF!</f>
        <v>#REF!</v>
      </c>
      <c r="B82" s="2" t="e">
        <f>IF(A82="","",#REF!&amp;" "&amp;#REF!&amp;" "&amp;#REF!)</f>
        <v>#REF!</v>
      </c>
      <c r="C82" s="2" t="e">
        <f>#REF!</f>
        <v>#REF!</v>
      </c>
      <c r="D82" s="2" t="e">
        <f>#REF!</f>
        <v>#REF!</v>
      </c>
      <c r="E82" s="2"/>
      <c r="F82" s="2" t="e">
        <f>IF(A82="","",COUNTIF(#REF!,A82))</f>
        <v>#REF!</v>
      </c>
      <c r="G82" s="2" t="e">
        <f>IF(A82="","",COUNTIFS(#REF!,A82,#REF!,"Penal"))</f>
        <v>#REF!</v>
      </c>
      <c r="H82" s="2" t="e">
        <f>IF(A82="","",COUNTIFS(#REF!,A82,#REF!,"Autogol"))</f>
        <v>#REF!</v>
      </c>
      <c r="I82" s="2" t="e">
        <f>#REF!</f>
        <v>#REF!</v>
      </c>
    </row>
    <row r="83" spans="1:9" ht="18.399999999999999" customHeight="1">
      <c r="A83" s="12" t="e">
        <f>#REF!</f>
        <v>#REF!</v>
      </c>
      <c r="B83" s="2" t="e">
        <f>IF(A83="","",#REF!&amp;" "&amp;#REF!&amp;" "&amp;#REF!)</f>
        <v>#REF!</v>
      </c>
      <c r="C83" s="2" t="e">
        <f>#REF!</f>
        <v>#REF!</v>
      </c>
      <c r="D83" s="2" t="e">
        <f>#REF!</f>
        <v>#REF!</v>
      </c>
      <c r="E83" s="2"/>
      <c r="F83" s="2" t="e">
        <f>IF(A83="","",COUNTIF(#REF!,A83))</f>
        <v>#REF!</v>
      </c>
      <c r="G83" s="2" t="e">
        <f>IF(A83="","",COUNTIFS(#REF!,A83,#REF!,"Penal"))</f>
        <v>#REF!</v>
      </c>
      <c r="H83" s="2" t="e">
        <f>IF(A83="","",COUNTIFS(#REF!,A83,#REF!,"Autogol"))</f>
        <v>#REF!</v>
      </c>
      <c r="I83" s="2" t="e">
        <f>#REF!</f>
        <v>#REF!</v>
      </c>
    </row>
    <row r="84" spans="1:9" ht="18.399999999999999" customHeight="1">
      <c r="A84" s="12" t="e">
        <f>#REF!</f>
        <v>#REF!</v>
      </c>
      <c r="B84" s="2" t="e">
        <f>IF(A84="","",#REF!&amp;" "&amp;#REF!&amp;" "&amp;#REF!)</f>
        <v>#REF!</v>
      </c>
      <c r="C84" s="2" t="e">
        <f>#REF!</f>
        <v>#REF!</v>
      </c>
      <c r="D84" s="2" t="e">
        <f>#REF!</f>
        <v>#REF!</v>
      </c>
      <c r="E84" s="2"/>
      <c r="F84" s="2" t="e">
        <f>IF(A84="","",COUNTIF(#REF!,A84))</f>
        <v>#REF!</v>
      </c>
      <c r="G84" s="2" t="e">
        <f>IF(A84="","",COUNTIFS(#REF!,A84,#REF!,"Penal"))</f>
        <v>#REF!</v>
      </c>
      <c r="H84" s="2" t="e">
        <f>IF(A84="","",COUNTIFS(#REF!,A84,#REF!,"Autogol"))</f>
        <v>#REF!</v>
      </c>
      <c r="I84" s="2" t="e">
        <f>#REF!</f>
        <v>#REF!</v>
      </c>
    </row>
    <row r="85" spans="1:9" ht="18.399999999999999" customHeight="1">
      <c r="A85" s="12" t="e">
        <f>#REF!</f>
        <v>#REF!</v>
      </c>
      <c r="B85" s="2" t="e">
        <f>IF(A85="","",#REF!&amp;" "&amp;#REF!&amp;" "&amp;#REF!)</f>
        <v>#REF!</v>
      </c>
      <c r="C85" s="2" t="e">
        <f>#REF!</f>
        <v>#REF!</v>
      </c>
      <c r="D85" s="2" t="e">
        <f>#REF!</f>
        <v>#REF!</v>
      </c>
      <c r="E85" s="2"/>
      <c r="F85" s="2" t="e">
        <f>IF(A85="","",COUNTIF(#REF!,A85))</f>
        <v>#REF!</v>
      </c>
      <c r="G85" s="2" t="e">
        <f>IF(A85="","",COUNTIFS(#REF!,A85,#REF!,"Penal"))</f>
        <v>#REF!</v>
      </c>
      <c r="H85" s="2" t="e">
        <f>IF(A85="","",COUNTIFS(#REF!,A85,#REF!,"Autogol"))</f>
        <v>#REF!</v>
      </c>
      <c r="I85" s="2" t="e">
        <f>#REF!</f>
        <v>#REF!</v>
      </c>
    </row>
    <row r="86" spans="1:9" ht="18.399999999999999" customHeight="1">
      <c r="A86" s="12" t="e">
        <f>#REF!</f>
        <v>#REF!</v>
      </c>
      <c r="B86" s="2" t="e">
        <f>IF(A86="","",#REF!&amp;" "&amp;#REF!&amp;" "&amp;#REF!)</f>
        <v>#REF!</v>
      </c>
      <c r="C86" s="2" t="e">
        <f>#REF!</f>
        <v>#REF!</v>
      </c>
      <c r="D86" s="2" t="e">
        <f>#REF!</f>
        <v>#REF!</v>
      </c>
      <c r="E86" s="2"/>
      <c r="F86" s="2" t="e">
        <f>IF(A86="","",COUNTIF(#REF!,A86))</f>
        <v>#REF!</v>
      </c>
      <c r="G86" s="2" t="e">
        <f>IF(A86="","",COUNTIFS(#REF!,A86,#REF!,"Penal"))</f>
        <v>#REF!</v>
      </c>
      <c r="H86" s="2" t="e">
        <f>IF(A86="","",COUNTIFS(#REF!,A86,#REF!,"Autogol"))</f>
        <v>#REF!</v>
      </c>
      <c r="I86" s="2" t="e">
        <f>#REF!</f>
        <v>#REF!</v>
      </c>
    </row>
    <row r="87" spans="1:9" ht="18.399999999999999" customHeight="1">
      <c r="A87" s="12" t="e">
        <f>#REF!</f>
        <v>#REF!</v>
      </c>
      <c r="B87" s="2" t="e">
        <f>IF(A87="","",#REF!&amp;" "&amp;#REF!&amp;" "&amp;#REF!)</f>
        <v>#REF!</v>
      </c>
      <c r="C87" s="2" t="e">
        <f>#REF!</f>
        <v>#REF!</v>
      </c>
      <c r="D87" s="2" t="e">
        <f>#REF!</f>
        <v>#REF!</v>
      </c>
      <c r="E87" s="2"/>
      <c r="F87" s="2" t="e">
        <f>IF(A87="","",COUNTIF(#REF!,A87))</f>
        <v>#REF!</v>
      </c>
      <c r="G87" s="2" t="e">
        <f>IF(A87="","",COUNTIFS(#REF!,A87,#REF!,"Penal"))</f>
        <v>#REF!</v>
      </c>
      <c r="H87" s="2" t="e">
        <f>IF(A87="","",COUNTIFS(#REF!,A87,#REF!,"Autogol"))</f>
        <v>#REF!</v>
      </c>
      <c r="I87" s="2" t="e">
        <f>#REF!</f>
        <v>#REF!</v>
      </c>
    </row>
    <row r="88" spans="1:9" ht="18.399999999999999" customHeight="1">
      <c r="A88" s="12" t="e">
        <f>#REF!</f>
        <v>#REF!</v>
      </c>
      <c r="B88" s="2" t="e">
        <f>IF(A88="","",#REF!&amp;" "&amp;#REF!&amp;" "&amp;#REF!)</f>
        <v>#REF!</v>
      </c>
      <c r="C88" s="2" t="e">
        <f>#REF!</f>
        <v>#REF!</v>
      </c>
      <c r="D88" s="2" t="e">
        <f>#REF!</f>
        <v>#REF!</v>
      </c>
      <c r="E88" s="2"/>
      <c r="F88" s="2" t="e">
        <f>IF(A88="","",COUNTIF(#REF!,A88))</f>
        <v>#REF!</v>
      </c>
      <c r="G88" s="2" t="e">
        <f>IF(A88="","",COUNTIFS(#REF!,A88,#REF!,"Penal"))</f>
        <v>#REF!</v>
      </c>
      <c r="H88" s="2" t="e">
        <f>IF(A88="","",COUNTIFS(#REF!,A88,#REF!,"Autogol"))</f>
        <v>#REF!</v>
      </c>
      <c r="I88" s="2" t="e">
        <f>#REF!</f>
        <v>#REF!</v>
      </c>
    </row>
    <row r="89" spans="1:9" ht="18.399999999999999" customHeight="1">
      <c r="A89" s="12" t="e">
        <f>#REF!</f>
        <v>#REF!</v>
      </c>
      <c r="B89" s="2" t="e">
        <f>IF(A89="","",#REF!&amp;" "&amp;#REF!&amp;" "&amp;#REF!)</f>
        <v>#REF!</v>
      </c>
      <c r="C89" s="2" t="e">
        <f>#REF!</f>
        <v>#REF!</v>
      </c>
      <c r="D89" s="2" t="e">
        <f>#REF!</f>
        <v>#REF!</v>
      </c>
      <c r="E89" s="2"/>
      <c r="F89" s="2" t="e">
        <f>IF(A89="","",COUNTIF(#REF!,A89))</f>
        <v>#REF!</v>
      </c>
      <c r="G89" s="2" t="e">
        <f>IF(A89="","",COUNTIFS(#REF!,A89,#REF!,"Penal"))</f>
        <v>#REF!</v>
      </c>
      <c r="H89" s="2" t="e">
        <f>IF(A89="","",COUNTIFS(#REF!,A89,#REF!,"Autogol"))</f>
        <v>#REF!</v>
      </c>
      <c r="I89" s="2" t="e">
        <f>#REF!</f>
        <v>#REF!</v>
      </c>
    </row>
    <row r="90" spans="1:9" ht="18.399999999999999" customHeight="1">
      <c r="A90" s="12" t="e">
        <f>#REF!</f>
        <v>#REF!</v>
      </c>
      <c r="B90" s="2" t="e">
        <f>IF(A90="","",#REF!&amp;" "&amp;#REF!&amp;" "&amp;#REF!)</f>
        <v>#REF!</v>
      </c>
      <c r="C90" s="2" t="e">
        <f>#REF!</f>
        <v>#REF!</v>
      </c>
      <c r="D90" s="2" t="e">
        <f>#REF!</f>
        <v>#REF!</v>
      </c>
      <c r="E90" s="2"/>
      <c r="F90" s="2" t="e">
        <f>IF(A90="","",COUNTIF(#REF!,A90))</f>
        <v>#REF!</v>
      </c>
      <c r="G90" s="2" t="e">
        <f>IF(A90="","",COUNTIFS(#REF!,A90,#REF!,"Penal"))</f>
        <v>#REF!</v>
      </c>
      <c r="H90" s="2" t="e">
        <f>IF(A90="","",COUNTIFS(#REF!,A90,#REF!,"Autogol"))</f>
        <v>#REF!</v>
      </c>
      <c r="I90" s="2" t="e">
        <f>#REF!</f>
        <v>#REF!</v>
      </c>
    </row>
    <row r="91" spans="1:9" ht="18.399999999999999" customHeight="1">
      <c r="A91" s="12" t="e">
        <f>#REF!</f>
        <v>#REF!</v>
      </c>
      <c r="B91" s="2" t="e">
        <f>IF(A91="","",#REF!&amp;" "&amp;#REF!&amp;" "&amp;#REF!)</f>
        <v>#REF!</v>
      </c>
      <c r="C91" s="2" t="e">
        <f>#REF!</f>
        <v>#REF!</v>
      </c>
      <c r="D91" s="2" t="e">
        <f>#REF!</f>
        <v>#REF!</v>
      </c>
      <c r="E91" s="2"/>
      <c r="F91" s="2" t="e">
        <f>IF(A91="","",COUNTIF(#REF!,A91))</f>
        <v>#REF!</v>
      </c>
      <c r="G91" s="2" t="e">
        <f>IF(A91="","",COUNTIFS(#REF!,A91,#REF!,"Penal"))</f>
        <v>#REF!</v>
      </c>
      <c r="H91" s="2" t="e">
        <f>IF(A91="","",COUNTIFS(#REF!,A91,#REF!,"Autogol"))</f>
        <v>#REF!</v>
      </c>
      <c r="I91" s="2" t="e">
        <f>#REF!</f>
        <v>#REF!</v>
      </c>
    </row>
    <row r="92" spans="1:9" ht="18.399999999999999" customHeight="1">
      <c r="A92" s="12" t="e">
        <f>#REF!</f>
        <v>#REF!</v>
      </c>
      <c r="B92" s="2" t="e">
        <f>IF(A92="","",#REF!&amp;" "&amp;#REF!&amp;" "&amp;#REF!)</f>
        <v>#REF!</v>
      </c>
      <c r="C92" s="2" t="e">
        <f>#REF!</f>
        <v>#REF!</v>
      </c>
      <c r="D92" s="2" t="e">
        <f>#REF!</f>
        <v>#REF!</v>
      </c>
      <c r="E92" s="2"/>
      <c r="F92" s="2" t="e">
        <f>IF(A92="","",COUNTIF(#REF!,A92))</f>
        <v>#REF!</v>
      </c>
      <c r="G92" s="2" t="e">
        <f>IF(A92="","",COUNTIFS(#REF!,A92,#REF!,"Penal"))</f>
        <v>#REF!</v>
      </c>
      <c r="H92" s="2" t="e">
        <f>IF(A92="","",COUNTIFS(#REF!,A92,#REF!,"Autogol"))</f>
        <v>#REF!</v>
      </c>
      <c r="I92" s="2" t="e">
        <f>#REF!</f>
        <v>#REF!</v>
      </c>
    </row>
    <row r="93" spans="1:9" ht="18.399999999999999" customHeight="1">
      <c r="A93" s="12" t="e">
        <f>#REF!</f>
        <v>#REF!</v>
      </c>
      <c r="B93" s="2" t="e">
        <f>IF(A93="","",#REF!&amp;" "&amp;#REF!&amp;" "&amp;#REF!)</f>
        <v>#REF!</v>
      </c>
      <c r="C93" s="2" t="e">
        <f>#REF!</f>
        <v>#REF!</v>
      </c>
      <c r="D93" s="2" t="e">
        <f>#REF!</f>
        <v>#REF!</v>
      </c>
      <c r="E93" s="2"/>
      <c r="F93" s="2" t="e">
        <f>IF(A93="","",COUNTIF(#REF!,A93))</f>
        <v>#REF!</v>
      </c>
      <c r="G93" s="2" t="e">
        <f>IF(A93="","",COUNTIFS(#REF!,A93,#REF!,"Penal"))</f>
        <v>#REF!</v>
      </c>
      <c r="H93" s="2" t="e">
        <f>IF(A93="","",COUNTIFS(#REF!,A93,#REF!,"Autogol"))</f>
        <v>#REF!</v>
      </c>
      <c r="I93" s="2" t="e">
        <f>#REF!</f>
        <v>#REF!</v>
      </c>
    </row>
    <row r="94" spans="1:9" ht="18.399999999999999" customHeight="1">
      <c r="A94" s="12" t="e">
        <f>#REF!</f>
        <v>#REF!</v>
      </c>
      <c r="B94" s="2" t="e">
        <f>IF(A94="","",#REF!&amp;" "&amp;#REF!&amp;" "&amp;#REF!)</f>
        <v>#REF!</v>
      </c>
      <c r="C94" s="2" t="e">
        <f>#REF!</f>
        <v>#REF!</v>
      </c>
      <c r="D94" s="2" t="e">
        <f>#REF!</f>
        <v>#REF!</v>
      </c>
      <c r="E94" s="2"/>
      <c r="F94" s="2" t="e">
        <f>IF(A94="","",COUNTIF(#REF!,A94))</f>
        <v>#REF!</v>
      </c>
      <c r="G94" s="2" t="e">
        <f>IF(A94="","",COUNTIFS(#REF!,A94,#REF!,"Penal"))</f>
        <v>#REF!</v>
      </c>
      <c r="H94" s="2" t="e">
        <f>IF(A94="","",COUNTIFS(#REF!,A94,#REF!,"Autogol"))</f>
        <v>#REF!</v>
      </c>
      <c r="I94" s="2" t="e">
        <f>#REF!</f>
        <v>#REF!</v>
      </c>
    </row>
    <row r="95" spans="1:9" ht="18.399999999999999" customHeight="1">
      <c r="A95" s="12" t="e">
        <f>#REF!</f>
        <v>#REF!</v>
      </c>
      <c r="B95" s="2" t="e">
        <f>IF(A95="","",#REF!&amp;" "&amp;#REF!&amp;" "&amp;#REF!)</f>
        <v>#REF!</v>
      </c>
      <c r="C95" s="2" t="e">
        <f>#REF!</f>
        <v>#REF!</v>
      </c>
      <c r="D95" s="2" t="e">
        <f>#REF!</f>
        <v>#REF!</v>
      </c>
      <c r="E95" s="2"/>
      <c r="F95" s="2" t="e">
        <f>IF(A95="","",COUNTIF(#REF!,A95))</f>
        <v>#REF!</v>
      </c>
      <c r="G95" s="2" t="e">
        <f>IF(A95="","",COUNTIFS(#REF!,A95,#REF!,"Penal"))</f>
        <v>#REF!</v>
      </c>
      <c r="H95" s="2" t="e">
        <f>IF(A95="","",COUNTIFS(#REF!,A95,#REF!,"Autogol"))</f>
        <v>#REF!</v>
      </c>
      <c r="I95" s="2" t="e">
        <f>#REF!</f>
        <v>#REF!</v>
      </c>
    </row>
    <row r="96" spans="1:9" ht="18.399999999999999" customHeight="1">
      <c r="A96" s="12" t="e">
        <f>#REF!</f>
        <v>#REF!</v>
      </c>
      <c r="B96" s="2" t="e">
        <f>IF(A96="","",#REF!&amp;" "&amp;#REF!&amp;" "&amp;#REF!)</f>
        <v>#REF!</v>
      </c>
      <c r="C96" s="2" t="e">
        <f>#REF!</f>
        <v>#REF!</v>
      </c>
      <c r="D96" s="2" t="e">
        <f>#REF!</f>
        <v>#REF!</v>
      </c>
      <c r="E96" s="2"/>
      <c r="F96" s="2" t="e">
        <f>IF(A96="","",COUNTIF(#REF!,A96))</f>
        <v>#REF!</v>
      </c>
      <c r="G96" s="2" t="e">
        <f>IF(A96="","",COUNTIFS(#REF!,A96,#REF!,"Penal"))</f>
        <v>#REF!</v>
      </c>
      <c r="H96" s="2" t="e">
        <f>IF(A96="","",COUNTIFS(#REF!,A96,#REF!,"Autogol"))</f>
        <v>#REF!</v>
      </c>
      <c r="I96" s="2" t="e">
        <f>#REF!</f>
        <v>#REF!</v>
      </c>
    </row>
    <row r="97" spans="1:9" ht="18.399999999999999" customHeight="1">
      <c r="A97" s="12" t="e">
        <f>#REF!</f>
        <v>#REF!</v>
      </c>
      <c r="B97" s="2" t="e">
        <f>IF(A97="","",#REF!&amp;" "&amp;#REF!&amp;" "&amp;#REF!)</f>
        <v>#REF!</v>
      </c>
      <c r="C97" s="2" t="e">
        <f>#REF!</f>
        <v>#REF!</v>
      </c>
      <c r="D97" s="2" t="e">
        <f>#REF!</f>
        <v>#REF!</v>
      </c>
      <c r="E97" s="2"/>
      <c r="F97" s="2" t="e">
        <f>IF(A97="","",COUNTIF(#REF!,A97))</f>
        <v>#REF!</v>
      </c>
      <c r="G97" s="2" t="e">
        <f>IF(A97="","",COUNTIFS(#REF!,A97,#REF!,"Penal"))</f>
        <v>#REF!</v>
      </c>
      <c r="H97" s="2" t="e">
        <f>IF(A97="","",COUNTIFS(#REF!,A97,#REF!,"Autogol"))</f>
        <v>#REF!</v>
      </c>
      <c r="I97" s="2" t="e">
        <f>#REF!</f>
        <v>#REF!</v>
      </c>
    </row>
    <row r="98" spans="1:9" ht="18.399999999999999" customHeight="1">
      <c r="A98" s="12" t="e">
        <f>#REF!</f>
        <v>#REF!</v>
      </c>
      <c r="B98" s="2" t="e">
        <f>IF(A98="","",#REF!&amp;" "&amp;#REF!&amp;" "&amp;#REF!)</f>
        <v>#REF!</v>
      </c>
      <c r="C98" s="2" t="e">
        <f>#REF!</f>
        <v>#REF!</v>
      </c>
      <c r="D98" s="2" t="e">
        <f>#REF!</f>
        <v>#REF!</v>
      </c>
      <c r="E98" s="2"/>
      <c r="F98" s="2" t="e">
        <f>IF(A98="","",COUNTIF(#REF!,A98))</f>
        <v>#REF!</v>
      </c>
      <c r="G98" s="2" t="e">
        <f>IF(A98="","",COUNTIFS(#REF!,A98,#REF!,"Penal"))</f>
        <v>#REF!</v>
      </c>
      <c r="H98" s="2" t="e">
        <f>IF(A98="","",COUNTIFS(#REF!,A98,#REF!,"Autogol"))</f>
        <v>#REF!</v>
      </c>
      <c r="I98" s="2" t="e">
        <f>#REF!</f>
        <v>#REF!</v>
      </c>
    </row>
    <row r="99" spans="1:9" ht="18.399999999999999" customHeight="1">
      <c r="A99" s="12" t="e">
        <f>#REF!</f>
        <v>#REF!</v>
      </c>
      <c r="B99" s="2" t="e">
        <f>IF(A99="","",#REF!&amp;" "&amp;#REF!&amp;" "&amp;#REF!)</f>
        <v>#REF!</v>
      </c>
      <c r="C99" s="2" t="e">
        <f>#REF!</f>
        <v>#REF!</v>
      </c>
      <c r="D99" s="2" t="e">
        <f>#REF!</f>
        <v>#REF!</v>
      </c>
      <c r="E99" s="2"/>
      <c r="F99" s="2" t="e">
        <f>IF(A99="","",COUNTIF(#REF!,A99))</f>
        <v>#REF!</v>
      </c>
      <c r="G99" s="2" t="e">
        <f>IF(A99="","",COUNTIFS(#REF!,A99,#REF!,"Penal"))</f>
        <v>#REF!</v>
      </c>
      <c r="H99" s="2" t="e">
        <f>IF(A99="","",COUNTIFS(#REF!,A99,#REF!,"Autogol"))</f>
        <v>#REF!</v>
      </c>
      <c r="I99" s="2" t="e">
        <f>#REF!</f>
        <v>#REF!</v>
      </c>
    </row>
    <row r="100" spans="1:9" ht="18.399999999999999" customHeight="1">
      <c r="A100" s="12" t="e">
        <f>#REF!</f>
        <v>#REF!</v>
      </c>
      <c r="B100" s="2" t="e">
        <f>IF(A100="","",#REF!&amp;" "&amp;#REF!&amp;" "&amp;#REF!)</f>
        <v>#REF!</v>
      </c>
      <c r="C100" s="2" t="e">
        <f>#REF!</f>
        <v>#REF!</v>
      </c>
      <c r="D100" s="2" t="e">
        <f>#REF!</f>
        <v>#REF!</v>
      </c>
      <c r="E100" s="2"/>
      <c r="F100" s="2" t="e">
        <f>IF(A100="","",COUNTIF(#REF!,A100))</f>
        <v>#REF!</v>
      </c>
      <c r="G100" s="2" t="e">
        <f>IF(A100="","",COUNTIFS(#REF!,A100,#REF!,"Penal"))</f>
        <v>#REF!</v>
      </c>
      <c r="H100" s="2" t="e">
        <f>IF(A100="","",COUNTIFS(#REF!,A100,#REF!,"Autogol"))</f>
        <v>#REF!</v>
      </c>
      <c r="I100" s="2" t="e">
        <f>#REF!</f>
        <v>#REF!</v>
      </c>
    </row>
    <row r="101" spans="1:9" ht="18.399999999999999" customHeight="1">
      <c r="A101" s="12" t="e">
        <f>#REF!</f>
        <v>#REF!</v>
      </c>
      <c r="B101" s="2" t="e">
        <f>IF(A101="","",#REF!&amp;" "&amp;#REF!&amp;" "&amp;#REF!)</f>
        <v>#REF!</v>
      </c>
      <c r="C101" s="2" t="e">
        <f>#REF!</f>
        <v>#REF!</v>
      </c>
      <c r="D101" s="2" t="e">
        <f>#REF!</f>
        <v>#REF!</v>
      </c>
      <c r="E101" s="2"/>
      <c r="F101" s="2" t="e">
        <f>IF(A101="","",COUNTIF(#REF!,A101))</f>
        <v>#REF!</v>
      </c>
      <c r="G101" s="2" t="e">
        <f>IF(A101="","",COUNTIFS(#REF!,A101,#REF!,"Penal"))</f>
        <v>#REF!</v>
      </c>
      <c r="H101" s="2" t="e">
        <f>IF(A101="","",COUNTIFS(#REF!,A101,#REF!,"Autogol"))</f>
        <v>#REF!</v>
      </c>
      <c r="I101" s="2" t="e">
        <f>#REF!</f>
        <v>#REF!</v>
      </c>
    </row>
    <row r="102" spans="1:9" ht="18.399999999999999" customHeight="1">
      <c r="A102" s="12" t="e">
        <f>#REF!</f>
        <v>#REF!</v>
      </c>
      <c r="B102" s="2" t="e">
        <f>IF(A102="","",#REF!&amp;" "&amp;#REF!&amp;" "&amp;#REF!)</f>
        <v>#REF!</v>
      </c>
      <c r="C102" s="2" t="e">
        <f>#REF!</f>
        <v>#REF!</v>
      </c>
      <c r="D102" s="2" t="e">
        <f>#REF!</f>
        <v>#REF!</v>
      </c>
      <c r="E102" s="2"/>
      <c r="F102" s="2" t="e">
        <f>IF(A102="","",COUNTIF(#REF!,A102))</f>
        <v>#REF!</v>
      </c>
      <c r="G102" s="2" t="e">
        <f>IF(A102="","",COUNTIFS(#REF!,A102,#REF!,"Penal"))</f>
        <v>#REF!</v>
      </c>
      <c r="H102" s="2" t="e">
        <f>IF(A102="","",COUNTIFS(#REF!,A102,#REF!,"Autogol"))</f>
        <v>#REF!</v>
      </c>
      <c r="I102" s="2" t="e">
        <f>#REF!</f>
        <v>#REF!</v>
      </c>
    </row>
    <row r="103" spans="1:9" ht="18.399999999999999" customHeight="1">
      <c r="A103" s="12" t="e">
        <f>#REF!</f>
        <v>#REF!</v>
      </c>
      <c r="B103" s="2" t="e">
        <f>IF(A103="","",#REF!&amp;" "&amp;#REF!&amp;" "&amp;#REF!)</f>
        <v>#REF!</v>
      </c>
      <c r="C103" s="2" t="e">
        <f>#REF!</f>
        <v>#REF!</v>
      </c>
      <c r="D103" s="2" t="e">
        <f>#REF!</f>
        <v>#REF!</v>
      </c>
      <c r="E103" s="2"/>
      <c r="F103" s="2" t="e">
        <f>IF(A103="","",COUNTIF(#REF!,A103))</f>
        <v>#REF!</v>
      </c>
      <c r="G103" s="2" t="e">
        <f>IF(A103="","",COUNTIFS(#REF!,A103,#REF!,"Penal"))</f>
        <v>#REF!</v>
      </c>
      <c r="H103" s="2" t="e">
        <f>IF(A103="","",COUNTIFS(#REF!,A103,#REF!,"Autogol"))</f>
        <v>#REF!</v>
      </c>
      <c r="I103" s="2" t="e">
        <f>#REF!</f>
        <v>#REF!</v>
      </c>
    </row>
    <row r="104" spans="1:9" ht="18.399999999999999" customHeight="1">
      <c r="A104" s="12" t="e">
        <f>#REF!</f>
        <v>#REF!</v>
      </c>
      <c r="B104" s="2" t="e">
        <f>IF(A104="","",#REF!&amp;" "&amp;#REF!&amp;" "&amp;#REF!)</f>
        <v>#REF!</v>
      </c>
      <c r="C104" s="2" t="e">
        <f>#REF!</f>
        <v>#REF!</v>
      </c>
      <c r="D104" s="2" t="e">
        <f>#REF!</f>
        <v>#REF!</v>
      </c>
      <c r="E104" s="2"/>
      <c r="F104" s="2" t="e">
        <f>IF(A104="","",COUNTIF(#REF!,A104))</f>
        <v>#REF!</v>
      </c>
      <c r="G104" s="2" t="e">
        <f>IF(A104="","",COUNTIFS(#REF!,A104,#REF!,"Penal"))</f>
        <v>#REF!</v>
      </c>
      <c r="H104" s="2" t="e">
        <f>IF(A104="","",COUNTIFS(#REF!,A104,#REF!,"Autogol"))</f>
        <v>#REF!</v>
      </c>
      <c r="I104" s="2" t="e">
        <f>#REF!</f>
        <v>#REF!</v>
      </c>
    </row>
    <row r="105" spans="1:9" ht="18.399999999999999" customHeight="1">
      <c r="A105" s="12" t="e">
        <f>#REF!</f>
        <v>#REF!</v>
      </c>
      <c r="B105" s="2" t="e">
        <f>IF(A105="","",#REF!&amp;" "&amp;#REF!&amp;" "&amp;#REF!)</f>
        <v>#REF!</v>
      </c>
      <c r="C105" s="2" t="e">
        <f>#REF!</f>
        <v>#REF!</v>
      </c>
      <c r="D105" s="2" t="e">
        <f>#REF!</f>
        <v>#REF!</v>
      </c>
      <c r="E105" s="2"/>
      <c r="F105" s="2" t="e">
        <f>IF(A105="","",COUNTIF(#REF!,A105))</f>
        <v>#REF!</v>
      </c>
      <c r="G105" s="2" t="e">
        <f>IF(A105="","",COUNTIFS(#REF!,A105,#REF!,"Penal"))</f>
        <v>#REF!</v>
      </c>
      <c r="H105" s="2" t="e">
        <f>IF(A105="","",COUNTIFS(#REF!,A105,#REF!,"Autogol"))</f>
        <v>#REF!</v>
      </c>
      <c r="I105" s="2" t="e">
        <f>#REF!</f>
        <v>#REF!</v>
      </c>
    </row>
    <row r="106" spans="1:9" ht="18.399999999999999" customHeight="1">
      <c r="A106" s="12" t="e">
        <f>#REF!</f>
        <v>#REF!</v>
      </c>
      <c r="B106" s="2" t="e">
        <f>IF(A106="","",#REF!&amp;" "&amp;#REF!&amp;" "&amp;#REF!)</f>
        <v>#REF!</v>
      </c>
      <c r="C106" s="2" t="e">
        <f>#REF!</f>
        <v>#REF!</v>
      </c>
      <c r="D106" s="2" t="e">
        <f>#REF!</f>
        <v>#REF!</v>
      </c>
      <c r="E106" s="2"/>
      <c r="F106" s="2" t="e">
        <f>IF(A106="","",COUNTIF(#REF!,A106))</f>
        <v>#REF!</v>
      </c>
      <c r="G106" s="2" t="e">
        <f>IF(A106="","",COUNTIFS(#REF!,A106,#REF!,"Penal"))</f>
        <v>#REF!</v>
      </c>
      <c r="H106" s="2" t="e">
        <f>IF(A106="","",COUNTIFS(#REF!,A106,#REF!,"Autogol"))</f>
        <v>#REF!</v>
      </c>
      <c r="I106" s="2" t="e">
        <f>#REF!</f>
        <v>#REF!</v>
      </c>
    </row>
    <row r="107" spans="1:9" ht="18.399999999999999" customHeight="1">
      <c r="A107" s="12" t="e">
        <f>#REF!</f>
        <v>#REF!</v>
      </c>
      <c r="B107" s="2" t="e">
        <f>IF(A107="","",#REF!&amp;" "&amp;#REF!&amp;" "&amp;#REF!)</f>
        <v>#REF!</v>
      </c>
      <c r="C107" s="2" t="e">
        <f>#REF!</f>
        <v>#REF!</v>
      </c>
      <c r="D107" s="2" t="e">
        <f>#REF!</f>
        <v>#REF!</v>
      </c>
      <c r="E107" s="2"/>
      <c r="F107" s="2" t="e">
        <f>IF(A107="","",COUNTIF(#REF!,A107))</f>
        <v>#REF!</v>
      </c>
      <c r="G107" s="2" t="e">
        <f>IF(A107="","",COUNTIFS(#REF!,A107,#REF!,"Penal"))</f>
        <v>#REF!</v>
      </c>
      <c r="H107" s="2" t="e">
        <f>IF(A107="","",COUNTIFS(#REF!,A107,#REF!,"Autogol"))</f>
        <v>#REF!</v>
      </c>
      <c r="I107" s="2" t="e">
        <f>#REF!</f>
        <v>#REF!</v>
      </c>
    </row>
    <row r="108" spans="1:9" ht="18.399999999999999" customHeight="1">
      <c r="A108" s="12" t="e">
        <f>#REF!</f>
        <v>#REF!</v>
      </c>
      <c r="B108" s="2" t="e">
        <f>IF(A108="","",#REF!&amp;" "&amp;#REF!&amp;" "&amp;#REF!)</f>
        <v>#REF!</v>
      </c>
      <c r="C108" s="2" t="e">
        <f>#REF!</f>
        <v>#REF!</v>
      </c>
      <c r="D108" s="2" t="e">
        <f>#REF!</f>
        <v>#REF!</v>
      </c>
      <c r="E108" s="2"/>
      <c r="F108" s="2" t="e">
        <f>IF(A108="","",COUNTIF(#REF!,A108))</f>
        <v>#REF!</v>
      </c>
      <c r="G108" s="2" t="e">
        <f>IF(A108="","",COUNTIFS(#REF!,A108,#REF!,"Penal"))</f>
        <v>#REF!</v>
      </c>
      <c r="H108" s="2" t="e">
        <f>IF(A108="","",COUNTIFS(#REF!,A108,#REF!,"Autogol"))</f>
        <v>#REF!</v>
      </c>
      <c r="I108" s="2" t="e">
        <f>#REF!</f>
        <v>#REF!</v>
      </c>
    </row>
    <row r="109" spans="1:9" ht="18.399999999999999" customHeight="1">
      <c r="A109" s="12" t="e">
        <f>#REF!</f>
        <v>#REF!</v>
      </c>
      <c r="B109" s="2" t="e">
        <f>IF(A109="","",#REF!&amp;" "&amp;#REF!&amp;" "&amp;#REF!)</f>
        <v>#REF!</v>
      </c>
      <c r="C109" s="2" t="e">
        <f>#REF!</f>
        <v>#REF!</v>
      </c>
      <c r="D109" s="2" t="e">
        <f>#REF!</f>
        <v>#REF!</v>
      </c>
      <c r="E109" s="2"/>
      <c r="F109" s="2" t="e">
        <f>IF(A109="","",COUNTIF(#REF!,A109))</f>
        <v>#REF!</v>
      </c>
      <c r="G109" s="2" t="e">
        <f>IF(A109="","",COUNTIFS(#REF!,A109,#REF!,"Penal"))</f>
        <v>#REF!</v>
      </c>
      <c r="H109" s="2" t="e">
        <f>IF(A109="","",COUNTIFS(#REF!,A109,#REF!,"Autogol"))</f>
        <v>#REF!</v>
      </c>
      <c r="I109" s="2" t="e">
        <f>#REF!</f>
        <v>#REF!</v>
      </c>
    </row>
    <row r="110" spans="1:9" ht="18.399999999999999" customHeight="1">
      <c r="A110" s="12" t="e">
        <f>#REF!</f>
        <v>#REF!</v>
      </c>
      <c r="B110" s="2" t="e">
        <f>IF(A110="","",#REF!&amp;" "&amp;#REF!&amp;" "&amp;#REF!)</f>
        <v>#REF!</v>
      </c>
      <c r="C110" s="2" t="e">
        <f>#REF!</f>
        <v>#REF!</v>
      </c>
      <c r="D110" s="2" t="e">
        <f>#REF!</f>
        <v>#REF!</v>
      </c>
      <c r="E110" s="2"/>
      <c r="F110" s="2" t="e">
        <f>IF(A110="","",COUNTIF(#REF!,A110))</f>
        <v>#REF!</v>
      </c>
      <c r="G110" s="2" t="e">
        <f>IF(A110="","",COUNTIFS(#REF!,A110,#REF!,"Penal"))</f>
        <v>#REF!</v>
      </c>
      <c r="H110" s="2" t="e">
        <f>IF(A110="","",COUNTIFS(#REF!,A110,#REF!,"Autogol"))</f>
        <v>#REF!</v>
      </c>
      <c r="I110" s="2" t="e">
        <f>#REF!</f>
        <v>#REF!</v>
      </c>
    </row>
    <row r="111" spans="1:9" ht="18.399999999999999" customHeight="1">
      <c r="A111" s="12" t="e">
        <f>#REF!</f>
        <v>#REF!</v>
      </c>
      <c r="B111" s="2" t="e">
        <f>IF(A111="","",#REF!&amp;" "&amp;#REF!&amp;" "&amp;#REF!)</f>
        <v>#REF!</v>
      </c>
      <c r="C111" s="2" t="e">
        <f>#REF!</f>
        <v>#REF!</v>
      </c>
      <c r="D111" s="2" t="e">
        <f>#REF!</f>
        <v>#REF!</v>
      </c>
      <c r="E111" s="2"/>
      <c r="F111" s="2" t="e">
        <f>IF(A111="","",COUNTIF(#REF!,A111))</f>
        <v>#REF!</v>
      </c>
      <c r="G111" s="2" t="e">
        <f>IF(A111="","",COUNTIFS(#REF!,A111,#REF!,"Penal"))</f>
        <v>#REF!</v>
      </c>
      <c r="H111" s="2" t="e">
        <f>IF(A111="","",COUNTIFS(#REF!,A111,#REF!,"Autogol"))</f>
        <v>#REF!</v>
      </c>
      <c r="I111" s="2" t="e">
        <f>#REF!</f>
        <v>#REF!</v>
      </c>
    </row>
    <row r="112" spans="1:9" ht="18.399999999999999" customHeight="1">
      <c r="A112" s="12" t="e">
        <f>#REF!</f>
        <v>#REF!</v>
      </c>
      <c r="B112" s="2" t="e">
        <f>IF(A112="","",#REF!&amp;" "&amp;#REF!&amp;" "&amp;#REF!)</f>
        <v>#REF!</v>
      </c>
      <c r="C112" s="2" t="e">
        <f>#REF!</f>
        <v>#REF!</v>
      </c>
      <c r="D112" s="2" t="e">
        <f>#REF!</f>
        <v>#REF!</v>
      </c>
      <c r="E112" s="2"/>
      <c r="F112" s="2" t="e">
        <f>IF(A112="","",COUNTIF(#REF!,A112))</f>
        <v>#REF!</v>
      </c>
      <c r="G112" s="2" t="e">
        <f>IF(A112="","",COUNTIFS(#REF!,A112,#REF!,"Penal"))</f>
        <v>#REF!</v>
      </c>
      <c r="H112" s="2" t="e">
        <f>IF(A112="","",COUNTIFS(#REF!,A112,#REF!,"Autogol"))</f>
        <v>#REF!</v>
      </c>
      <c r="I112" s="2" t="e">
        <f>#REF!</f>
        <v>#REF!</v>
      </c>
    </row>
    <row r="113" spans="1:9" ht="18.399999999999999" customHeight="1">
      <c r="A113" s="12" t="e">
        <f>#REF!</f>
        <v>#REF!</v>
      </c>
      <c r="B113" s="2" t="e">
        <f>IF(A113="","",#REF!&amp;" "&amp;#REF!&amp;" "&amp;#REF!)</f>
        <v>#REF!</v>
      </c>
      <c r="C113" s="2" t="e">
        <f>#REF!</f>
        <v>#REF!</v>
      </c>
      <c r="D113" s="2" t="e">
        <f>#REF!</f>
        <v>#REF!</v>
      </c>
      <c r="E113" s="2"/>
      <c r="F113" s="2" t="e">
        <f>IF(A113="","",COUNTIF(#REF!,A113))</f>
        <v>#REF!</v>
      </c>
      <c r="G113" s="2" t="e">
        <f>IF(A113="","",COUNTIFS(#REF!,A113,#REF!,"Penal"))</f>
        <v>#REF!</v>
      </c>
      <c r="H113" s="2" t="e">
        <f>IF(A113="","",COUNTIFS(#REF!,A113,#REF!,"Autogol"))</f>
        <v>#REF!</v>
      </c>
      <c r="I113" s="2" t="e">
        <f>#REF!</f>
        <v>#REF!</v>
      </c>
    </row>
    <row r="114" spans="1:9" ht="18.399999999999999" customHeight="1">
      <c r="A114" s="12" t="e">
        <f>#REF!</f>
        <v>#REF!</v>
      </c>
      <c r="B114" s="2" t="e">
        <f>IF(A114="","",#REF!&amp;" "&amp;#REF!&amp;" "&amp;#REF!)</f>
        <v>#REF!</v>
      </c>
      <c r="C114" s="2" t="e">
        <f>#REF!</f>
        <v>#REF!</v>
      </c>
      <c r="D114" s="2" t="e">
        <f>#REF!</f>
        <v>#REF!</v>
      </c>
      <c r="E114" s="2"/>
      <c r="F114" s="2" t="e">
        <f>IF(A114="","",COUNTIF(#REF!,A114))</f>
        <v>#REF!</v>
      </c>
      <c r="G114" s="2" t="e">
        <f>IF(A114="","",COUNTIFS(#REF!,A114,#REF!,"Penal"))</f>
        <v>#REF!</v>
      </c>
      <c r="H114" s="2" t="e">
        <f>IF(A114="","",COUNTIFS(#REF!,A114,#REF!,"Autogol"))</f>
        <v>#REF!</v>
      </c>
      <c r="I114" s="2" t="e">
        <f>#REF!</f>
        <v>#REF!</v>
      </c>
    </row>
    <row r="115" spans="1:9" ht="18.399999999999999" customHeight="1">
      <c r="A115" s="12" t="e">
        <f>#REF!</f>
        <v>#REF!</v>
      </c>
      <c r="B115" s="2" t="e">
        <f>IF(A115="","",#REF!&amp;" "&amp;#REF!&amp;" "&amp;#REF!)</f>
        <v>#REF!</v>
      </c>
      <c r="C115" s="2" t="e">
        <f>#REF!</f>
        <v>#REF!</v>
      </c>
      <c r="D115" s="2" t="e">
        <f>#REF!</f>
        <v>#REF!</v>
      </c>
      <c r="E115" s="2"/>
      <c r="F115" s="2" t="e">
        <f>IF(A115="","",COUNTIF(#REF!,A115))</f>
        <v>#REF!</v>
      </c>
      <c r="G115" s="2" t="e">
        <f>IF(A115="","",COUNTIFS(#REF!,A115,#REF!,"Penal"))</f>
        <v>#REF!</v>
      </c>
      <c r="H115" s="2" t="e">
        <f>IF(A115="","",COUNTIFS(#REF!,A115,#REF!,"Autogol"))</f>
        <v>#REF!</v>
      </c>
      <c r="I115" s="2" t="e">
        <f>#REF!</f>
        <v>#REF!</v>
      </c>
    </row>
    <row r="116" spans="1:9" ht="18.399999999999999" customHeight="1">
      <c r="A116" s="12" t="e">
        <f>#REF!</f>
        <v>#REF!</v>
      </c>
      <c r="B116" s="2" t="e">
        <f>IF(A116="","",#REF!&amp;" "&amp;#REF!&amp;" "&amp;#REF!)</f>
        <v>#REF!</v>
      </c>
      <c r="C116" s="2" t="e">
        <f>#REF!</f>
        <v>#REF!</v>
      </c>
      <c r="D116" s="2" t="e">
        <f>#REF!</f>
        <v>#REF!</v>
      </c>
      <c r="E116" s="2"/>
      <c r="F116" s="2" t="e">
        <f>IF(A116="","",COUNTIF(#REF!,A116))</f>
        <v>#REF!</v>
      </c>
      <c r="G116" s="2" t="e">
        <f>IF(A116="","",COUNTIFS(#REF!,A116,#REF!,"Penal"))</f>
        <v>#REF!</v>
      </c>
      <c r="H116" s="2" t="e">
        <f>IF(A116="","",COUNTIFS(#REF!,A116,#REF!,"Autogol"))</f>
        <v>#REF!</v>
      </c>
      <c r="I116" s="2" t="e">
        <f>#REF!</f>
        <v>#REF!</v>
      </c>
    </row>
    <row r="117" spans="1:9" ht="18.399999999999999" customHeight="1">
      <c r="A117" s="12" t="e">
        <f>#REF!</f>
        <v>#REF!</v>
      </c>
      <c r="B117" s="2" t="e">
        <f>IF(A117="","",#REF!&amp;" "&amp;#REF!&amp;" "&amp;#REF!)</f>
        <v>#REF!</v>
      </c>
      <c r="C117" s="2" t="e">
        <f>#REF!</f>
        <v>#REF!</v>
      </c>
      <c r="D117" s="2" t="e">
        <f>#REF!</f>
        <v>#REF!</v>
      </c>
      <c r="E117" s="2"/>
      <c r="F117" s="2" t="e">
        <f>IF(A117="","",COUNTIF(#REF!,A117))</f>
        <v>#REF!</v>
      </c>
      <c r="G117" s="2" t="e">
        <f>IF(A117="","",COUNTIFS(#REF!,A117,#REF!,"Penal"))</f>
        <v>#REF!</v>
      </c>
      <c r="H117" s="2" t="e">
        <f>IF(A117="","",COUNTIFS(#REF!,A117,#REF!,"Autogol"))</f>
        <v>#REF!</v>
      </c>
      <c r="I117" s="2" t="e">
        <f>#REF!</f>
        <v>#REF!</v>
      </c>
    </row>
    <row r="118" spans="1:9" ht="18.399999999999999" customHeight="1">
      <c r="A118" s="12" t="e">
        <f>#REF!</f>
        <v>#REF!</v>
      </c>
      <c r="B118" s="2" t="e">
        <f>IF(A118="","",#REF!&amp;" "&amp;#REF!&amp;" "&amp;#REF!)</f>
        <v>#REF!</v>
      </c>
      <c r="C118" s="2" t="e">
        <f>#REF!</f>
        <v>#REF!</v>
      </c>
      <c r="D118" s="2" t="e">
        <f>#REF!</f>
        <v>#REF!</v>
      </c>
      <c r="E118" s="2"/>
      <c r="F118" s="2" t="e">
        <f>IF(A118="","",COUNTIF(#REF!,A118))</f>
        <v>#REF!</v>
      </c>
      <c r="G118" s="2" t="e">
        <f>IF(A118="","",COUNTIFS(#REF!,A118,#REF!,"Penal"))</f>
        <v>#REF!</v>
      </c>
      <c r="H118" s="2" t="e">
        <f>IF(A118="","",COUNTIFS(#REF!,A118,#REF!,"Autogol"))</f>
        <v>#REF!</v>
      </c>
      <c r="I118" s="2" t="e">
        <f>#REF!</f>
        <v>#REF!</v>
      </c>
    </row>
    <row r="119" spans="1:9" ht="18.399999999999999" customHeight="1">
      <c r="A119" s="12" t="e">
        <f>#REF!</f>
        <v>#REF!</v>
      </c>
      <c r="B119" s="2" t="e">
        <f>IF(A119="","",#REF!&amp;" "&amp;#REF!&amp;" "&amp;#REF!)</f>
        <v>#REF!</v>
      </c>
      <c r="C119" s="2" t="e">
        <f>#REF!</f>
        <v>#REF!</v>
      </c>
      <c r="D119" s="2" t="e">
        <f>#REF!</f>
        <v>#REF!</v>
      </c>
      <c r="E119" s="2"/>
      <c r="F119" s="2" t="e">
        <f>IF(A119="","",COUNTIF(#REF!,A119))</f>
        <v>#REF!</v>
      </c>
      <c r="G119" s="2" t="e">
        <f>IF(A119="","",COUNTIFS(#REF!,A119,#REF!,"Penal"))</f>
        <v>#REF!</v>
      </c>
      <c r="H119" s="2" t="e">
        <f>IF(A119="","",COUNTIFS(#REF!,A119,#REF!,"Autogol"))</f>
        <v>#REF!</v>
      </c>
      <c r="I119" s="2" t="e">
        <f>#REF!</f>
        <v>#REF!</v>
      </c>
    </row>
    <row r="120" spans="1:9" ht="18.399999999999999" customHeight="1">
      <c r="A120" s="12" t="e">
        <f>#REF!</f>
        <v>#REF!</v>
      </c>
      <c r="B120" s="2" t="e">
        <f>IF(A120="","",#REF!&amp;" "&amp;#REF!&amp;" "&amp;#REF!)</f>
        <v>#REF!</v>
      </c>
      <c r="C120" s="2" t="e">
        <f>#REF!</f>
        <v>#REF!</v>
      </c>
      <c r="D120" s="2" t="e">
        <f>#REF!</f>
        <v>#REF!</v>
      </c>
      <c r="E120" s="2"/>
      <c r="F120" s="2" t="e">
        <f>IF(A120="","",COUNTIF(#REF!,A120))</f>
        <v>#REF!</v>
      </c>
      <c r="G120" s="2" t="e">
        <f>IF(A120="","",COUNTIFS(#REF!,A120,#REF!,"Penal"))</f>
        <v>#REF!</v>
      </c>
      <c r="H120" s="2" t="e">
        <f>IF(A120="","",COUNTIFS(#REF!,A120,#REF!,"Autogol"))</f>
        <v>#REF!</v>
      </c>
      <c r="I120" s="2" t="e">
        <f>#REF!</f>
        <v>#REF!</v>
      </c>
    </row>
    <row r="121" spans="1:9" ht="18.399999999999999" customHeight="1">
      <c r="A121" s="12" t="e">
        <f>#REF!</f>
        <v>#REF!</v>
      </c>
      <c r="B121" s="2" t="e">
        <f>IF(A121="","",#REF!&amp;" "&amp;#REF!&amp;" "&amp;#REF!)</f>
        <v>#REF!</v>
      </c>
      <c r="C121" s="2" t="e">
        <f>#REF!</f>
        <v>#REF!</v>
      </c>
      <c r="D121" s="2" t="e">
        <f>#REF!</f>
        <v>#REF!</v>
      </c>
      <c r="E121" s="2"/>
      <c r="F121" s="2" t="e">
        <f>IF(A121="","",COUNTIF(#REF!,A121))</f>
        <v>#REF!</v>
      </c>
      <c r="G121" s="2" t="e">
        <f>IF(A121="","",COUNTIFS(#REF!,A121,#REF!,"Penal"))</f>
        <v>#REF!</v>
      </c>
      <c r="H121" s="2" t="e">
        <f>IF(A121="","",COUNTIFS(#REF!,A121,#REF!,"Autogol"))</f>
        <v>#REF!</v>
      </c>
      <c r="I121" s="2" t="e">
        <f>#REF!</f>
        <v>#REF!</v>
      </c>
    </row>
    <row r="122" spans="1:9" ht="18.399999999999999" customHeight="1">
      <c r="A122" s="12" t="e">
        <f>#REF!</f>
        <v>#REF!</v>
      </c>
      <c r="B122" s="2" t="e">
        <f>IF(A122="","",#REF!&amp;" "&amp;#REF!&amp;" "&amp;#REF!)</f>
        <v>#REF!</v>
      </c>
      <c r="C122" s="2" t="e">
        <f>#REF!</f>
        <v>#REF!</v>
      </c>
      <c r="D122" s="2" t="e">
        <f>#REF!</f>
        <v>#REF!</v>
      </c>
      <c r="E122" s="2"/>
      <c r="F122" s="2" t="e">
        <f>IF(A122="","",COUNTIF(#REF!,A122))</f>
        <v>#REF!</v>
      </c>
      <c r="G122" s="2" t="e">
        <f>IF(A122="","",COUNTIFS(#REF!,A122,#REF!,"Penal"))</f>
        <v>#REF!</v>
      </c>
      <c r="H122" s="2" t="e">
        <f>IF(A122="","",COUNTIFS(#REF!,A122,#REF!,"Autogol"))</f>
        <v>#REF!</v>
      </c>
      <c r="I122" s="2" t="e">
        <f>#REF!</f>
        <v>#REF!</v>
      </c>
    </row>
    <row r="123" spans="1:9" ht="18.399999999999999" customHeight="1">
      <c r="A123" s="12" t="e">
        <f>#REF!</f>
        <v>#REF!</v>
      </c>
      <c r="B123" s="2" t="e">
        <f>IF(A123="","",#REF!&amp;" "&amp;#REF!&amp;" "&amp;#REF!)</f>
        <v>#REF!</v>
      </c>
      <c r="C123" s="2" t="e">
        <f>#REF!</f>
        <v>#REF!</v>
      </c>
      <c r="D123" s="2" t="e">
        <f>#REF!</f>
        <v>#REF!</v>
      </c>
      <c r="E123" s="2"/>
      <c r="F123" s="2" t="e">
        <f>IF(A123="","",COUNTIF(#REF!,A123))</f>
        <v>#REF!</v>
      </c>
      <c r="G123" s="2" t="e">
        <f>IF(A123="","",COUNTIFS(#REF!,A123,#REF!,"Penal"))</f>
        <v>#REF!</v>
      </c>
      <c r="H123" s="2" t="e">
        <f>IF(A123="","",COUNTIFS(#REF!,A123,#REF!,"Autogol"))</f>
        <v>#REF!</v>
      </c>
      <c r="I123" s="2" t="e">
        <f>#REF!</f>
        <v>#REF!</v>
      </c>
    </row>
    <row r="124" spans="1:9" ht="18.399999999999999" customHeight="1">
      <c r="A124" s="12" t="e">
        <f>#REF!</f>
        <v>#REF!</v>
      </c>
      <c r="B124" s="2" t="e">
        <f>IF(A124="","",#REF!&amp;" "&amp;#REF!&amp;" "&amp;#REF!)</f>
        <v>#REF!</v>
      </c>
      <c r="C124" s="2" t="e">
        <f>#REF!</f>
        <v>#REF!</v>
      </c>
      <c r="D124" s="2" t="e">
        <f>#REF!</f>
        <v>#REF!</v>
      </c>
      <c r="E124" s="2"/>
      <c r="F124" s="2" t="e">
        <f>IF(A124="","",COUNTIF(#REF!,A124))</f>
        <v>#REF!</v>
      </c>
      <c r="G124" s="2" t="e">
        <f>IF(A124="","",COUNTIFS(#REF!,A124,#REF!,"Penal"))</f>
        <v>#REF!</v>
      </c>
      <c r="H124" s="2" t="e">
        <f>IF(A124="","",COUNTIFS(#REF!,A124,#REF!,"Autogol"))</f>
        <v>#REF!</v>
      </c>
      <c r="I124" s="2" t="e">
        <f>#REF!</f>
        <v>#REF!</v>
      </c>
    </row>
    <row r="125" spans="1:9" ht="18.399999999999999" customHeight="1">
      <c r="A125" s="12" t="e">
        <f>#REF!</f>
        <v>#REF!</v>
      </c>
      <c r="B125" s="2" t="e">
        <f>IF(A125="","",#REF!&amp;" "&amp;#REF!&amp;" "&amp;#REF!)</f>
        <v>#REF!</v>
      </c>
      <c r="C125" s="2" t="e">
        <f>#REF!</f>
        <v>#REF!</v>
      </c>
      <c r="D125" s="2" t="e">
        <f>#REF!</f>
        <v>#REF!</v>
      </c>
      <c r="E125" s="2"/>
      <c r="F125" s="2" t="e">
        <f>IF(A125="","",COUNTIF(#REF!,A125))</f>
        <v>#REF!</v>
      </c>
      <c r="G125" s="2" t="e">
        <f>IF(A125="","",COUNTIFS(#REF!,A125,#REF!,"Penal"))</f>
        <v>#REF!</v>
      </c>
      <c r="H125" s="2" t="e">
        <f>IF(A125="","",COUNTIFS(#REF!,A125,#REF!,"Autogol"))</f>
        <v>#REF!</v>
      </c>
      <c r="I125" s="2" t="e">
        <f>#REF!</f>
        <v>#REF!</v>
      </c>
    </row>
    <row r="126" spans="1:9" ht="18.399999999999999" customHeight="1">
      <c r="A126" s="12" t="e">
        <f>#REF!</f>
        <v>#REF!</v>
      </c>
      <c r="B126" s="2" t="e">
        <f>IF(A126="","",#REF!&amp;" "&amp;#REF!&amp;" "&amp;#REF!)</f>
        <v>#REF!</v>
      </c>
      <c r="C126" s="2" t="e">
        <f>#REF!</f>
        <v>#REF!</v>
      </c>
      <c r="D126" s="2" t="e">
        <f>#REF!</f>
        <v>#REF!</v>
      </c>
      <c r="E126" s="2"/>
      <c r="F126" s="2" t="e">
        <f>IF(A126="","",COUNTIF(#REF!,A126))</f>
        <v>#REF!</v>
      </c>
      <c r="G126" s="2" t="e">
        <f>IF(A126="","",COUNTIFS(#REF!,A126,#REF!,"Penal"))</f>
        <v>#REF!</v>
      </c>
      <c r="H126" s="2" t="e">
        <f>IF(A126="","",COUNTIFS(#REF!,A126,#REF!,"Autogol"))</f>
        <v>#REF!</v>
      </c>
      <c r="I126" s="2" t="e">
        <f>#REF!</f>
        <v>#REF!</v>
      </c>
    </row>
    <row r="127" spans="1:9" ht="18.399999999999999" customHeight="1">
      <c r="A127" s="12" t="e">
        <f>#REF!</f>
        <v>#REF!</v>
      </c>
      <c r="B127" s="2" t="e">
        <f>IF(A127="","",#REF!&amp;" "&amp;#REF!&amp;" "&amp;#REF!)</f>
        <v>#REF!</v>
      </c>
      <c r="C127" s="2" t="e">
        <f>#REF!</f>
        <v>#REF!</v>
      </c>
      <c r="D127" s="2" t="e">
        <f>#REF!</f>
        <v>#REF!</v>
      </c>
      <c r="E127" s="2"/>
      <c r="F127" s="2" t="e">
        <f>IF(A127="","",COUNTIF(#REF!,A127))</f>
        <v>#REF!</v>
      </c>
      <c r="G127" s="2" t="e">
        <f>IF(A127="","",COUNTIFS(#REF!,A127,#REF!,"Penal"))</f>
        <v>#REF!</v>
      </c>
      <c r="H127" s="2" t="e">
        <f>IF(A127="","",COUNTIFS(#REF!,A127,#REF!,"Autogol"))</f>
        <v>#REF!</v>
      </c>
      <c r="I127" s="2" t="e">
        <f>#REF!</f>
        <v>#REF!</v>
      </c>
    </row>
    <row r="128" spans="1:9" ht="18.399999999999999" customHeight="1">
      <c r="A128" s="12" t="e">
        <f>#REF!</f>
        <v>#REF!</v>
      </c>
      <c r="B128" s="2" t="e">
        <f>IF(A128="","",#REF!&amp;" "&amp;#REF!&amp;" "&amp;#REF!)</f>
        <v>#REF!</v>
      </c>
      <c r="C128" s="2" t="e">
        <f>#REF!</f>
        <v>#REF!</v>
      </c>
      <c r="D128" s="2" t="e">
        <f>#REF!</f>
        <v>#REF!</v>
      </c>
      <c r="E128" s="2"/>
      <c r="F128" s="2" t="e">
        <f>IF(A128="","",COUNTIF(#REF!,A128))</f>
        <v>#REF!</v>
      </c>
      <c r="G128" s="2" t="e">
        <f>IF(A128="","",COUNTIFS(#REF!,A128,#REF!,"Penal"))</f>
        <v>#REF!</v>
      </c>
      <c r="H128" s="2" t="e">
        <f>IF(A128="","",COUNTIFS(#REF!,A128,#REF!,"Autogol"))</f>
        <v>#REF!</v>
      </c>
      <c r="I128" s="2" t="e">
        <f>#REF!</f>
        <v>#REF!</v>
      </c>
    </row>
    <row r="129" spans="1:9" ht="18.399999999999999" customHeight="1">
      <c r="A129" s="12" t="e">
        <f>#REF!</f>
        <v>#REF!</v>
      </c>
      <c r="B129" s="2" t="e">
        <f>IF(A129="","",#REF!&amp;" "&amp;#REF!&amp;" "&amp;#REF!)</f>
        <v>#REF!</v>
      </c>
      <c r="C129" s="2" t="e">
        <f>#REF!</f>
        <v>#REF!</v>
      </c>
      <c r="D129" s="2" t="e">
        <f>#REF!</f>
        <v>#REF!</v>
      </c>
      <c r="E129" s="2"/>
      <c r="F129" s="2" t="e">
        <f>IF(A129="","",COUNTIF(#REF!,A129))</f>
        <v>#REF!</v>
      </c>
      <c r="G129" s="2" t="e">
        <f>IF(A129="","",COUNTIFS(#REF!,A129,#REF!,"Penal"))</f>
        <v>#REF!</v>
      </c>
      <c r="H129" s="2" t="e">
        <f>IF(A129="","",COUNTIFS(#REF!,A129,#REF!,"Autogol"))</f>
        <v>#REF!</v>
      </c>
      <c r="I129" s="2" t="e">
        <f>#REF!</f>
        <v>#REF!</v>
      </c>
    </row>
    <row r="130" spans="1:9" ht="18.399999999999999" customHeight="1">
      <c r="A130" s="12" t="e">
        <f>#REF!</f>
        <v>#REF!</v>
      </c>
      <c r="B130" s="2" t="e">
        <f>IF(A130="","",#REF!&amp;" "&amp;#REF!&amp;" "&amp;#REF!)</f>
        <v>#REF!</v>
      </c>
      <c r="C130" s="2" t="e">
        <f>#REF!</f>
        <v>#REF!</v>
      </c>
      <c r="D130" s="2" t="e">
        <f>#REF!</f>
        <v>#REF!</v>
      </c>
      <c r="E130" s="2"/>
      <c r="F130" s="2" t="e">
        <f>IF(A130="","",COUNTIF(#REF!,A130))</f>
        <v>#REF!</v>
      </c>
      <c r="G130" s="2" t="e">
        <f>IF(A130="","",COUNTIFS(#REF!,A130,#REF!,"Penal"))</f>
        <v>#REF!</v>
      </c>
      <c r="H130" s="2" t="e">
        <f>IF(A130="","",COUNTIFS(#REF!,A130,#REF!,"Autogol"))</f>
        <v>#REF!</v>
      </c>
      <c r="I130" s="2" t="e">
        <f>#REF!</f>
        <v>#REF!</v>
      </c>
    </row>
    <row r="131" spans="1:9" ht="18.399999999999999" customHeight="1">
      <c r="A131" s="12" t="e">
        <f>#REF!</f>
        <v>#REF!</v>
      </c>
      <c r="B131" s="2" t="e">
        <f>IF(A131="","",#REF!&amp;" "&amp;#REF!&amp;" "&amp;#REF!)</f>
        <v>#REF!</v>
      </c>
      <c r="C131" s="2" t="e">
        <f>#REF!</f>
        <v>#REF!</v>
      </c>
      <c r="D131" s="2" t="e">
        <f>#REF!</f>
        <v>#REF!</v>
      </c>
      <c r="E131" s="2"/>
      <c r="F131" s="2" t="e">
        <f>IF(A131="","",COUNTIF(#REF!,A131))</f>
        <v>#REF!</v>
      </c>
      <c r="G131" s="2" t="e">
        <f>IF(A131="","",COUNTIFS(#REF!,A131,#REF!,"Penal"))</f>
        <v>#REF!</v>
      </c>
      <c r="H131" s="2" t="e">
        <f>IF(A131="","",COUNTIFS(#REF!,A131,#REF!,"Autogol"))</f>
        <v>#REF!</v>
      </c>
      <c r="I131" s="2" t="e">
        <f>#REF!</f>
        <v>#REF!</v>
      </c>
    </row>
    <row r="132" spans="1:9" ht="18.399999999999999" customHeight="1">
      <c r="A132" s="12" t="e">
        <f>#REF!</f>
        <v>#REF!</v>
      </c>
      <c r="B132" s="2" t="e">
        <f>IF(A132="","",#REF!&amp;" "&amp;#REF!&amp;" "&amp;#REF!)</f>
        <v>#REF!</v>
      </c>
      <c r="C132" s="2" t="e">
        <f>#REF!</f>
        <v>#REF!</v>
      </c>
      <c r="D132" s="2" t="e">
        <f>#REF!</f>
        <v>#REF!</v>
      </c>
      <c r="E132" s="2"/>
      <c r="F132" s="2" t="e">
        <f>IF(A132="","",COUNTIF(#REF!,A132))</f>
        <v>#REF!</v>
      </c>
      <c r="G132" s="2" t="e">
        <f>IF(A132="","",COUNTIFS(#REF!,A132,#REF!,"Penal"))</f>
        <v>#REF!</v>
      </c>
      <c r="H132" s="2" t="e">
        <f>IF(A132="","",COUNTIFS(#REF!,A132,#REF!,"Autogol"))</f>
        <v>#REF!</v>
      </c>
      <c r="I132" s="2" t="e">
        <f>#REF!</f>
        <v>#REF!</v>
      </c>
    </row>
    <row r="133" spans="1:9" ht="18.399999999999999" customHeight="1">
      <c r="A133" s="12" t="e">
        <f>#REF!</f>
        <v>#REF!</v>
      </c>
      <c r="B133" s="2" t="e">
        <f>IF(A133="","",#REF!&amp;" "&amp;#REF!&amp;" "&amp;#REF!)</f>
        <v>#REF!</v>
      </c>
      <c r="C133" s="2" t="e">
        <f>#REF!</f>
        <v>#REF!</v>
      </c>
      <c r="D133" s="2" t="e">
        <f>#REF!</f>
        <v>#REF!</v>
      </c>
      <c r="E133" s="2"/>
      <c r="F133" s="2" t="e">
        <f>IF(A133="","",COUNTIF(#REF!,A133))</f>
        <v>#REF!</v>
      </c>
      <c r="G133" s="2" t="e">
        <f>IF(A133="","",COUNTIFS(#REF!,A133,#REF!,"Penal"))</f>
        <v>#REF!</v>
      </c>
      <c r="H133" s="2" t="e">
        <f>IF(A133="","",COUNTIFS(#REF!,A133,#REF!,"Autogol"))</f>
        <v>#REF!</v>
      </c>
      <c r="I133" s="2" t="e">
        <f>#REF!</f>
        <v>#REF!</v>
      </c>
    </row>
    <row r="134" spans="1:9" ht="18.399999999999999" customHeight="1">
      <c r="A134" s="12" t="e">
        <f>#REF!</f>
        <v>#REF!</v>
      </c>
      <c r="B134" s="2" t="e">
        <f>IF(A134="","",#REF!&amp;" "&amp;#REF!&amp;" "&amp;#REF!)</f>
        <v>#REF!</v>
      </c>
      <c r="C134" s="2" t="e">
        <f>#REF!</f>
        <v>#REF!</v>
      </c>
      <c r="D134" s="2" t="e">
        <f>#REF!</f>
        <v>#REF!</v>
      </c>
      <c r="E134" s="2"/>
      <c r="F134" s="2" t="e">
        <f>IF(A134="","",COUNTIF(#REF!,A134))</f>
        <v>#REF!</v>
      </c>
      <c r="G134" s="2" t="e">
        <f>IF(A134="","",COUNTIFS(#REF!,A134,#REF!,"Penal"))</f>
        <v>#REF!</v>
      </c>
      <c r="H134" s="2" t="e">
        <f>IF(A134="","",COUNTIFS(#REF!,A134,#REF!,"Autogol"))</f>
        <v>#REF!</v>
      </c>
      <c r="I134" s="2" t="e">
        <f>#REF!</f>
        <v>#REF!</v>
      </c>
    </row>
    <row r="135" spans="1:9" ht="18.399999999999999" customHeight="1">
      <c r="A135" s="12" t="e">
        <f>#REF!</f>
        <v>#REF!</v>
      </c>
      <c r="B135" s="2" t="e">
        <f>IF(A135="","",#REF!&amp;" "&amp;#REF!&amp;" "&amp;#REF!)</f>
        <v>#REF!</v>
      </c>
      <c r="C135" s="2" t="e">
        <f>#REF!</f>
        <v>#REF!</v>
      </c>
      <c r="D135" s="2" t="e">
        <f>#REF!</f>
        <v>#REF!</v>
      </c>
      <c r="E135" s="2"/>
      <c r="F135" s="2" t="e">
        <f>IF(A135="","",COUNTIF(#REF!,A135))</f>
        <v>#REF!</v>
      </c>
      <c r="G135" s="2" t="e">
        <f>IF(A135="","",COUNTIFS(#REF!,A135,#REF!,"Penal"))</f>
        <v>#REF!</v>
      </c>
      <c r="H135" s="2" t="e">
        <f>IF(A135="","",COUNTIFS(#REF!,A135,#REF!,"Autogol"))</f>
        <v>#REF!</v>
      </c>
      <c r="I135" s="2" t="e">
        <f>#REF!</f>
        <v>#REF!</v>
      </c>
    </row>
    <row r="136" spans="1:9" ht="18.399999999999999" customHeight="1">
      <c r="A136" s="12" t="e">
        <f>#REF!</f>
        <v>#REF!</v>
      </c>
      <c r="B136" s="2" t="e">
        <f>IF(A136="","",#REF!&amp;" "&amp;#REF!&amp;" "&amp;#REF!)</f>
        <v>#REF!</v>
      </c>
      <c r="C136" s="2" t="e">
        <f>#REF!</f>
        <v>#REF!</v>
      </c>
      <c r="D136" s="2" t="e">
        <f>#REF!</f>
        <v>#REF!</v>
      </c>
      <c r="E136" s="2"/>
      <c r="F136" s="2" t="e">
        <f>IF(A136="","",COUNTIF(#REF!,A136))</f>
        <v>#REF!</v>
      </c>
      <c r="G136" s="2" t="e">
        <f>IF(A136="","",COUNTIFS(#REF!,A136,#REF!,"Penal"))</f>
        <v>#REF!</v>
      </c>
      <c r="H136" s="2" t="e">
        <f>IF(A136="","",COUNTIFS(#REF!,A136,#REF!,"Autogol"))</f>
        <v>#REF!</v>
      </c>
      <c r="I136" s="2" t="e">
        <f>#REF!</f>
        <v>#REF!</v>
      </c>
    </row>
    <row r="137" spans="1:9" ht="18.399999999999999" customHeight="1">
      <c r="A137" s="12" t="e">
        <f>#REF!</f>
        <v>#REF!</v>
      </c>
      <c r="B137" s="2" t="e">
        <f>IF(A137="","",#REF!&amp;" "&amp;#REF!&amp;" "&amp;#REF!)</f>
        <v>#REF!</v>
      </c>
      <c r="C137" s="2" t="e">
        <f>#REF!</f>
        <v>#REF!</v>
      </c>
      <c r="D137" s="2" t="e">
        <f>#REF!</f>
        <v>#REF!</v>
      </c>
      <c r="E137" s="2"/>
      <c r="F137" s="2" t="e">
        <f>IF(A137="","",COUNTIF(#REF!,A137))</f>
        <v>#REF!</v>
      </c>
      <c r="G137" s="2" t="e">
        <f>IF(A137="","",COUNTIFS(#REF!,A137,#REF!,"Penal"))</f>
        <v>#REF!</v>
      </c>
      <c r="H137" s="2" t="e">
        <f>IF(A137="","",COUNTIFS(#REF!,A137,#REF!,"Autogol"))</f>
        <v>#REF!</v>
      </c>
      <c r="I137" s="2" t="e">
        <f>#REF!</f>
        <v>#REF!</v>
      </c>
    </row>
    <row r="138" spans="1:9" ht="18.399999999999999" customHeight="1">
      <c r="A138" s="12" t="e">
        <f>#REF!</f>
        <v>#REF!</v>
      </c>
      <c r="B138" s="2" t="e">
        <f>IF(A138="","",#REF!&amp;" "&amp;#REF!&amp;" "&amp;#REF!)</f>
        <v>#REF!</v>
      </c>
      <c r="C138" s="2" t="e">
        <f>#REF!</f>
        <v>#REF!</v>
      </c>
      <c r="D138" s="2" t="e">
        <f>#REF!</f>
        <v>#REF!</v>
      </c>
      <c r="E138" s="2"/>
      <c r="F138" s="2" t="e">
        <f>IF(A138="","",COUNTIF(#REF!,A138))</f>
        <v>#REF!</v>
      </c>
      <c r="G138" s="2" t="e">
        <f>IF(A138="","",COUNTIFS(#REF!,A138,#REF!,"Penal"))</f>
        <v>#REF!</v>
      </c>
      <c r="H138" s="2" t="e">
        <f>IF(A138="","",COUNTIFS(#REF!,A138,#REF!,"Autogol"))</f>
        <v>#REF!</v>
      </c>
      <c r="I138" s="2" t="e">
        <f>#REF!</f>
        <v>#REF!</v>
      </c>
    </row>
    <row r="139" spans="1:9" ht="18.399999999999999" customHeight="1">
      <c r="A139" s="12" t="e">
        <f>#REF!</f>
        <v>#REF!</v>
      </c>
      <c r="B139" s="2" t="e">
        <f>IF(A139="","",#REF!&amp;" "&amp;#REF!&amp;" "&amp;#REF!)</f>
        <v>#REF!</v>
      </c>
      <c r="C139" s="2" t="e">
        <f>#REF!</f>
        <v>#REF!</v>
      </c>
      <c r="D139" s="2" t="e">
        <f>#REF!</f>
        <v>#REF!</v>
      </c>
      <c r="E139" s="2"/>
      <c r="F139" s="2" t="e">
        <f>IF(A139="","",COUNTIF(#REF!,A139))</f>
        <v>#REF!</v>
      </c>
      <c r="G139" s="2" t="e">
        <f>IF(A139="","",COUNTIFS(#REF!,A139,#REF!,"Penal"))</f>
        <v>#REF!</v>
      </c>
      <c r="H139" s="2" t="e">
        <f>IF(A139="","",COUNTIFS(#REF!,A139,#REF!,"Autogol"))</f>
        <v>#REF!</v>
      </c>
      <c r="I139" s="2" t="e">
        <f>#REF!</f>
        <v>#REF!</v>
      </c>
    </row>
    <row r="140" spans="1:9" ht="18.399999999999999" customHeight="1">
      <c r="A140" s="12" t="e">
        <f>#REF!</f>
        <v>#REF!</v>
      </c>
      <c r="B140" s="2" t="e">
        <f>IF(A140="","",#REF!&amp;" "&amp;#REF!&amp;" "&amp;#REF!)</f>
        <v>#REF!</v>
      </c>
      <c r="C140" s="2" t="e">
        <f>#REF!</f>
        <v>#REF!</v>
      </c>
      <c r="D140" s="2" t="e">
        <f>#REF!</f>
        <v>#REF!</v>
      </c>
      <c r="E140" s="2"/>
      <c r="F140" s="2" t="e">
        <f>IF(A140="","",COUNTIF(#REF!,A140))</f>
        <v>#REF!</v>
      </c>
      <c r="G140" s="2" t="e">
        <f>IF(A140="","",COUNTIFS(#REF!,A140,#REF!,"Penal"))</f>
        <v>#REF!</v>
      </c>
      <c r="H140" s="2" t="e">
        <f>IF(A140="","",COUNTIFS(#REF!,A140,#REF!,"Autogol"))</f>
        <v>#REF!</v>
      </c>
      <c r="I140" s="2" t="e">
        <f>#REF!</f>
        <v>#REF!</v>
      </c>
    </row>
    <row r="141" spans="1:9" ht="18.399999999999999" customHeight="1">
      <c r="A141" s="12" t="e">
        <f>#REF!</f>
        <v>#REF!</v>
      </c>
      <c r="B141" s="2" t="e">
        <f>IF(A141="","",#REF!&amp;" "&amp;#REF!&amp;" "&amp;#REF!)</f>
        <v>#REF!</v>
      </c>
      <c r="C141" s="2" t="e">
        <f>#REF!</f>
        <v>#REF!</v>
      </c>
      <c r="D141" s="2" t="e">
        <f>#REF!</f>
        <v>#REF!</v>
      </c>
      <c r="E141" s="2"/>
      <c r="F141" s="2" t="e">
        <f>IF(A141="","",COUNTIF(#REF!,A141))</f>
        <v>#REF!</v>
      </c>
      <c r="G141" s="2" t="e">
        <f>IF(A141="","",COUNTIFS(#REF!,A141,#REF!,"Penal"))</f>
        <v>#REF!</v>
      </c>
      <c r="H141" s="2" t="e">
        <f>IF(A141="","",COUNTIFS(#REF!,A141,#REF!,"Autogol"))</f>
        <v>#REF!</v>
      </c>
      <c r="I141" s="2" t="e">
        <f>#REF!</f>
        <v>#REF!</v>
      </c>
    </row>
    <row r="142" spans="1:9" ht="18.399999999999999" customHeight="1">
      <c r="A142" s="12" t="e">
        <f>#REF!</f>
        <v>#REF!</v>
      </c>
      <c r="B142" s="2" t="e">
        <f>IF(A142="","",#REF!&amp;" "&amp;#REF!&amp;" "&amp;#REF!)</f>
        <v>#REF!</v>
      </c>
      <c r="C142" s="2" t="e">
        <f>#REF!</f>
        <v>#REF!</v>
      </c>
      <c r="D142" s="2" t="e">
        <f>#REF!</f>
        <v>#REF!</v>
      </c>
      <c r="E142" s="2"/>
      <c r="F142" s="2" t="e">
        <f>IF(A142="","",COUNTIF(#REF!,A142))</f>
        <v>#REF!</v>
      </c>
      <c r="G142" s="2" t="e">
        <f>IF(A142="","",COUNTIFS(#REF!,A142,#REF!,"Penal"))</f>
        <v>#REF!</v>
      </c>
      <c r="H142" s="2" t="e">
        <f>IF(A142="","",COUNTIFS(#REF!,A142,#REF!,"Autogol"))</f>
        <v>#REF!</v>
      </c>
      <c r="I142" s="2" t="e">
        <f>#REF!</f>
        <v>#REF!</v>
      </c>
    </row>
    <row r="143" spans="1:9" ht="18.399999999999999" customHeight="1">
      <c r="A143" s="12" t="e">
        <f>#REF!</f>
        <v>#REF!</v>
      </c>
      <c r="B143" s="2" t="e">
        <f>IF(A143="","",#REF!&amp;" "&amp;#REF!&amp;" "&amp;#REF!)</f>
        <v>#REF!</v>
      </c>
      <c r="C143" s="2" t="e">
        <f>#REF!</f>
        <v>#REF!</v>
      </c>
      <c r="D143" s="2" t="e">
        <f>#REF!</f>
        <v>#REF!</v>
      </c>
      <c r="E143" s="2"/>
      <c r="F143" s="2" t="e">
        <f>IF(A143="","",COUNTIF(#REF!,A143))</f>
        <v>#REF!</v>
      </c>
      <c r="G143" s="2" t="e">
        <f>IF(A143="","",COUNTIFS(#REF!,A143,#REF!,"Penal"))</f>
        <v>#REF!</v>
      </c>
      <c r="H143" s="2" t="e">
        <f>IF(A143="","",COUNTIFS(#REF!,A143,#REF!,"Autogol"))</f>
        <v>#REF!</v>
      </c>
      <c r="I143" s="2" t="e">
        <f>#REF!</f>
        <v>#REF!</v>
      </c>
    </row>
    <row r="144" spans="1:9" ht="18.399999999999999" customHeight="1">
      <c r="A144" s="12" t="e">
        <f>#REF!</f>
        <v>#REF!</v>
      </c>
      <c r="B144" s="2" t="e">
        <f>IF(A144="","",#REF!&amp;" "&amp;#REF!&amp;" "&amp;#REF!)</f>
        <v>#REF!</v>
      </c>
      <c r="C144" s="2" t="e">
        <f>#REF!</f>
        <v>#REF!</v>
      </c>
      <c r="D144" s="2" t="e">
        <f>#REF!</f>
        <v>#REF!</v>
      </c>
      <c r="E144" s="2"/>
      <c r="F144" s="2" t="e">
        <f>IF(A144="","",COUNTIF(#REF!,A144))</f>
        <v>#REF!</v>
      </c>
      <c r="G144" s="2" t="e">
        <f>IF(A144="","",COUNTIFS(#REF!,A144,#REF!,"Penal"))</f>
        <v>#REF!</v>
      </c>
      <c r="H144" s="2" t="e">
        <f>IF(A144="","",COUNTIFS(#REF!,A144,#REF!,"Autogol"))</f>
        <v>#REF!</v>
      </c>
      <c r="I144" s="2" t="e">
        <f>#REF!</f>
        <v>#REF!</v>
      </c>
    </row>
    <row r="145" spans="1:9" ht="18.399999999999999" customHeight="1">
      <c r="A145" s="12" t="e">
        <f>#REF!</f>
        <v>#REF!</v>
      </c>
      <c r="B145" s="2" t="e">
        <f>IF(A145="","",#REF!&amp;" "&amp;#REF!&amp;" "&amp;#REF!)</f>
        <v>#REF!</v>
      </c>
      <c r="C145" s="2" t="e">
        <f>#REF!</f>
        <v>#REF!</v>
      </c>
      <c r="D145" s="2" t="e">
        <f>#REF!</f>
        <v>#REF!</v>
      </c>
      <c r="E145" s="2"/>
      <c r="F145" s="2" t="e">
        <f>IF(A145="","",COUNTIF(#REF!,A145))</f>
        <v>#REF!</v>
      </c>
      <c r="G145" s="2" t="e">
        <f>IF(A145="","",COUNTIFS(#REF!,A145,#REF!,"Penal"))</f>
        <v>#REF!</v>
      </c>
      <c r="H145" s="2" t="e">
        <f>IF(A145="","",COUNTIFS(#REF!,A145,#REF!,"Autogol"))</f>
        <v>#REF!</v>
      </c>
      <c r="I145" s="2" t="e">
        <f>#REF!</f>
        <v>#REF!</v>
      </c>
    </row>
    <row r="146" spans="1:9" ht="18.399999999999999" customHeight="1">
      <c r="A146" s="12" t="e">
        <f>#REF!</f>
        <v>#REF!</v>
      </c>
      <c r="B146" s="2" t="e">
        <f>IF(A146="","",#REF!&amp;" "&amp;#REF!&amp;" "&amp;#REF!)</f>
        <v>#REF!</v>
      </c>
      <c r="C146" s="2" t="e">
        <f>#REF!</f>
        <v>#REF!</v>
      </c>
      <c r="D146" s="2" t="e">
        <f>#REF!</f>
        <v>#REF!</v>
      </c>
      <c r="E146" s="2"/>
      <c r="F146" s="2" t="e">
        <f>IF(A146="","",COUNTIF(#REF!,A146))</f>
        <v>#REF!</v>
      </c>
      <c r="G146" s="2" t="e">
        <f>IF(A146="","",COUNTIFS(#REF!,A146,#REF!,"Penal"))</f>
        <v>#REF!</v>
      </c>
      <c r="H146" s="2" t="e">
        <f>IF(A146="","",COUNTIFS(#REF!,A146,#REF!,"Autogol"))</f>
        <v>#REF!</v>
      </c>
      <c r="I146" s="2" t="e">
        <f>#REF!</f>
        <v>#REF!</v>
      </c>
    </row>
    <row r="147" spans="1:9" ht="18.399999999999999" customHeight="1">
      <c r="A147" s="12" t="e">
        <f>#REF!</f>
        <v>#REF!</v>
      </c>
      <c r="B147" s="2" t="e">
        <f>IF(A147="","",#REF!&amp;" "&amp;#REF!&amp;" "&amp;#REF!)</f>
        <v>#REF!</v>
      </c>
      <c r="C147" s="2" t="e">
        <f>#REF!</f>
        <v>#REF!</v>
      </c>
      <c r="D147" s="2" t="e">
        <f>#REF!</f>
        <v>#REF!</v>
      </c>
      <c r="E147" s="2"/>
      <c r="F147" s="2" t="e">
        <f>IF(A147="","",COUNTIF(#REF!,A147))</f>
        <v>#REF!</v>
      </c>
      <c r="G147" s="2" t="e">
        <f>IF(A147="","",COUNTIFS(#REF!,A147,#REF!,"Penal"))</f>
        <v>#REF!</v>
      </c>
      <c r="H147" s="2" t="e">
        <f>IF(A147="","",COUNTIFS(#REF!,A147,#REF!,"Autogol"))</f>
        <v>#REF!</v>
      </c>
      <c r="I147" s="2" t="e">
        <f>#REF!</f>
        <v>#REF!</v>
      </c>
    </row>
    <row r="148" spans="1:9" ht="18.399999999999999" customHeight="1">
      <c r="A148" s="12" t="e">
        <f>#REF!</f>
        <v>#REF!</v>
      </c>
      <c r="B148" s="2" t="e">
        <f>IF(A148="","",#REF!&amp;" "&amp;#REF!&amp;" "&amp;#REF!)</f>
        <v>#REF!</v>
      </c>
      <c r="C148" s="2" t="e">
        <f>#REF!</f>
        <v>#REF!</v>
      </c>
      <c r="D148" s="2" t="e">
        <f>#REF!</f>
        <v>#REF!</v>
      </c>
      <c r="E148" s="2"/>
      <c r="F148" s="2" t="e">
        <f>IF(A148="","",COUNTIF(#REF!,A148))</f>
        <v>#REF!</v>
      </c>
      <c r="G148" s="2" t="e">
        <f>IF(A148="","",COUNTIFS(#REF!,A148,#REF!,"Penal"))</f>
        <v>#REF!</v>
      </c>
      <c r="H148" s="2" t="e">
        <f>IF(A148="","",COUNTIFS(#REF!,A148,#REF!,"Autogol"))</f>
        <v>#REF!</v>
      </c>
      <c r="I148" s="2" t="e">
        <f>#REF!</f>
        <v>#REF!</v>
      </c>
    </row>
    <row r="149" spans="1:9" ht="18.399999999999999" customHeight="1">
      <c r="A149" s="12" t="e">
        <f>#REF!</f>
        <v>#REF!</v>
      </c>
      <c r="B149" s="2" t="e">
        <f>IF(A149="","",#REF!&amp;" "&amp;#REF!&amp;" "&amp;#REF!)</f>
        <v>#REF!</v>
      </c>
      <c r="C149" s="2" t="e">
        <f>#REF!</f>
        <v>#REF!</v>
      </c>
      <c r="D149" s="2" t="e">
        <f>#REF!</f>
        <v>#REF!</v>
      </c>
      <c r="E149" s="2"/>
      <c r="F149" s="2" t="e">
        <f>IF(A149="","",COUNTIF(#REF!,A149))</f>
        <v>#REF!</v>
      </c>
      <c r="G149" s="2" t="e">
        <f>IF(A149="","",COUNTIFS(#REF!,A149,#REF!,"Penal"))</f>
        <v>#REF!</v>
      </c>
      <c r="H149" s="2" t="e">
        <f>IF(A149="","",COUNTIFS(#REF!,A149,#REF!,"Autogol"))</f>
        <v>#REF!</v>
      </c>
      <c r="I149" s="2" t="e">
        <f>#REF!</f>
        <v>#REF!</v>
      </c>
    </row>
    <row r="150" spans="1:9" ht="18.399999999999999" customHeight="1">
      <c r="A150" s="12" t="e">
        <f>#REF!</f>
        <v>#REF!</v>
      </c>
      <c r="B150" s="2" t="e">
        <f>IF(A150="","",#REF!&amp;" "&amp;#REF!&amp;" "&amp;#REF!)</f>
        <v>#REF!</v>
      </c>
      <c r="C150" s="2" t="e">
        <f>#REF!</f>
        <v>#REF!</v>
      </c>
      <c r="D150" s="2" t="e">
        <f>#REF!</f>
        <v>#REF!</v>
      </c>
      <c r="E150" s="2"/>
      <c r="F150" s="2" t="e">
        <f>IF(A150="","",COUNTIF(#REF!,A150))</f>
        <v>#REF!</v>
      </c>
      <c r="G150" s="2" t="e">
        <f>IF(A150="","",COUNTIFS(#REF!,A150,#REF!,"Penal"))</f>
        <v>#REF!</v>
      </c>
      <c r="H150" s="2" t="e">
        <f>IF(A150="","",COUNTIFS(#REF!,A150,#REF!,"Autogol"))</f>
        <v>#REF!</v>
      </c>
      <c r="I150" s="2" t="e">
        <f>#REF!</f>
        <v>#REF!</v>
      </c>
    </row>
    <row r="151" spans="1:9" ht="18.399999999999999" customHeight="1">
      <c r="A151" s="12" t="e">
        <f>#REF!</f>
        <v>#REF!</v>
      </c>
      <c r="B151" s="2" t="e">
        <f>IF(A151="","",#REF!&amp;" "&amp;#REF!&amp;" "&amp;#REF!)</f>
        <v>#REF!</v>
      </c>
      <c r="C151" s="2" t="e">
        <f>#REF!</f>
        <v>#REF!</v>
      </c>
      <c r="D151" s="2" t="e">
        <f>#REF!</f>
        <v>#REF!</v>
      </c>
      <c r="E151" s="2"/>
      <c r="F151" s="2" t="e">
        <f>IF(A151="","",COUNTIF(#REF!,A151))</f>
        <v>#REF!</v>
      </c>
      <c r="G151" s="2" t="e">
        <f>IF(A151="","",COUNTIFS(#REF!,A151,#REF!,"Penal"))</f>
        <v>#REF!</v>
      </c>
      <c r="H151" s="2" t="e">
        <f>IF(A151="","",COUNTIFS(#REF!,A151,#REF!,"Autogol"))</f>
        <v>#REF!</v>
      </c>
      <c r="I151" s="2" t="e">
        <f>#REF!</f>
        <v>#REF!</v>
      </c>
    </row>
    <row r="152" spans="1:9" ht="18.399999999999999" customHeight="1">
      <c r="A152" s="12" t="e">
        <f>#REF!</f>
        <v>#REF!</v>
      </c>
      <c r="B152" s="2" t="e">
        <f>IF(A152="","",#REF!&amp;" "&amp;#REF!&amp;" "&amp;#REF!)</f>
        <v>#REF!</v>
      </c>
      <c r="C152" s="2" t="e">
        <f>#REF!</f>
        <v>#REF!</v>
      </c>
      <c r="D152" s="2" t="e">
        <f>#REF!</f>
        <v>#REF!</v>
      </c>
      <c r="E152" s="2"/>
      <c r="F152" s="2" t="e">
        <f>IF(A152="","",COUNTIF(#REF!,A152))</f>
        <v>#REF!</v>
      </c>
      <c r="G152" s="2" t="e">
        <f>IF(A152="","",COUNTIFS(#REF!,A152,#REF!,"Penal"))</f>
        <v>#REF!</v>
      </c>
      <c r="H152" s="2" t="e">
        <f>IF(A152="","",COUNTIFS(#REF!,A152,#REF!,"Autogol"))</f>
        <v>#REF!</v>
      </c>
      <c r="I152" s="2" t="e">
        <f>#REF!</f>
        <v>#REF!</v>
      </c>
    </row>
    <row r="153" spans="1:9" ht="18.399999999999999" customHeight="1">
      <c r="A153" s="12" t="e">
        <f>#REF!</f>
        <v>#REF!</v>
      </c>
      <c r="B153" s="2" t="e">
        <f>IF(A153="","",#REF!&amp;" "&amp;#REF!&amp;" "&amp;#REF!)</f>
        <v>#REF!</v>
      </c>
      <c r="C153" s="2" t="e">
        <f>#REF!</f>
        <v>#REF!</v>
      </c>
      <c r="D153" s="2" t="e">
        <f>#REF!</f>
        <v>#REF!</v>
      </c>
      <c r="E153" s="2"/>
      <c r="F153" s="2" t="e">
        <f>IF(A153="","",COUNTIF(#REF!,A153))</f>
        <v>#REF!</v>
      </c>
      <c r="G153" s="2" t="e">
        <f>IF(A153="","",COUNTIFS(#REF!,A153,#REF!,"Penal"))</f>
        <v>#REF!</v>
      </c>
      <c r="H153" s="2" t="e">
        <f>IF(A153="","",COUNTIFS(#REF!,A153,#REF!,"Autogol"))</f>
        <v>#REF!</v>
      </c>
      <c r="I153" s="2" t="e">
        <f>#REF!</f>
        <v>#REF!</v>
      </c>
    </row>
    <row r="154" spans="1:9" ht="18.399999999999999" customHeight="1">
      <c r="A154" s="12" t="e">
        <f>#REF!</f>
        <v>#REF!</v>
      </c>
      <c r="B154" s="2" t="e">
        <f>IF(A154="","",#REF!&amp;" "&amp;#REF!&amp;" "&amp;#REF!)</f>
        <v>#REF!</v>
      </c>
      <c r="C154" s="2" t="e">
        <f>#REF!</f>
        <v>#REF!</v>
      </c>
      <c r="D154" s="2" t="e">
        <f>#REF!</f>
        <v>#REF!</v>
      </c>
      <c r="E154" s="2"/>
      <c r="F154" s="2" t="e">
        <f>IF(A154="","",COUNTIF(#REF!,A154))</f>
        <v>#REF!</v>
      </c>
      <c r="G154" s="2" t="e">
        <f>IF(A154="","",COUNTIFS(#REF!,A154,#REF!,"Penal"))</f>
        <v>#REF!</v>
      </c>
      <c r="H154" s="2" t="e">
        <f>IF(A154="","",COUNTIFS(#REF!,A154,#REF!,"Autogol"))</f>
        <v>#REF!</v>
      </c>
      <c r="I154" s="2" t="e">
        <f>#REF!</f>
        <v>#REF!</v>
      </c>
    </row>
    <row r="155" spans="1:9" ht="18.399999999999999" customHeight="1">
      <c r="A155" s="12" t="e">
        <f>#REF!</f>
        <v>#REF!</v>
      </c>
      <c r="B155" s="2" t="e">
        <f>IF(A155="","",#REF!&amp;" "&amp;#REF!&amp;" "&amp;#REF!)</f>
        <v>#REF!</v>
      </c>
      <c r="C155" s="2" t="e">
        <f>#REF!</f>
        <v>#REF!</v>
      </c>
      <c r="D155" s="2" t="e">
        <f>#REF!</f>
        <v>#REF!</v>
      </c>
      <c r="E155" s="2"/>
      <c r="F155" s="2" t="e">
        <f>IF(A155="","",COUNTIF(#REF!,A155))</f>
        <v>#REF!</v>
      </c>
      <c r="G155" s="2" t="e">
        <f>IF(A155="","",COUNTIFS(#REF!,A155,#REF!,"Penal"))</f>
        <v>#REF!</v>
      </c>
      <c r="H155" s="2" t="e">
        <f>IF(A155="","",COUNTIFS(#REF!,A155,#REF!,"Autogol"))</f>
        <v>#REF!</v>
      </c>
      <c r="I155" s="2" t="e">
        <f>#REF!</f>
        <v>#REF!</v>
      </c>
    </row>
    <row r="156" spans="1:9" ht="18.399999999999999" customHeight="1">
      <c r="A156" s="12" t="e">
        <f>#REF!</f>
        <v>#REF!</v>
      </c>
      <c r="B156" s="2" t="e">
        <f>IF(A156="","",#REF!&amp;" "&amp;#REF!&amp;" "&amp;#REF!)</f>
        <v>#REF!</v>
      </c>
      <c r="C156" s="2" t="e">
        <f>#REF!</f>
        <v>#REF!</v>
      </c>
      <c r="D156" s="2" t="e">
        <f>#REF!</f>
        <v>#REF!</v>
      </c>
      <c r="E156" s="2"/>
      <c r="F156" s="2" t="e">
        <f>IF(A156="","",COUNTIF(#REF!,A156))</f>
        <v>#REF!</v>
      </c>
      <c r="G156" s="2" t="e">
        <f>IF(A156="","",COUNTIFS(#REF!,A156,#REF!,"Penal"))</f>
        <v>#REF!</v>
      </c>
      <c r="H156" s="2" t="e">
        <f>IF(A156="","",COUNTIFS(#REF!,A156,#REF!,"Autogol"))</f>
        <v>#REF!</v>
      </c>
      <c r="I156" s="2" t="e">
        <f>#REF!</f>
        <v>#REF!</v>
      </c>
    </row>
    <row r="157" spans="1:9" ht="18.399999999999999" customHeight="1">
      <c r="A157" s="12" t="e">
        <f>#REF!</f>
        <v>#REF!</v>
      </c>
      <c r="B157" s="2" t="e">
        <f>IF(A157="","",#REF!&amp;" "&amp;#REF!&amp;" "&amp;#REF!)</f>
        <v>#REF!</v>
      </c>
      <c r="C157" s="2" t="e">
        <f>#REF!</f>
        <v>#REF!</v>
      </c>
      <c r="D157" s="2" t="e">
        <f>#REF!</f>
        <v>#REF!</v>
      </c>
      <c r="E157" s="2"/>
      <c r="F157" s="2" t="e">
        <f>IF(A157="","",COUNTIF(#REF!,A157))</f>
        <v>#REF!</v>
      </c>
      <c r="G157" s="2" t="e">
        <f>IF(A157="","",COUNTIFS(#REF!,A157,#REF!,"Penal"))</f>
        <v>#REF!</v>
      </c>
      <c r="H157" s="2" t="e">
        <f>IF(A157="","",COUNTIFS(#REF!,A157,#REF!,"Autogol"))</f>
        <v>#REF!</v>
      </c>
      <c r="I157" s="2" t="e">
        <f>#REF!</f>
        <v>#REF!</v>
      </c>
    </row>
    <row r="158" spans="1:9" ht="18.399999999999999" customHeight="1">
      <c r="A158" s="12" t="e">
        <f>#REF!</f>
        <v>#REF!</v>
      </c>
      <c r="B158" s="2" t="e">
        <f>IF(A158="","",#REF!&amp;" "&amp;#REF!&amp;" "&amp;#REF!)</f>
        <v>#REF!</v>
      </c>
      <c r="C158" s="2" t="e">
        <f>#REF!</f>
        <v>#REF!</v>
      </c>
      <c r="D158" s="2" t="e">
        <f>#REF!</f>
        <v>#REF!</v>
      </c>
      <c r="E158" s="2"/>
      <c r="F158" s="2" t="e">
        <f>IF(A158="","",COUNTIF(#REF!,A158))</f>
        <v>#REF!</v>
      </c>
      <c r="G158" s="2" t="e">
        <f>IF(A158="","",COUNTIFS(#REF!,A158,#REF!,"Penal"))</f>
        <v>#REF!</v>
      </c>
      <c r="H158" s="2" t="e">
        <f>IF(A158="","",COUNTIFS(#REF!,A158,#REF!,"Autogol"))</f>
        <v>#REF!</v>
      </c>
      <c r="I158" s="2" t="e">
        <f>#REF!</f>
        <v>#REF!</v>
      </c>
    </row>
    <row r="159" spans="1:9" ht="18.399999999999999" customHeight="1">
      <c r="A159" s="12" t="e">
        <f>#REF!</f>
        <v>#REF!</v>
      </c>
      <c r="B159" s="2" t="e">
        <f>IF(A159="","",#REF!&amp;" "&amp;#REF!&amp;" "&amp;#REF!)</f>
        <v>#REF!</v>
      </c>
      <c r="C159" s="2" t="e">
        <f>#REF!</f>
        <v>#REF!</v>
      </c>
      <c r="D159" s="2" t="e">
        <f>#REF!</f>
        <v>#REF!</v>
      </c>
      <c r="E159" s="2"/>
      <c r="F159" s="2" t="e">
        <f>IF(A159="","",COUNTIF(#REF!,A159))</f>
        <v>#REF!</v>
      </c>
      <c r="G159" s="2" t="e">
        <f>IF(A159="","",COUNTIFS(#REF!,A159,#REF!,"Penal"))</f>
        <v>#REF!</v>
      </c>
      <c r="H159" s="2" t="e">
        <f>IF(A159="","",COUNTIFS(#REF!,A159,#REF!,"Autogol"))</f>
        <v>#REF!</v>
      </c>
      <c r="I159" s="2" t="e">
        <f>#REF!</f>
        <v>#REF!</v>
      </c>
    </row>
    <row r="160" spans="1:9" ht="18.399999999999999" customHeight="1">
      <c r="A160" s="12" t="e">
        <f>#REF!</f>
        <v>#REF!</v>
      </c>
      <c r="B160" s="2" t="e">
        <f>IF(A160="","",#REF!&amp;" "&amp;#REF!&amp;" "&amp;#REF!)</f>
        <v>#REF!</v>
      </c>
      <c r="C160" s="2" t="e">
        <f>#REF!</f>
        <v>#REF!</v>
      </c>
      <c r="D160" s="2" t="e">
        <f>#REF!</f>
        <v>#REF!</v>
      </c>
      <c r="E160" s="2"/>
      <c r="F160" s="2" t="e">
        <f>IF(A160="","",COUNTIF(#REF!,A160))</f>
        <v>#REF!</v>
      </c>
      <c r="G160" s="2" t="e">
        <f>IF(A160="","",COUNTIFS(#REF!,A160,#REF!,"Penal"))</f>
        <v>#REF!</v>
      </c>
      <c r="H160" s="2" t="e">
        <f>IF(A160="","",COUNTIFS(#REF!,A160,#REF!,"Autogol"))</f>
        <v>#REF!</v>
      </c>
      <c r="I160" s="2" t="e">
        <f>#REF!</f>
        <v>#REF!</v>
      </c>
    </row>
    <row r="161" spans="1:9" ht="18.399999999999999" customHeight="1">
      <c r="A161" s="12" t="e">
        <f>#REF!</f>
        <v>#REF!</v>
      </c>
      <c r="B161" s="2" t="e">
        <f>IF(A161="","",#REF!&amp;" "&amp;#REF!&amp;" "&amp;#REF!)</f>
        <v>#REF!</v>
      </c>
      <c r="C161" s="2" t="e">
        <f>#REF!</f>
        <v>#REF!</v>
      </c>
      <c r="D161" s="2" t="e">
        <f>#REF!</f>
        <v>#REF!</v>
      </c>
      <c r="E161" s="2"/>
      <c r="F161" s="2" t="e">
        <f>IF(A161="","",COUNTIF(#REF!,A161))</f>
        <v>#REF!</v>
      </c>
      <c r="G161" s="2" t="e">
        <f>IF(A161="","",COUNTIFS(#REF!,A161,#REF!,"Penal"))</f>
        <v>#REF!</v>
      </c>
      <c r="H161" s="2" t="e">
        <f>IF(A161="","",COUNTIFS(#REF!,A161,#REF!,"Autogol"))</f>
        <v>#REF!</v>
      </c>
      <c r="I161" s="2" t="e">
        <f>#REF!</f>
        <v>#REF!</v>
      </c>
    </row>
    <row r="162" spans="1:9" ht="18.399999999999999" customHeight="1">
      <c r="A162" s="12" t="e">
        <f>#REF!</f>
        <v>#REF!</v>
      </c>
      <c r="B162" s="2" t="e">
        <f>IF(A162="","",#REF!&amp;" "&amp;#REF!&amp;" "&amp;#REF!)</f>
        <v>#REF!</v>
      </c>
      <c r="C162" s="2" t="e">
        <f>#REF!</f>
        <v>#REF!</v>
      </c>
      <c r="D162" s="2" t="e">
        <f>#REF!</f>
        <v>#REF!</v>
      </c>
      <c r="E162" s="2"/>
      <c r="F162" s="2" t="e">
        <f>IF(A162="","",COUNTIF(#REF!,A162))</f>
        <v>#REF!</v>
      </c>
      <c r="G162" s="2" t="e">
        <f>IF(A162="","",COUNTIFS(#REF!,A162,#REF!,"Penal"))</f>
        <v>#REF!</v>
      </c>
      <c r="H162" s="2" t="e">
        <f>IF(A162="","",COUNTIFS(#REF!,A162,#REF!,"Autogol"))</f>
        <v>#REF!</v>
      </c>
      <c r="I162" s="2" t="e">
        <f>#REF!</f>
        <v>#REF!</v>
      </c>
    </row>
    <row r="163" spans="1:9" ht="18.399999999999999" customHeight="1">
      <c r="A163" s="12" t="e">
        <f>#REF!</f>
        <v>#REF!</v>
      </c>
      <c r="B163" s="2" t="e">
        <f>IF(A163="","",#REF!&amp;" "&amp;#REF!&amp;" "&amp;#REF!)</f>
        <v>#REF!</v>
      </c>
      <c r="C163" s="2" t="e">
        <f>#REF!</f>
        <v>#REF!</v>
      </c>
      <c r="D163" s="2" t="e">
        <f>#REF!</f>
        <v>#REF!</v>
      </c>
      <c r="E163" s="2"/>
      <c r="F163" s="2" t="e">
        <f>IF(A163="","",COUNTIF(#REF!,A163))</f>
        <v>#REF!</v>
      </c>
      <c r="G163" s="2" t="e">
        <f>IF(A163="","",COUNTIFS(#REF!,A163,#REF!,"Penal"))</f>
        <v>#REF!</v>
      </c>
      <c r="H163" s="2" t="e">
        <f>IF(A163="","",COUNTIFS(#REF!,A163,#REF!,"Autogol"))</f>
        <v>#REF!</v>
      </c>
      <c r="I163" s="2" t="e">
        <f>#REF!</f>
        <v>#REF!</v>
      </c>
    </row>
    <row r="164" spans="1:9" ht="18.399999999999999" customHeight="1">
      <c r="A164" s="12" t="e">
        <f>#REF!</f>
        <v>#REF!</v>
      </c>
      <c r="B164" s="2" t="e">
        <f>IF(A164="","",#REF!&amp;" "&amp;#REF!&amp;" "&amp;#REF!)</f>
        <v>#REF!</v>
      </c>
      <c r="C164" s="2" t="e">
        <f>#REF!</f>
        <v>#REF!</v>
      </c>
      <c r="D164" s="2" t="e">
        <f>#REF!</f>
        <v>#REF!</v>
      </c>
      <c r="E164" s="2"/>
      <c r="F164" s="2" t="e">
        <f>IF(A164="","",COUNTIF(#REF!,A164))</f>
        <v>#REF!</v>
      </c>
      <c r="G164" s="2" t="e">
        <f>IF(A164="","",COUNTIFS(#REF!,A164,#REF!,"Penal"))</f>
        <v>#REF!</v>
      </c>
      <c r="H164" s="2" t="e">
        <f>IF(A164="","",COUNTIFS(#REF!,A164,#REF!,"Autogol"))</f>
        <v>#REF!</v>
      </c>
      <c r="I164" s="2" t="e">
        <f>#REF!</f>
        <v>#REF!</v>
      </c>
    </row>
    <row r="165" spans="1:9" ht="18.399999999999999" customHeight="1">
      <c r="A165" s="12" t="e">
        <f>#REF!</f>
        <v>#REF!</v>
      </c>
      <c r="B165" s="2" t="e">
        <f>IF(A165="","",#REF!&amp;" "&amp;#REF!&amp;" "&amp;#REF!)</f>
        <v>#REF!</v>
      </c>
      <c r="C165" s="2" t="e">
        <f>#REF!</f>
        <v>#REF!</v>
      </c>
      <c r="D165" s="2" t="e">
        <f>#REF!</f>
        <v>#REF!</v>
      </c>
      <c r="E165" s="2"/>
      <c r="F165" s="2" t="e">
        <f>IF(A165="","",COUNTIF(#REF!,A165))</f>
        <v>#REF!</v>
      </c>
      <c r="G165" s="2" t="e">
        <f>IF(A165="","",COUNTIFS(#REF!,A165,#REF!,"Penal"))</f>
        <v>#REF!</v>
      </c>
      <c r="H165" s="2" t="e">
        <f>IF(A165="","",COUNTIFS(#REF!,A165,#REF!,"Autogol"))</f>
        <v>#REF!</v>
      </c>
      <c r="I165" s="2" t="e">
        <f>#REF!</f>
        <v>#REF!</v>
      </c>
    </row>
    <row r="166" spans="1:9" ht="18.399999999999999" customHeight="1">
      <c r="A166" s="12" t="e">
        <f>#REF!</f>
        <v>#REF!</v>
      </c>
      <c r="B166" s="2" t="e">
        <f>IF(A166="","",#REF!&amp;" "&amp;#REF!&amp;" "&amp;#REF!)</f>
        <v>#REF!</v>
      </c>
      <c r="C166" s="2" t="e">
        <f>#REF!</f>
        <v>#REF!</v>
      </c>
      <c r="D166" s="2" t="e">
        <f>#REF!</f>
        <v>#REF!</v>
      </c>
      <c r="E166" s="2"/>
      <c r="F166" s="2" t="e">
        <f>IF(A166="","",COUNTIF(#REF!,A166))</f>
        <v>#REF!</v>
      </c>
      <c r="G166" s="2" t="e">
        <f>IF(A166="","",COUNTIFS(#REF!,A166,#REF!,"Penal"))</f>
        <v>#REF!</v>
      </c>
      <c r="H166" s="2" t="e">
        <f>IF(A166="","",COUNTIFS(#REF!,A166,#REF!,"Autogol"))</f>
        <v>#REF!</v>
      </c>
      <c r="I166" s="2" t="e">
        <f>#REF!</f>
        <v>#REF!</v>
      </c>
    </row>
    <row r="167" spans="1:9" ht="18.399999999999999" customHeight="1">
      <c r="A167" s="12" t="e">
        <f>#REF!</f>
        <v>#REF!</v>
      </c>
      <c r="B167" s="2" t="e">
        <f>IF(A167="","",#REF!&amp;" "&amp;#REF!&amp;" "&amp;#REF!)</f>
        <v>#REF!</v>
      </c>
      <c r="C167" s="2" t="e">
        <f>#REF!</f>
        <v>#REF!</v>
      </c>
      <c r="D167" s="2" t="e">
        <f>#REF!</f>
        <v>#REF!</v>
      </c>
      <c r="E167" s="2"/>
      <c r="F167" s="2" t="e">
        <f>IF(A167="","",COUNTIF(#REF!,A167))</f>
        <v>#REF!</v>
      </c>
      <c r="G167" s="2" t="e">
        <f>IF(A167="","",COUNTIFS(#REF!,A167,#REF!,"Penal"))</f>
        <v>#REF!</v>
      </c>
      <c r="H167" s="2" t="e">
        <f>IF(A167="","",COUNTIFS(#REF!,A167,#REF!,"Autogol"))</f>
        <v>#REF!</v>
      </c>
      <c r="I167" s="2" t="e">
        <f>#REF!</f>
        <v>#REF!</v>
      </c>
    </row>
    <row r="168" spans="1:9" ht="18.399999999999999" customHeight="1">
      <c r="A168" s="12" t="e">
        <f>#REF!</f>
        <v>#REF!</v>
      </c>
      <c r="B168" s="2" t="e">
        <f>IF(A168="","",#REF!&amp;" "&amp;#REF!&amp;" "&amp;#REF!)</f>
        <v>#REF!</v>
      </c>
      <c r="C168" s="2" t="e">
        <f>#REF!</f>
        <v>#REF!</v>
      </c>
      <c r="D168" s="2" t="e">
        <f>#REF!</f>
        <v>#REF!</v>
      </c>
      <c r="E168" s="2"/>
      <c r="F168" s="2" t="e">
        <f>IF(A168="","",COUNTIF(#REF!,A168))</f>
        <v>#REF!</v>
      </c>
      <c r="G168" s="2" t="e">
        <f>IF(A168="","",COUNTIFS(#REF!,A168,#REF!,"Penal"))</f>
        <v>#REF!</v>
      </c>
      <c r="H168" s="2" t="e">
        <f>IF(A168="","",COUNTIFS(#REF!,A168,#REF!,"Autogol"))</f>
        <v>#REF!</v>
      </c>
      <c r="I168" s="2" t="e">
        <f>#REF!</f>
        <v>#REF!</v>
      </c>
    </row>
    <row r="169" spans="1:9" ht="18.399999999999999" customHeight="1">
      <c r="A169" s="12" t="e">
        <f>#REF!</f>
        <v>#REF!</v>
      </c>
      <c r="B169" s="2" t="e">
        <f>IF(A169="","",#REF!&amp;" "&amp;#REF!&amp;" "&amp;#REF!)</f>
        <v>#REF!</v>
      </c>
      <c r="C169" s="2" t="e">
        <f>#REF!</f>
        <v>#REF!</v>
      </c>
      <c r="D169" s="2" t="e">
        <f>#REF!</f>
        <v>#REF!</v>
      </c>
      <c r="E169" s="2"/>
      <c r="F169" s="2" t="e">
        <f>IF(A169="","",COUNTIF(#REF!,A169))</f>
        <v>#REF!</v>
      </c>
      <c r="G169" s="2" t="e">
        <f>IF(A169="","",COUNTIFS(#REF!,A169,#REF!,"Penal"))</f>
        <v>#REF!</v>
      </c>
      <c r="H169" s="2" t="e">
        <f>IF(A169="","",COUNTIFS(#REF!,A169,#REF!,"Autogol"))</f>
        <v>#REF!</v>
      </c>
      <c r="I169" s="2" t="e">
        <f>#REF!</f>
        <v>#REF!</v>
      </c>
    </row>
    <row r="170" spans="1:9" ht="18.399999999999999" customHeight="1">
      <c r="A170" s="12" t="e">
        <f>#REF!</f>
        <v>#REF!</v>
      </c>
      <c r="B170" s="2" t="e">
        <f>IF(A170="","",#REF!&amp;" "&amp;#REF!&amp;" "&amp;#REF!)</f>
        <v>#REF!</v>
      </c>
      <c r="C170" s="2" t="e">
        <f>#REF!</f>
        <v>#REF!</v>
      </c>
      <c r="D170" s="2" t="e">
        <f>#REF!</f>
        <v>#REF!</v>
      </c>
      <c r="E170" s="2"/>
      <c r="F170" s="2" t="e">
        <f>IF(A170="","",COUNTIF(#REF!,A170))</f>
        <v>#REF!</v>
      </c>
      <c r="G170" s="2" t="e">
        <f>IF(A170="","",COUNTIFS(#REF!,A170,#REF!,"Penal"))</f>
        <v>#REF!</v>
      </c>
      <c r="H170" s="2" t="e">
        <f>IF(A170="","",COUNTIFS(#REF!,A170,#REF!,"Autogol"))</f>
        <v>#REF!</v>
      </c>
      <c r="I170" s="2" t="e">
        <f>#REF!</f>
        <v>#REF!</v>
      </c>
    </row>
    <row r="171" spans="1:9" ht="18.399999999999999" customHeight="1">
      <c r="A171" s="12" t="e">
        <f>#REF!</f>
        <v>#REF!</v>
      </c>
      <c r="B171" s="2" t="e">
        <f>IF(A171="","",#REF!&amp;" "&amp;#REF!&amp;" "&amp;#REF!)</f>
        <v>#REF!</v>
      </c>
      <c r="C171" s="2" t="e">
        <f>#REF!</f>
        <v>#REF!</v>
      </c>
      <c r="D171" s="2" t="e">
        <f>#REF!</f>
        <v>#REF!</v>
      </c>
      <c r="E171" s="2"/>
      <c r="F171" s="2" t="e">
        <f>IF(A171="","",COUNTIF(#REF!,A171))</f>
        <v>#REF!</v>
      </c>
      <c r="G171" s="2" t="e">
        <f>IF(A171="","",COUNTIFS(#REF!,A171,#REF!,"Penal"))</f>
        <v>#REF!</v>
      </c>
      <c r="H171" s="2" t="e">
        <f>IF(A171="","",COUNTIFS(#REF!,A171,#REF!,"Autogol"))</f>
        <v>#REF!</v>
      </c>
      <c r="I171" s="2" t="e">
        <f>#REF!</f>
        <v>#REF!</v>
      </c>
    </row>
    <row r="172" spans="1:9" ht="18.399999999999999" customHeight="1">
      <c r="A172" s="12" t="e">
        <f>#REF!</f>
        <v>#REF!</v>
      </c>
      <c r="B172" s="2" t="e">
        <f>IF(A172="","",#REF!&amp;" "&amp;#REF!&amp;" "&amp;#REF!)</f>
        <v>#REF!</v>
      </c>
      <c r="C172" s="2" t="e">
        <f>#REF!</f>
        <v>#REF!</v>
      </c>
      <c r="D172" s="2" t="e">
        <f>#REF!</f>
        <v>#REF!</v>
      </c>
      <c r="E172" s="2"/>
      <c r="F172" s="2" t="e">
        <f>IF(A172="","",COUNTIF(#REF!,A172))</f>
        <v>#REF!</v>
      </c>
      <c r="G172" s="2" t="e">
        <f>IF(A172="","",COUNTIFS(#REF!,A172,#REF!,"Penal"))</f>
        <v>#REF!</v>
      </c>
      <c r="H172" s="2" t="e">
        <f>IF(A172="","",COUNTIFS(#REF!,A172,#REF!,"Autogol"))</f>
        <v>#REF!</v>
      </c>
      <c r="I172" s="2" t="e">
        <f>#REF!</f>
        <v>#REF!</v>
      </c>
    </row>
    <row r="173" spans="1:9" ht="18.399999999999999" customHeight="1">
      <c r="A173" s="12" t="e">
        <f>#REF!</f>
        <v>#REF!</v>
      </c>
      <c r="B173" s="2" t="e">
        <f>IF(A173="","",#REF!&amp;" "&amp;#REF!&amp;" "&amp;#REF!)</f>
        <v>#REF!</v>
      </c>
      <c r="C173" s="2" t="e">
        <f>#REF!</f>
        <v>#REF!</v>
      </c>
      <c r="D173" s="2" t="e">
        <f>#REF!</f>
        <v>#REF!</v>
      </c>
      <c r="E173" s="2"/>
      <c r="F173" s="2" t="e">
        <f>IF(A173="","",COUNTIF(#REF!,A173))</f>
        <v>#REF!</v>
      </c>
      <c r="G173" s="2" t="e">
        <f>IF(A173="","",COUNTIFS(#REF!,A173,#REF!,"Penal"))</f>
        <v>#REF!</v>
      </c>
      <c r="H173" s="2" t="e">
        <f>IF(A173="","",COUNTIFS(#REF!,A173,#REF!,"Autogol"))</f>
        <v>#REF!</v>
      </c>
      <c r="I173" s="2" t="e">
        <f>#REF!</f>
        <v>#REF!</v>
      </c>
    </row>
    <row r="174" spans="1:9" ht="18.399999999999999" customHeight="1">
      <c r="A174" s="12" t="e">
        <f>#REF!</f>
        <v>#REF!</v>
      </c>
      <c r="B174" s="2" t="e">
        <f>IF(A174="","",#REF!&amp;" "&amp;#REF!&amp;" "&amp;#REF!)</f>
        <v>#REF!</v>
      </c>
      <c r="C174" s="2" t="e">
        <f>#REF!</f>
        <v>#REF!</v>
      </c>
      <c r="D174" s="2" t="e">
        <f>#REF!</f>
        <v>#REF!</v>
      </c>
      <c r="E174" s="2"/>
      <c r="F174" s="2" t="e">
        <f>IF(A174="","",COUNTIF(#REF!,A174))</f>
        <v>#REF!</v>
      </c>
      <c r="G174" s="2" t="e">
        <f>IF(A174="","",COUNTIFS(#REF!,A174,#REF!,"Penal"))</f>
        <v>#REF!</v>
      </c>
      <c r="H174" s="2" t="e">
        <f>IF(A174="","",COUNTIFS(#REF!,A174,#REF!,"Autogol"))</f>
        <v>#REF!</v>
      </c>
      <c r="I174" s="2" t="e">
        <f>#REF!</f>
        <v>#REF!</v>
      </c>
    </row>
    <row r="175" spans="1:9" ht="18.399999999999999" customHeight="1">
      <c r="A175" s="12" t="e">
        <f>#REF!</f>
        <v>#REF!</v>
      </c>
      <c r="B175" s="2" t="e">
        <f>IF(A175="","",#REF!&amp;" "&amp;#REF!&amp;" "&amp;#REF!)</f>
        <v>#REF!</v>
      </c>
      <c r="C175" s="2" t="e">
        <f>#REF!</f>
        <v>#REF!</v>
      </c>
      <c r="D175" s="2" t="e">
        <f>#REF!</f>
        <v>#REF!</v>
      </c>
      <c r="E175" s="2"/>
      <c r="F175" s="2" t="e">
        <f>IF(A175="","",COUNTIF(#REF!,A175))</f>
        <v>#REF!</v>
      </c>
      <c r="G175" s="2" t="e">
        <f>IF(A175="","",COUNTIFS(#REF!,A175,#REF!,"Penal"))</f>
        <v>#REF!</v>
      </c>
      <c r="H175" s="2" t="e">
        <f>IF(A175="","",COUNTIFS(#REF!,A175,#REF!,"Autogol"))</f>
        <v>#REF!</v>
      </c>
      <c r="I175" s="2" t="e">
        <f>#REF!</f>
        <v>#REF!</v>
      </c>
    </row>
    <row r="176" spans="1:9" ht="18.399999999999999" customHeight="1">
      <c r="A176" s="12" t="e">
        <f>#REF!</f>
        <v>#REF!</v>
      </c>
      <c r="B176" s="2" t="e">
        <f>IF(A176="","",#REF!&amp;" "&amp;#REF!&amp;" "&amp;#REF!)</f>
        <v>#REF!</v>
      </c>
      <c r="C176" s="2" t="e">
        <f>#REF!</f>
        <v>#REF!</v>
      </c>
      <c r="D176" s="2" t="e">
        <f>#REF!</f>
        <v>#REF!</v>
      </c>
      <c r="E176" s="2"/>
      <c r="F176" s="2" t="e">
        <f>IF(A176="","",COUNTIF(#REF!,A176))</f>
        <v>#REF!</v>
      </c>
      <c r="G176" s="2" t="e">
        <f>IF(A176="","",COUNTIFS(#REF!,A176,#REF!,"Penal"))</f>
        <v>#REF!</v>
      </c>
      <c r="H176" s="2" t="e">
        <f>IF(A176="","",COUNTIFS(#REF!,A176,#REF!,"Autogol"))</f>
        <v>#REF!</v>
      </c>
      <c r="I176" s="2" t="e">
        <f>#REF!</f>
        <v>#REF!</v>
      </c>
    </row>
    <row r="177" spans="1:9" ht="18.399999999999999" customHeight="1">
      <c r="A177" s="12" t="e">
        <f>#REF!</f>
        <v>#REF!</v>
      </c>
      <c r="B177" s="2" t="e">
        <f>IF(A177="","",#REF!&amp;" "&amp;#REF!&amp;" "&amp;#REF!)</f>
        <v>#REF!</v>
      </c>
      <c r="C177" s="2" t="e">
        <f>#REF!</f>
        <v>#REF!</v>
      </c>
      <c r="D177" s="2" t="e">
        <f>#REF!</f>
        <v>#REF!</v>
      </c>
      <c r="E177" s="2"/>
      <c r="F177" s="2" t="e">
        <f>IF(A177="","",COUNTIF(#REF!,A177))</f>
        <v>#REF!</v>
      </c>
      <c r="G177" s="2" t="e">
        <f>IF(A177="","",COUNTIFS(#REF!,A177,#REF!,"Penal"))</f>
        <v>#REF!</v>
      </c>
      <c r="H177" s="2" t="e">
        <f>IF(A177="","",COUNTIFS(#REF!,A177,#REF!,"Autogol"))</f>
        <v>#REF!</v>
      </c>
      <c r="I177" s="2" t="e">
        <f>#REF!</f>
        <v>#REF!</v>
      </c>
    </row>
    <row r="178" spans="1:9" ht="18.399999999999999" customHeight="1">
      <c r="A178" s="12" t="e">
        <f>#REF!</f>
        <v>#REF!</v>
      </c>
      <c r="B178" s="2" t="e">
        <f>IF(A178="","",#REF!&amp;" "&amp;#REF!&amp;" "&amp;#REF!)</f>
        <v>#REF!</v>
      </c>
      <c r="C178" s="2" t="e">
        <f>#REF!</f>
        <v>#REF!</v>
      </c>
      <c r="D178" s="2" t="e">
        <f>#REF!</f>
        <v>#REF!</v>
      </c>
      <c r="E178" s="2"/>
      <c r="F178" s="2" t="e">
        <f>IF(A178="","",COUNTIF(#REF!,A178))</f>
        <v>#REF!</v>
      </c>
      <c r="G178" s="2" t="e">
        <f>IF(A178="","",COUNTIFS(#REF!,A178,#REF!,"Penal"))</f>
        <v>#REF!</v>
      </c>
      <c r="H178" s="2" t="e">
        <f>IF(A178="","",COUNTIFS(#REF!,A178,#REF!,"Autogol"))</f>
        <v>#REF!</v>
      </c>
      <c r="I178" s="2" t="e">
        <f>#REF!</f>
        <v>#REF!</v>
      </c>
    </row>
    <row r="179" spans="1:9" ht="18.399999999999999" customHeight="1">
      <c r="A179" s="12" t="e">
        <f>#REF!</f>
        <v>#REF!</v>
      </c>
      <c r="B179" s="2" t="e">
        <f>IF(A179="","",#REF!&amp;" "&amp;#REF!&amp;" "&amp;#REF!)</f>
        <v>#REF!</v>
      </c>
      <c r="C179" s="2" t="e">
        <f>#REF!</f>
        <v>#REF!</v>
      </c>
      <c r="D179" s="2" t="e">
        <f>#REF!</f>
        <v>#REF!</v>
      </c>
      <c r="E179" s="2"/>
      <c r="F179" s="2" t="e">
        <f>IF(A179="","",COUNTIF(#REF!,A179))</f>
        <v>#REF!</v>
      </c>
      <c r="G179" s="2" t="e">
        <f>IF(A179="","",COUNTIFS(#REF!,A179,#REF!,"Penal"))</f>
        <v>#REF!</v>
      </c>
      <c r="H179" s="2" t="e">
        <f>IF(A179="","",COUNTIFS(#REF!,A179,#REF!,"Autogol"))</f>
        <v>#REF!</v>
      </c>
      <c r="I179" s="2" t="e">
        <f>#REF!</f>
        <v>#REF!</v>
      </c>
    </row>
    <row r="180" spans="1:9" ht="18.399999999999999" customHeight="1">
      <c r="A180" s="12" t="e">
        <f>#REF!</f>
        <v>#REF!</v>
      </c>
      <c r="B180" s="2" t="e">
        <f>IF(A180="","",#REF!&amp;" "&amp;#REF!&amp;" "&amp;#REF!)</f>
        <v>#REF!</v>
      </c>
      <c r="C180" s="2" t="e">
        <f>#REF!</f>
        <v>#REF!</v>
      </c>
      <c r="D180" s="2" t="e">
        <f>#REF!</f>
        <v>#REF!</v>
      </c>
      <c r="E180" s="2"/>
      <c r="F180" s="2" t="e">
        <f>IF(A180="","",COUNTIF(#REF!,A180))</f>
        <v>#REF!</v>
      </c>
      <c r="G180" s="2" t="e">
        <f>IF(A180="","",COUNTIFS(#REF!,A180,#REF!,"Penal"))</f>
        <v>#REF!</v>
      </c>
      <c r="H180" s="2" t="e">
        <f>IF(A180="","",COUNTIFS(#REF!,A180,#REF!,"Autogol"))</f>
        <v>#REF!</v>
      </c>
      <c r="I180" s="2" t="e">
        <f>#REF!</f>
        <v>#REF!</v>
      </c>
    </row>
    <row r="181" spans="1:9" ht="18.399999999999999" customHeight="1">
      <c r="A181" s="12" t="e">
        <f>#REF!</f>
        <v>#REF!</v>
      </c>
      <c r="B181" s="2" t="e">
        <f>IF(A181="","",#REF!&amp;" "&amp;#REF!&amp;" "&amp;#REF!)</f>
        <v>#REF!</v>
      </c>
      <c r="C181" s="2" t="e">
        <f>#REF!</f>
        <v>#REF!</v>
      </c>
      <c r="D181" s="2" t="e">
        <f>#REF!</f>
        <v>#REF!</v>
      </c>
      <c r="E181" s="2"/>
      <c r="F181" s="2" t="e">
        <f>IF(A181="","",COUNTIF(#REF!,A181))</f>
        <v>#REF!</v>
      </c>
      <c r="G181" s="2" t="e">
        <f>IF(A181="","",COUNTIFS(#REF!,A181,#REF!,"Penal"))</f>
        <v>#REF!</v>
      </c>
      <c r="H181" s="2" t="e">
        <f>IF(A181="","",COUNTIFS(#REF!,A181,#REF!,"Autogol"))</f>
        <v>#REF!</v>
      </c>
      <c r="I181" s="2" t="e">
        <f>#REF!</f>
        <v>#REF!</v>
      </c>
    </row>
    <row r="182" spans="1:9" ht="18.399999999999999" customHeight="1">
      <c r="A182" s="12" t="e">
        <f>#REF!</f>
        <v>#REF!</v>
      </c>
      <c r="B182" s="2" t="e">
        <f>IF(A182="","",#REF!&amp;" "&amp;#REF!&amp;" "&amp;#REF!)</f>
        <v>#REF!</v>
      </c>
      <c r="C182" s="2" t="e">
        <f>#REF!</f>
        <v>#REF!</v>
      </c>
      <c r="D182" s="2" t="e">
        <f>#REF!</f>
        <v>#REF!</v>
      </c>
      <c r="E182" s="2"/>
      <c r="F182" s="2" t="e">
        <f>IF(A182="","",COUNTIF(#REF!,A182))</f>
        <v>#REF!</v>
      </c>
      <c r="G182" s="2" t="e">
        <f>IF(A182="","",COUNTIFS(#REF!,A182,#REF!,"Penal"))</f>
        <v>#REF!</v>
      </c>
      <c r="H182" s="2" t="e">
        <f>IF(A182="","",COUNTIFS(#REF!,A182,#REF!,"Autogol"))</f>
        <v>#REF!</v>
      </c>
      <c r="I182" s="2" t="e">
        <f>#REF!</f>
        <v>#REF!</v>
      </c>
    </row>
    <row r="183" spans="1:9" ht="18.399999999999999" customHeight="1">
      <c r="A183" s="12" t="e">
        <f>#REF!</f>
        <v>#REF!</v>
      </c>
      <c r="B183" s="2" t="e">
        <f>IF(A183="","",#REF!&amp;" "&amp;#REF!&amp;" "&amp;#REF!)</f>
        <v>#REF!</v>
      </c>
      <c r="C183" s="2" t="e">
        <f>#REF!</f>
        <v>#REF!</v>
      </c>
      <c r="D183" s="2" t="e">
        <f>#REF!</f>
        <v>#REF!</v>
      </c>
      <c r="E183" s="2"/>
      <c r="F183" s="2" t="e">
        <f>IF(A183="","",COUNTIF(#REF!,A183))</f>
        <v>#REF!</v>
      </c>
      <c r="G183" s="2" t="e">
        <f>IF(A183="","",COUNTIFS(#REF!,A183,#REF!,"Penal"))</f>
        <v>#REF!</v>
      </c>
      <c r="H183" s="2" t="e">
        <f>IF(A183="","",COUNTIFS(#REF!,A183,#REF!,"Autogol"))</f>
        <v>#REF!</v>
      </c>
      <c r="I183" s="2" t="e">
        <f>#REF!</f>
        <v>#REF!</v>
      </c>
    </row>
    <row r="184" spans="1:9" ht="18.399999999999999" customHeight="1">
      <c r="A184" s="12" t="e">
        <f>#REF!</f>
        <v>#REF!</v>
      </c>
      <c r="B184" s="2" t="e">
        <f>IF(A184="","",#REF!&amp;" "&amp;#REF!&amp;" "&amp;#REF!)</f>
        <v>#REF!</v>
      </c>
      <c r="C184" s="2" t="e">
        <f>#REF!</f>
        <v>#REF!</v>
      </c>
      <c r="D184" s="2" t="e">
        <f>#REF!</f>
        <v>#REF!</v>
      </c>
      <c r="E184" s="2"/>
      <c r="F184" s="2" t="e">
        <f>IF(A184="","",COUNTIF(#REF!,A184))</f>
        <v>#REF!</v>
      </c>
      <c r="G184" s="2" t="e">
        <f>IF(A184="","",COUNTIFS(#REF!,A184,#REF!,"Penal"))</f>
        <v>#REF!</v>
      </c>
      <c r="H184" s="2" t="e">
        <f>IF(A184="","",COUNTIFS(#REF!,A184,#REF!,"Autogol"))</f>
        <v>#REF!</v>
      </c>
      <c r="I184" s="2" t="e">
        <f>#REF!</f>
        <v>#REF!</v>
      </c>
    </row>
    <row r="185" spans="1:9" ht="18.399999999999999" customHeight="1">
      <c r="A185" s="12" t="e">
        <f>#REF!</f>
        <v>#REF!</v>
      </c>
      <c r="B185" s="2" t="e">
        <f>IF(A185="","",#REF!&amp;" "&amp;#REF!&amp;" "&amp;#REF!)</f>
        <v>#REF!</v>
      </c>
      <c r="C185" s="2" t="e">
        <f>#REF!</f>
        <v>#REF!</v>
      </c>
      <c r="D185" s="2" t="e">
        <f>#REF!</f>
        <v>#REF!</v>
      </c>
      <c r="E185" s="2"/>
      <c r="F185" s="2" t="e">
        <f>IF(A185="","",COUNTIF(#REF!,A185))</f>
        <v>#REF!</v>
      </c>
      <c r="G185" s="2" t="e">
        <f>IF(A185="","",COUNTIFS(#REF!,A185,#REF!,"Penal"))</f>
        <v>#REF!</v>
      </c>
      <c r="H185" s="2" t="e">
        <f>IF(A185="","",COUNTIFS(#REF!,A185,#REF!,"Autogol"))</f>
        <v>#REF!</v>
      </c>
      <c r="I185" s="2" t="e">
        <f>#REF!</f>
        <v>#REF!</v>
      </c>
    </row>
    <row r="186" spans="1:9" ht="18.399999999999999" customHeight="1">
      <c r="A186" s="12" t="e">
        <f>#REF!</f>
        <v>#REF!</v>
      </c>
      <c r="B186" s="2" t="e">
        <f>IF(A186="","",#REF!&amp;" "&amp;#REF!&amp;" "&amp;#REF!)</f>
        <v>#REF!</v>
      </c>
      <c r="C186" s="2" t="e">
        <f>#REF!</f>
        <v>#REF!</v>
      </c>
      <c r="D186" s="2" t="e">
        <f>#REF!</f>
        <v>#REF!</v>
      </c>
      <c r="E186" s="2"/>
      <c r="F186" s="2" t="e">
        <f>IF(A186="","",COUNTIF(#REF!,A186))</f>
        <v>#REF!</v>
      </c>
      <c r="G186" s="2" t="e">
        <f>IF(A186="","",COUNTIFS(#REF!,A186,#REF!,"Penal"))</f>
        <v>#REF!</v>
      </c>
      <c r="H186" s="2" t="e">
        <f>IF(A186="","",COUNTIFS(#REF!,A186,#REF!,"Autogol"))</f>
        <v>#REF!</v>
      </c>
      <c r="I186" s="2" t="e">
        <f>#REF!</f>
        <v>#REF!</v>
      </c>
    </row>
    <row r="187" spans="1:9" ht="18.399999999999999" customHeight="1">
      <c r="A187" s="12" t="e">
        <f>#REF!</f>
        <v>#REF!</v>
      </c>
      <c r="B187" s="2" t="e">
        <f>IF(A187="","",#REF!&amp;" "&amp;#REF!&amp;" "&amp;#REF!)</f>
        <v>#REF!</v>
      </c>
      <c r="C187" s="2" t="e">
        <f>#REF!</f>
        <v>#REF!</v>
      </c>
      <c r="D187" s="2" t="e">
        <f>#REF!</f>
        <v>#REF!</v>
      </c>
      <c r="E187" s="2"/>
      <c r="F187" s="2" t="e">
        <f>IF(A187="","",COUNTIF(#REF!,A187))</f>
        <v>#REF!</v>
      </c>
      <c r="G187" s="2" t="e">
        <f>IF(A187="","",COUNTIFS(#REF!,A187,#REF!,"Penal"))</f>
        <v>#REF!</v>
      </c>
      <c r="H187" s="2" t="e">
        <f>IF(A187="","",COUNTIFS(#REF!,A187,#REF!,"Autogol"))</f>
        <v>#REF!</v>
      </c>
      <c r="I187" s="2" t="e">
        <f>#REF!</f>
        <v>#REF!</v>
      </c>
    </row>
    <row r="188" spans="1:9" ht="18.399999999999999" customHeight="1">
      <c r="A188" s="12" t="e">
        <f>#REF!</f>
        <v>#REF!</v>
      </c>
      <c r="B188" s="2" t="e">
        <f>IF(A188="","",#REF!&amp;" "&amp;#REF!&amp;" "&amp;#REF!)</f>
        <v>#REF!</v>
      </c>
      <c r="C188" s="2" t="e">
        <f>#REF!</f>
        <v>#REF!</v>
      </c>
      <c r="D188" s="2" t="e">
        <f>#REF!</f>
        <v>#REF!</v>
      </c>
      <c r="E188" s="2"/>
      <c r="F188" s="2" t="e">
        <f>IF(A188="","",COUNTIF(#REF!,A188))</f>
        <v>#REF!</v>
      </c>
      <c r="G188" s="2" t="e">
        <f>IF(A188="","",COUNTIFS(#REF!,A188,#REF!,"Penal"))</f>
        <v>#REF!</v>
      </c>
      <c r="H188" s="2" t="e">
        <f>IF(A188="","",COUNTIFS(#REF!,A188,#REF!,"Autogol"))</f>
        <v>#REF!</v>
      </c>
      <c r="I188" s="2" t="e">
        <f>#REF!</f>
        <v>#REF!</v>
      </c>
    </row>
    <row r="189" spans="1:9" ht="18.399999999999999" customHeight="1">
      <c r="A189" s="12" t="e">
        <f>#REF!</f>
        <v>#REF!</v>
      </c>
      <c r="B189" s="2" t="e">
        <f>IF(A189="","",#REF!&amp;" "&amp;#REF!&amp;" "&amp;#REF!)</f>
        <v>#REF!</v>
      </c>
      <c r="C189" s="2" t="e">
        <f>#REF!</f>
        <v>#REF!</v>
      </c>
      <c r="D189" s="2" t="e">
        <f>#REF!</f>
        <v>#REF!</v>
      </c>
      <c r="E189" s="2"/>
      <c r="F189" s="2" t="e">
        <f>IF(A189="","",COUNTIF(#REF!,A189))</f>
        <v>#REF!</v>
      </c>
      <c r="G189" s="2" t="e">
        <f>IF(A189="","",COUNTIFS(#REF!,A189,#REF!,"Penal"))</f>
        <v>#REF!</v>
      </c>
      <c r="H189" s="2" t="e">
        <f>IF(A189="","",COUNTIFS(#REF!,A189,#REF!,"Autogol"))</f>
        <v>#REF!</v>
      </c>
      <c r="I189" s="2" t="e">
        <f>#REF!</f>
        <v>#REF!</v>
      </c>
    </row>
    <row r="190" spans="1:9" ht="18.399999999999999" customHeight="1">
      <c r="A190" s="12" t="e">
        <f>#REF!</f>
        <v>#REF!</v>
      </c>
      <c r="B190" s="2" t="e">
        <f>IF(A190="","",#REF!&amp;" "&amp;#REF!&amp;" "&amp;#REF!)</f>
        <v>#REF!</v>
      </c>
      <c r="C190" s="2" t="e">
        <f>#REF!</f>
        <v>#REF!</v>
      </c>
      <c r="D190" s="2" t="e">
        <f>#REF!</f>
        <v>#REF!</v>
      </c>
      <c r="E190" s="2"/>
      <c r="F190" s="2" t="e">
        <f>IF(A190="","",COUNTIF(#REF!,A190))</f>
        <v>#REF!</v>
      </c>
      <c r="G190" s="2" t="e">
        <f>IF(A190="","",COUNTIFS(#REF!,A190,#REF!,"Penal"))</f>
        <v>#REF!</v>
      </c>
      <c r="H190" s="2" t="e">
        <f>IF(A190="","",COUNTIFS(#REF!,A190,#REF!,"Autogol"))</f>
        <v>#REF!</v>
      </c>
      <c r="I190" s="2" t="e">
        <f>#REF!</f>
        <v>#REF!</v>
      </c>
    </row>
    <row r="191" spans="1:9" ht="18.399999999999999" customHeight="1">
      <c r="A191" s="12" t="e">
        <f>#REF!</f>
        <v>#REF!</v>
      </c>
      <c r="B191" s="2" t="e">
        <f>IF(A191="","",#REF!&amp;" "&amp;#REF!&amp;" "&amp;#REF!)</f>
        <v>#REF!</v>
      </c>
      <c r="C191" s="2" t="e">
        <f>#REF!</f>
        <v>#REF!</v>
      </c>
      <c r="D191" s="2" t="e">
        <f>#REF!</f>
        <v>#REF!</v>
      </c>
      <c r="E191" s="2"/>
      <c r="F191" s="2" t="e">
        <f>IF(A191="","",COUNTIF(#REF!,A191))</f>
        <v>#REF!</v>
      </c>
      <c r="G191" s="2" t="e">
        <f>IF(A191="","",COUNTIFS(#REF!,A191,#REF!,"Penal"))</f>
        <v>#REF!</v>
      </c>
      <c r="H191" s="2" t="e">
        <f>IF(A191="","",COUNTIFS(#REF!,A191,#REF!,"Autogol"))</f>
        <v>#REF!</v>
      </c>
      <c r="I191" s="2" t="e">
        <f>#REF!</f>
        <v>#REF!</v>
      </c>
    </row>
    <row r="192" spans="1:9" ht="18.399999999999999" customHeight="1">
      <c r="A192" s="12" t="e">
        <f>#REF!</f>
        <v>#REF!</v>
      </c>
      <c r="B192" s="2" t="e">
        <f>IF(A192="","",#REF!&amp;" "&amp;#REF!&amp;" "&amp;#REF!)</f>
        <v>#REF!</v>
      </c>
      <c r="C192" s="2" t="e">
        <f>#REF!</f>
        <v>#REF!</v>
      </c>
      <c r="D192" s="2" t="e">
        <f>#REF!</f>
        <v>#REF!</v>
      </c>
      <c r="E192" s="2"/>
      <c r="F192" s="2" t="e">
        <f>IF(A192="","",COUNTIF(#REF!,A192))</f>
        <v>#REF!</v>
      </c>
      <c r="G192" s="2" t="e">
        <f>IF(A192="","",COUNTIFS(#REF!,A192,#REF!,"Penal"))</f>
        <v>#REF!</v>
      </c>
      <c r="H192" s="2" t="e">
        <f>IF(A192="","",COUNTIFS(#REF!,A192,#REF!,"Autogol"))</f>
        <v>#REF!</v>
      </c>
      <c r="I192" s="2" t="e">
        <f>#REF!</f>
        <v>#REF!</v>
      </c>
    </row>
    <row r="193" spans="1:9" ht="18.399999999999999" customHeight="1">
      <c r="A193" s="12" t="e">
        <f>#REF!</f>
        <v>#REF!</v>
      </c>
      <c r="B193" s="2" t="e">
        <f>IF(A193="","",#REF!&amp;" "&amp;#REF!&amp;" "&amp;#REF!)</f>
        <v>#REF!</v>
      </c>
      <c r="C193" s="2" t="e">
        <f>#REF!</f>
        <v>#REF!</v>
      </c>
      <c r="D193" s="2" t="e">
        <f>#REF!</f>
        <v>#REF!</v>
      </c>
      <c r="E193" s="2"/>
      <c r="F193" s="2" t="e">
        <f>IF(A193="","",COUNTIF(#REF!,A193))</f>
        <v>#REF!</v>
      </c>
      <c r="G193" s="2" t="e">
        <f>IF(A193="","",COUNTIFS(#REF!,A193,#REF!,"Penal"))</f>
        <v>#REF!</v>
      </c>
      <c r="H193" s="2" t="e">
        <f>IF(A193="","",COUNTIFS(#REF!,A193,#REF!,"Autogol"))</f>
        <v>#REF!</v>
      </c>
      <c r="I193" s="2" t="e">
        <f>#REF!</f>
        <v>#REF!</v>
      </c>
    </row>
    <row r="194" spans="1:9" ht="18.399999999999999" customHeight="1">
      <c r="A194" s="12" t="e">
        <f>#REF!</f>
        <v>#REF!</v>
      </c>
      <c r="B194" s="2" t="e">
        <f>IF(A194="","",#REF!&amp;" "&amp;#REF!&amp;" "&amp;#REF!)</f>
        <v>#REF!</v>
      </c>
      <c r="C194" s="2" t="e">
        <f>#REF!</f>
        <v>#REF!</v>
      </c>
      <c r="D194" s="2" t="e">
        <f>#REF!</f>
        <v>#REF!</v>
      </c>
      <c r="E194" s="2"/>
      <c r="F194" s="2" t="e">
        <f>IF(A194="","",COUNTIF(#REF!,A194))</f>
        <v>#REF!</v>
      </c>
      <c r="G194" s="2" t="e">
        <f>IF(A194="","",COUNTIFS(#REF!,A194,#REF!,"Penal"))</f>
        <v>#REF!</v>
      </c>
      <c r="H194" s="2" t="e">
        <f>IF(A194="","",COUNTIFS(#REF!,A194,#REF!,"Autogol"))</f>
        <v>#REF!</v>
      </c>
      <c r="I194" s="2" t="e">
        <f>#REF!</f>
        <v>#REF!</v>
      </c>
    </row>
    <row r="195" spans="1:9" ht="18.399999999999999" customHeight="1">
      <c r="A195" s="12" t="e">
        <f>#REF!</f>
        <v>#REF!</v>
      </c>
      <c r="B195" s="2" t="e">
        <f>IF(A195="","",#REF!&amp;" "&amp;#REF!&amp;" "&amp;#REF!)</f>
        <v>#REF!</v>
      </c>
      <c r="C195" s="2" t="e">
        <f>#REF!</f>
        <v>#REF!</v>
      </c>
      <c r="D195" s="2" t="e">
        <f>#REF!</f>
        <v>#REF!</v>
      </c>
      <c r="E195" s="2"/>
      <c r="F195" s="2" t="e">
        <f>IF(A195="","",COUNTIF(#REF!,A195))</f>
        <v>#REF!</v>
      </c>
      <c r="G195" s="2" t="e">
        <f>IF(A195="","",COUNTIFS(#REF!,A195,#REF!,"Penal"))</f>
        <v>#REF!</v>
      </c>
      <c r="H195" s="2" t="e">
        <f>IF(A195="","",COUNTIFS(#REF!,A195,#REF!,"Autogol"))</f>
        <v>#REF!</v>
      </c>
      <c r="I195" s="2" t="e">
        <f>#REF!</f>
        <v>#REF!</v>
      </c>
    </row>
    <row r="196" spans="1:9" ht="18.399999999999999" customHeight="1">
      <c r="A196" s="12" t="e">
        <f>#REF!</f>
        <v>#REF!</v>
      </c>
      <c r="B196" s="2" t="e">
        <f>IF(A196="","",#REF!&amp;" "&amp;#REF!&amp;" "&amp;#REF!)</f>
        <v>#REF!</v>
      </c>
      <c r="C196" s="2" t="e">
        <f>#REF!</f>
        <v>#REF!</v>
      </c>
      <c r="D196" s="2" t="e">
        <f>#REF!</f>
        <v>#REF!</v>
      </c>
      <c r="E196" s="2"/>
      <c r="F196" s="2" t="e">
        <f>IF(A196="","",COUNTIF(#REF!,A196))</f>
        <v>#REF!</v>
      </c>
      <c r="G196" s="2" t="e">
        <f>IF(A196="","",COUNTIFS(#REF!,A196,#REF!,"Penal"))</f>
        <v>#REF!</v>
      </c>
      <c r="H196" s="2" t="e">
        <f>IF(A196="","",COUNTIFS(#REF!,A196,#REF!,"Autogol"))</f>
        <v>#REF!</v>
      </c>
      <c r="I196" s="2" t="e">
        <f>#REF!</f>
        <v>#REF!</v>
      </c>
    </row>
    <row r="197" spans="1:9" ht="18.399999999999999" customHeight="1">
      <c r="A197" s="12" t="e">
        <f>#REF!</f>
        <v>#REF!</v>
      </c>
      <c r="B197" s="2" t="e">
        <f>IF(A197="","",#REF!&amp;" "&amp;#REF!&amp;" "&amp;#REF!)</f>
        <v>#REF!</v>
      </c>
      <c r="C197" s="2" t="e">
        <f>#REF!</f>
        <v>#REF!</v>
      </c>
      <c r="D197" s="2" t="e">
        <f>#REF!</f>
        <v>#REF!</v>
      </c>
      <c r="E197" s="2"/>
      <c r="F197" s="2" t="e">
        <f>IF(A197="","",COUNTIF(#REF!,A197))</f>
        <v>#REF!</v>
      </c>
      <c r="G197" s="2" t="e">
        <f>IF(A197="","",COUNTIFS(#REF!,A197,#REF!,"Penal"))</f>
        <v>#REF!</v>
      </c>
      <c r="H197" s="2" t="e">
        <f>IF(A197="","",COUNTIFS(#REF!,A197,#REF!,"Autogol"))</f>
        <v>#REF!</v>
      </c>
      <c r="I197" s="2" t="e">
        <f>#REF!</f>
        <v>#REF!</v>
      </c>
    </row>
    <row r="198" spans="1:9" ht="18.399999999999999" customHeight="1">
      <c r="A198" s="12" t="e">
        <f>#REF!</f>
        <v>#REF!</v>
      </c>
      <c r="B198" s="2" t="e">
        <f>IF(A198="","",#REF!&amp;" "&amp;#REF!&amp;" "&amp;#REF!)</f>
        <v>#REF!</v>
      </c>
      <c r="C198" s="2" t="e">
        <f>#REF!</f>
        <v>#REF!</v>
      </c>
      <c r="D198" s="2" t="e">
        <f>#REF!</f>
        <v>#REF!</v>
      </c>
      <c r="E198" s="2"/>
      <c r="F198" s="2" t="e">
        <f>IF(A198="","",COUNTIF(#REF!,A198))</f>
        <v>#REF!</v>
      </c>
      <c r="G198" s="2" t="e">
        <f>IF(A198="","",COUNTIFS(#REF!,A198,#REF!,"Penal"))</f>
        <v>#REF!</v>
      </c>
      <c r="H198" s="2" t="e">
        <f>IF(A198="","",COUNTIFS(#REF!,A198,#REF!,"Autogol"))</f>
        <v>#REF!</v>
      </c>
      <c r="I198" s="2" t="e">
        <f>#REF!</f>
        <v>#REF!</v>
      </c>
    </row>
    <row r="199" spans="1:9" ht="18.399999999999999" customHeight="1">
      <c r="A199" s="12" t="e">
        <f>#REF!</f>
        <v>#REF!</v>
      </c>
      <c r="B199" s="2" t="e">
        <f>IF(A199="","",#REF!&amp;" "&amp;#REF!&amp;" "&amp;#REF!)</f>
        <v>#REF!</v>
      </c>
      <c r="C199" s="2" t="e">
        <f>#REF!</f>
        <v>#REF!</v>
      </c>
      <c r="D199" s="2" t="e">
        <f>#REF!</f>
        <v>#REF!</v>
      </c>
      <c r="E199" s="2"/>
      <c r="F199" s="2" t="e">
        <f>IF(A199="","",COUNTIF(#REF!,A199))</f>
        <v>#REF!</v>
      </c>
      <c r="G199" s="2" t="e">
        <f>IF(A199="","",COUNTIFS(#REF!,A199,#REF!,"Penal"))</f>
        <v>#REF!</v>
      </c>
      <c r="H199" s="2" t="e">
        <f>IF(A199="","",COUNTIFS(#REF!,A199,#REF!,"Autogol"))</f>
        <v>#REF!</v>
      </c>
      <c r="I199" s="2" t="e">
        <f>#REF!</f>
        <v>#REF!</v>
      </c>
    </row>
    <row r="200" spans="1:9" ht="18.399999999999999" customHeight="1">
      <c r="A200" s="12" t="e">
        <f>#REF!</f>
        <v>#REF!</v>
      </c>
      <c r="B200" s="2" t="e">
        <f>IF(A200="","",#REF!&amp;" "&amp;#REF!&amp;" "&amp;#REF!)</f>
        <v>#REF!</v>
      </c>
      <c r="C200" s="2" t="e">
        <f>#REF!</f>
        <v>#REF!</v>
      </c>
      <c r="D200" s="2" t="e">
        <f>#REF!</f>
        <v>#REF!</v>
      </c>
      <c r="E200" s="2"/>
      <c r="F200" s="2" t="e">
        <f>IF(A200="","",COUNTIF(#REF!,A200))</f>
        <v>#REF!</v>
      </c>
      <c r="G200" s="2" t="e">
        <f>IF(A200="","",COUNTIFS(#REF!,A200,#REF!,"Penal"))</f>
        <v>#REF!</v>
      </c>
      <c r="H200" s="2" t="e">
        <f>IF(A200="","",COUNTIFS(#REF!,A200,#REF!,"Autogol"))</f>
        <v>#REF!</v>
      </c>
      <c r="I200" s="2" t="e">
        <f>#REF!</f>
        <v>#REF!</v>
      </c>
    </row>
    <row r="201" spans="1:9" ht="18.399999999999999" customHeight="1">
      <c r="A201" s="12" t="e">
        <f>#REF!</f>
        <v>#REF!</v>
      </c>
      <c r="B201" s="2" t="e">
        <f>IF(A201="","",#REF!&amp;" "&amp;#REF!&amp;" "&amp;#REF!)</f>
        <v>#REF!</v>
      </c>
      <c r="C201" s="2" t="e">
        <f>#REF!</f>
        <v>#REF!</v>
      </c>
      <c r="D201" s="2" t="e">
        <f>#REF!</f>
        <v>#REF!</v>
      </c>
      <c r="E201" s="2"/>
      <c r="F201" s="2" t="e">
        <f>IF(A201="","",COUNTIF(#REF!,A201))</f>
        <v>#REF!</v>
      </c>
      <c r="G201" s="2" t="e">
        <f>IF(A201="","",COUNTIFS(#REF!,A201,#REF!,"Penal"))</f>
        <v>#REF!</v>
      </c>
      <c r="H201" s="2" t="e">
        <f>IF(A201="","",COUNTIFS(#REF!,A201,#REF!,"Autogol"))</f>
        <v>#REF!</v>
      </c>
      <c r="I201" s="2" t="e">
        <f>#REF!</f>
        <v>#REF!</v>
      </c>
    </row>
    <row r="202" spans="1:9" ht="18.399999999999999" customHeight="1">
      <c r="A202" s="12" t="e">
        <f>#REF!</f>
        <v>#REF!</v>
      </c>
      <c r="B202" s="2" t="e">
        <f>IF(A202="","",#REF!&amp;" "&amp;#REF!&amp;" "&amp;#REF!)</f>
        <v>#REF!</v>
      </c>
      <c r="C202" s="2" t="e">
        <f>#REF!</f>
        <v>#REF!</v>
      </c>
      <c r="D202" s="2" t="e">
        <f>#REF!</f>
        <v>#REF!</v>
      </c>
      <c r="E202" s="2"/>
      <c r="F202" s="2" t="e">
        <f>IF(A202="","",COUNTIF(#REF!,A202))</f>
        <v>#REF!</v>
      </c>
      <c r="G202" s="2" t="e">
        <f>IF(A202="","",COUNTIFS(#REF!,A202,#REF!,"Penal"))</f>
        <v>#REF!</v>
      </c>
      <c r="H202" s="2" t="e">
        <f>IF(A202="","",COUNTIFS(#REF!,A202,#REF!,"Autogol"))</f>
        <v>#REF!</v>
      </c>
      <c r="I202" s="2" t="e">
        <f>#REF!</f>
        <v>#REF!</v>
      </c>
    </row>
    <row r="203" spans="1:9" ht="18.399999999999999" customHeight="1">
      <c r="A203" s="12" t="e">
        <f>#REF!</f>
        <v>#REF!</v>
      </c>
      <c r="B203" s="2" t="e">
        <f>IF(A203="","",#REF!&amp;" "&amp;#REF!&amp;" "&amp;#REF!)</f>
        <v>#REF!</v>
      </c>
      <c r="C203" s="2" t="e">
        <f>#REF!</f>
        <v>#REF!</v>
      </c>
      <c r="D203" s="2" t="e">
        <f>#REF!</f>
        <v>#REF!</v>
      </c>
      <c r="E203" s="2"/>
      <c r="F203" s="2" t="e">
        <f>IF(A203="","",COUNTIF(#REF!,A203))</f>
        <v>#REF!</v>
      </c>
      <c r="G203" s="2" t="e">
        <f>IF(A203="","",COUNTIFS(#REF!,A203,#REF!,"Penal"))</f>
        <v>#REF!</v>
      </c>
      <c r="H203" s="2" t="e">
        <f>IF(A203="","",COUNTIFS(#REF!,A203,#REF!,"Autogol"))</f>
        <v>#REF!</v>
      </c>
      <c r="I203" s="2" t="e">
        <f>#REF!</f>
        <v>#REF!</v>
      </c>
    </row>
    <row r="204" spans="1:9" ht="18.399999999999999" customHeight="1">
      <c r="A204" s="12" t="e">
        <f>#REF!</f>
        <v>#REF!</v>
      </c>
      <c r="B204" s="2" t="e">
        <f>IF(A204="","",#REF!&amp;" "&amp;#REF!&amp;" "&amp;#REF!)</f>
        <v>#REF!</v>
      </c>
      <c r="C204" s="2" t="e">
        <f>#REF!</f>
        <v>#REF!</v>
      </c>
      <c r="D204" s="2" t="e">
        <f>#REF!</f>
        <v>#REF!</v>
      </c>
      <c r="E204" s="2"/>
      <c r="F204" s="2" t="e">
        <f>IF(A204="","",COUNTIF(#REF!,A204))</f>
        <v>#REF!</v>
      </c>
      <c r="G204" s="2" t="e">
        <f>IF(A204="","",COUNTIFS(#REF!,A204,#REF!,"Penal"))</f>
        <v>#REF!</v>
      </c>
      <c r="H204" s="2" t="e">
        <f>IF(A204="","",COUNTIFS(#REF!,A204,#REF!,"Autogol"))</f>
        <v>#REF!</v>
      </c>
      <c r="I204" s="2" t="e">
        <f>#REF!</f>
        <v>#REF!</v>
      </c>
    </row>
    <row r="205" spans="1:9" ht="18.399999999999999" customHeight="1">
      <c r="A205" s="12" t="e">
        <f>#REF!</f>
        <v>#REF!</v>
      </c>
      <c r="B205" s="2" t="e">
        <f>IF(A205="","",#REF!&amp;" "&amp;#REF!&amp;" "&amp;#REF!)</f>
        <v>#REF!</v>
      </c>
      <c r="C205" s="2" t="e">
        <f>#REF!</f>
        <v>#REF!</v>
      </c>
      <c r="D205" s="2" t="e">
        <f>#REF!</f>
        <v>#REF!</v>
      </c>
      <c r="E205" s="2"/>
      <c r="F205" s="2" t="e">
        <f>IF(A205="","",COUNTIF(#REF!,A205))</f>
        <v>#REF!</v>
      </c>
      <c r="G205" s="2" t="e">
        <f>IF(A205="","",COUNTIFS(#REF!,A205,#REF!,"Penal"))</f>
        <v>#REF!</v>
      </c>
      <c r="H205" s="2" t="e">
        <f>IF(A205="","",COUNTIFS(#REF!,A205,#REF!,"Autogol"))</f>
        <v>#REF!</v>
      </c>
      <c r="I205" s="2" t="e">
        <f>#REF!</f>
        <v>#REF!</v>
      </c>
    </row>
    <row r="206" spans="1:9" ht="18.399999999999999" customHeight="1">
      <c r="A206" s="12" t="e">
        <f>#REF!</f>
        <v>#REF!</v>
      </c>
      <c r="B206" s="2" t="e">
        <f>IF(A206="","",#REF!&amp;" "&amp;#REF!&amp;" "&amp;#REF!)</f>
        <v>#REF!</v>
      </c>
      <c r="C206" s="2" t="e">
        <f>#REF!</f>
        <v>#REF!</v>
      </c>
      <c r="D206" s="2" t="e">
        <f>#REF!</f>
        <v>#REF!</v>
      </c>
      <c r="E206" s="2"/>
      <c r="F206" s="2" t="e">
        <f>IF(A206="","",COUNTIF(#REF!,A206))</f>
        <v>#REF!</v>
      </c>
      <c r="G206" s="2" t="e">
        <f>IF(A206="","",COUNTIFS(#REF!,A206,#REF!,"Penal"))</f>
        <v>#REF!</v>
      </c>
      <c r="H206" s="2" t="e">
        <f>IF(A206="","",COUNTIFS(#REF!,A206,#REF!,"Autogol"))</f>
        <v>#REF!</v>
      </c>
      <c r="I206" s="2" t="e">
        <f>#REF!</f>
        <v>#REF!</v>
      </c>
    </row>
    <row r="207" spans="1:9" ht="18.399999999999999" customHeight="1">
      <c r="A207" s="12" t="e">
        <f>#REF!</f>
        <v>#REF!</v>
      </c>
      <c r="B207" s="2" t="e">
        <f>IF(A207="","",#REF!&amp;" "&amp;#REF!&amp;" "&amp;#REF!)</f>
        <v>#REF!</v>
      </c>
      <c r="C207" s="2" t="e">
        <f>#REF!</f>
        <v>#REF!</v>
      </c>
      <c r="D207" s="2" t="e">
        <f>#REF!</f>
        <v>#REF!</v>
      </c>
      <c r="E207" s="2"/>
      <c r="F207" s="2" t="e">
        <f>IF(A207="","",COUNTIF(#REF!,A207))</f>
        <v>#REF!</v>
      </c>
      <c r="G207" s="2" t="e">
        <f>IF(A207="","",COUNTIFS(#REF!,A207,#REF!,"Penal"))</f>
        <v>#REF!</v>
      </c>
      <c r="H207" s="2" t="e">
        <f>IF(A207="","",COUNTIFS(#REF!,A207,#REF!,"Autogol"))</f>
        <v>#REF!</v>
      </c>
      <c r="I207" s="2" t="e">
        <f>#REF!</f>
        <v>#REF!</v>
      </c>
    </row>
    <row r="208" spans="1:9" ht="18.399999999999999" customHeight="1">
      <c r="A208" s="12" t="e">
        <f>#REF!</f>
        <v>#REF!</v>
      </c>
      <c r="B208" s="2" t="e">
        <f>IF(A208="","",#REF!&amp;" "&amp;#REF!&amp;" "&amp;#REF!)</f>
        <v>#REF!</v>
      </c>
      <c r="C208" s="2" t="e">
        <f>#REF!</f>
        <v>#REF!</v>
      </c>
      <c r="D208" s="2" t="e">
        <f>#REF!</f>
        <v>#REF!</v>
      </c>
      <c r="E208" s="2"/>
      <c r="F208" s="2" t="e">
        <f>IF(A208="","",COUNTIF(#REF!,A208))</f>
        <v>#REF!</v>
      </c>
      <c r="G208" s="2" t="e">
        <f>IF(A208="","",COUNTIFS(#REF!,A208,#REF!,"Penal"))</f>
        <v>#REF!</v>
      </c>
      <c r="H208" s="2" t="e">
        <f>IF(A208="","",COUNTIFS(#REF!,A208,#REF!,"Autogol"))</f>
        <v>#REF!</v>
      </c>
      <c r="I208" s="2" t="e">
        <f>#REF!</f>
        <v>#REF!</v>
      </c>
    </row>
    <row r="209" spans="1:9" ht="18.399999999999999" customHeight="1">
      <c r="A209" s="12" t="e">
        <f>#REF!</f>
        <v>#REF!</v>
      </c>
      <c r="B209" s="2" t="e">
        <f>IF(A209="","",#REF!&amp;" "&amp;#REF!&amp;" "&amp;#REF!)</f>
        <v>#REF!</v>
      </c>
      <c r="C209" s="2" t="e">
        <f>#REF!</f>
        <v>#REF!</v>
      </c>
      <c r="D209" s="2" t="e">
        <f>#REF!</f>
        <v>#REF!</v>
      </c>
      <c r="E209" s="2"/>
      <c r="F209" s="2" t="e">
        <f>IF(A209="","",COUNTIF(#REF!,A209))</f>
        <v>#REF!</v>
      </c>
      <c r="G209" s="2" t="e">
        <f>IF(A209="","",COUNTIFS(#REF!,A209,#REF!,"Penal"))</f>
        <v>#REF!</v>
      </c>
      <c r="H209" s="2" t="e">
        <f>IF(A209="","",COUNTIFS(#REF!,A209,#REF!,"Autogol"))</f>
        <v>#REF!</v>
      </c>
      <c r="I209" s="2" t="e">
        <f>#REF!</f>
        <v>#REF!</v>
      </c>
    </row>
    <row r="210" spans="1:9" ht="18.399999999999999" customHeight="1">
      <c r="A210" s="12" t="e">
        <f>#REF!</f>
        <v>#REF!</v>
      </c>
      <c r="B210" s="2" t="e">
        <f>IF(A210="","",#REF!&amp;" "&amp;#REF!&amp;" "&amp;#REF!)</f>
        <v>#REF!</v>
      </c>
      <c r="C210" s="2" t="e">
        <f>#REF!</f>
        <v>#REF!</v>
      </c>
      <c r="D210" s="2" t="e">
        <f>#REF!</f>
        <v>#REF!</v>
      </c>
      <c r="E210" s="2"/>
      <c r="F210" s="2" t="e">
        <f>IF(A210="","",COUNTIF(#REF!,A210))</f>
        <v>#REF!</v>
      </c>
      <c r="G210" s="2" t="e">
        <f>IF(A210="","",COUNTIFS(#REF!,A210,#REF!,"Penal"))</f>
        <v>#REF!</v>
      </c>
      <c r="H210" s="2" t="e">
        <f>IF(A210="","",COUNTIFS(#REF!,A210,#REF!,"Autogol"))</f>
        <v>#REF!</v>
      </c>
      <c r="I210" s="2" t="e">
        <f>#REF!</f>
        <v>#REF!</v>
      </c>
    </row>
    <row r="211" spans="1:9" ht="18.399999999999999" customHeight="1">
      <c r="A211" s="12" t="e">
        <f>#REF!</f>
        <v>#REF!</v>
      </c>
      <c r="B211" s="2" t="e">
        <f>IF(A211="","",#REF!&amp;" "&amp;#REF!&amp;" "&amp;#REF!)</f>
        <v>#REF!</v>
      </c>
      <c r="C211" s="2" t="e">
        <f>#REF!</f>
        <v>#REF!</v>
      </c>
      <c r="D211" s="2" t="e">
        <f>#REF!</f>
        <v>#REF!</v>
      </c>
      <c r="E211" s="2"/>
      <c r="F211" s="2" t="e">
        <f>IF(A211="","",COUNTIF(#REF!,A211))</f>
        <v>#REF!</v>
      </c>
      <c r="G211" s="2" t="e">
        <f>IF(A211="","",COUNTIFS(#REF!,A211,#REF!,"Penal"))</f>
        <v>#REF!</v>
      </c>
      <c r="H211" s="2" t="e">
        <f>IF(A211="","",COUNTIFS(#REF!,A211,#REF!,"Autogol"))</f>
        <v>#REF!</v>
      </c>
      <c r="I211" s="2" t="e">
        <f>#REF!</f>
        <v>#REF!</v>
      </c>
    </row>
    <row r="212" spans="1:9" ht="18.399999999999999" customHeight="1">
      <c r="A212" s="12" t="e">
        <f>#REF!</f>
        <v>#REF!</v>
      </c>
      <c r="B212" s="2" t="e">
        <f>IF(A212="","",#REF!&amp;" "&amp;#REF!&amp;" "&amp;#REF!)</f>
        <v>#REF!</v>
      </c>
      <c r="C212" s="2" t="e">
        <f>#REF!</f>
        <v>#REF!</v>
      </c>
      <c r="D212" s="2" t="e">
        <f>#REF!</f>
        <v>#REF!</v>
      </c>
      <c r="E212" s="2"/>
      <c r="F212" s="2" t="e">
        <f>IF(A212="","",COUNTIF(#REF!,A212))</f>
        <v>#REF!</v>
      </c>
      <c r="G212" s="2" t="e">
        <f>IF(A212="","",COUNTIFS(#REF!,A212,#REF!,"Penal"))</f>
        <v>#REF!</v>
      </c>
      <c r="H212" s="2" t="e">
        <f>IF(A212="","",COUNTIFS(#REF!,A212,#REF!,"Autogol"))</f>
        <v>#REF!</v>
      </c>
      <c r="I212" s="2" t="e">
        <f>#REF!</f>
        <v>#REF!</v>
      </c>
    </row>
    <row r="213" spans="1:9" ht="18.399999999999999" customHeight="1">
      <c r="A213" s="12" t="e">
        <f>#REF!</f>
        <v>#REF!</v>
      </c>
      <c r="B213" s="2" t="e">
        <f>IF(A213="","",#REF!&amp;" "&amp;#REF!&amp;" "&amp;#REF!)</f>
        <v>#REF!</v>
      </c>
      <c r="C213" s="2" t="e">
        <f>#REF!</f>
        <v>#REF!</v>
      </c>
      <c r="D213" s="2" t="e">
        <f>#REF!</f>
        <v>#REF!</v>
      </c>
      <c r="E213" s="2"/>
      <c r="F213" s="2" t="e">
        <f>IF(A213="","",COUNTIF(#REF!,A213))</f>
        <v>#REF!</v>
      </c>
      <c r="G213" s="2" t="e">
        <f>IF(A213="","",COUNTIFS(#REF!,A213,#REF!,"Penal"))</f>
        <v>#REF!</v>
      </c>
      <c r="H213" s="2" t="e">
        <f>IF(A213="","",COUNTIFS(#REF!,A213,#REF!,"Autogol"))</f>
        <v>#REF!</v>
      </c>
      <c r="I213" s="2" t="e">
        <f>#REF!</f>
        <v>#REF!</v>
      </c>
    </row>
    <row r="214" spans="1:9" ht="18.399999999999999" customHeight="1">
      <c r="A214" s="12" t="e">
        <f>#REF!</f>
        <v>#REF!</v>
      </c>
      <c r="B214" s="2" t="e">
        <f>IF(A214="","",#REF!&amp;" "&amp;#REF!&amp;" "&amp;#REF!)</f>
        <v>#REF!</v>
      </c>
      <c r="C214" s="2" t="e">
        <f>#REF!</f>
        <v>#REF!</v>
      </c>
      <c r="D214" s="2" t="e">
        <f>#REF!</f>
        <v>#REF!</v>
      </c>
      <c r="E214" s="2"/>
      <c r="F214" s="2" t="e">
        <f>IF(A214="","",COUNTIF(#REF!,A214))</f>
        <v>#REF!</v>
      </c>
      <c r="G214" s="2" t="e">
        <f>IF(A214="","",COUNTIFS(#REF!,A214,#REF!,"Penal"))</f>
        <v>#REF!</v>
      </c>
      <c r="H214" s="2" t="e">
        <f>IF(A214="","",COUNTIFS(#REF!,A214,#REF!,"Autogol"))</f>
        <v>#REF!</v>
      </c>
      <c r="I214" s="2" t="e">
        <f>#REF!</f>
        <v>#REF!</v>
      </c>
    </row>
    <row r="215" spans="1:9" ht="18.399999999999999" customHeight="1">
      <c r="A215" s="12" t="e">
        <f>#REF!</f>
        <v>#REF!</v>
      </c>
      <c r="B215" s="2" t="e">
        <f>IF(A215="","",#REF!&amp;" "&amp;#REF!&amp;" "&amp;#REF!)</f>
        <v>#REF!</v>
      </c>
      <c r="C215" s="2" t="e">
        <f>#REF!</f>
        <v>#REF!</v>
      </c>
      <c r="D215" s="2" t="e">
        <f>#REF!</f>
        <v>#REF!</v>
      </c>
      <c r="E215" s="2"/>
      <c r="F215" s="2" t="e">
        <f>IF(A215="","",COUNTIF(#REF!,A215))</f>
        <v>#REF!</v>
      </c>
      <c r="G215" s="2" t="e">
        <f>IF(A215="","",COUNTIFS(#REF!,A215,#REF!,"Penal"))</f>
        <v>#REF!</v>
      </c>
      <c r="H215" s="2" t="e">
        <f>IF(A215="","",COUNTIFS(#REF!,A215,#REF!,"Autogol"))</f>
        <v>#REF!</v>
      </c>
      <c r="I215" s="2" t="e">
        <f>#REF!</f>
        <v>#REF!</v>
      </c>
    </row>
    <row r="216" spans="1:9" ht="18.399999999999999" customHeight="1">
      <c r="A216" s="12" t="e">
        <f>#REF!</f>
        <v>#REF!</v>
      </c>
      <c r="B216" s="2" t="e">
        <f>IF(A216="","",#REF!&amp;" "&amp;#REF!&amp;" "&amp;#REF!)</f>
        <v>#REF!</v>
      </c>
      <c r="C216" s="2" t="e">
        <f>#REF!</f>
        <v>#REF!</v>
      </c>
      <c r="D216" s="2" t="e">
        <f>#REF!</f>
        <v>#REF!</v>
      </c>
      <c r="E216" s="2"/>
      <c r="F216" s="2" t="e">
        <f>IF(A216="","",COUNTIF(#REF!,A216))</f>
        <v>#REF!</v>
      </c>
      <c r="G216" s="2" t="e">
        <f>IF(A216="","",COUNTIFS(#REF!,A216,#REF!,"Penal"))</f>
        <v>#REF!</v>
      </c>
      <c r="H216" s="2" t="e">
        <f>IF(A216="","",COUNTIFS(#REF!,A216,#REF!,"Autogol"))</f>
        <v>#REF!</v>
      </c>
      <c r="I216" s="2" t="e">
        <f>#REF!</f>
        <v>#REF!</v>
      </c>
    </row>
    <row r="217" spans="1:9" ht="18.399999999999999" customHeight="1">
      <c r="A217" s="12" t="e">
        <f>#REF!</f>
        <v>#REF!</v>
      </c>
      <c r="B217" s="2" t="e">
        <f>IF(A217="","",#REF!&amp;" "&amp;#REF!&amp;" "&amp;#REF!)</f>
        <v>#REF!</v>
      </c>
      <c r="C217" s="2" t="e">
        <f>#REF!</f>
        <v>#REF!</v>
      </c>
      <c r="D217" s="2" t="e">
        <f>#REF!</f>
        <v>#REF!</v>
      </c>
      <c r="E217" s="2"/>
      <c r="F217" s="2" t="e">
        <f>IF(A217="","",COUNTIF(#REF!,A217))</f>
        <v>#REF!</v>
      </c>
      <c r="G217" s="2" t="e">
        <f>IF(A217="","",COUNTIFS(#REF!,A217,#REF!,"Penal"))</f>
        <v>#REF!</v>
      </c>
      <c r="H217" s="2" t="e">
        <f>IF(A217="","",COUNTIFS(#REF!,A217,#REF!,"Autogol"))</f>
        <v>#REF!</v>
      </c>
      <c r="I217" s="2" t="e">
        <f>#REF!</f>
        <v>#REF!</v>
      </c>
    </row>
    <row r="218" spans="1:9" ht="18.399999999999999" customHeight="1">
      <c r="A218" s="12" t="e">
        <f>#REF!</f>
        <v>#REF!</v>
      </c>
      <c r="B218" s="2" t="e">
        <f>IF(A218="","",#REF!&amp;" "&amp;#REF!&amp;" "&amp;#REF!)</f>
        <v>#REF!</v>
      </c>
      <c r="C218" s="2" t="e">
        <f>#REF!</f>
        <v>#REF!</v>
      </c>
      <c r="D218" s="2" t="e">
        <f>#REF!</f>
        <v>#REF!</v>
      </c>
      <c r="E218" s="2"/>
      <c r="F218" s="2" t="e">
        <f>IF(A218="","",COUNTIF(#REF!,A218))</f>
        <v>#REF!</v>
      </c>
      <c r="G218" s="2" t="e">
        <f>IF(A218="","",COUNTIFS(#REF!,A218,#REF!,"Penal"))</f>
        <v>#REF!</v>
      </c>
      <c r="H218" s="2" t="e">
        <f>IF(A218="","",COUNTIFS(#REF!,A218,#REF!,"Autogol"))</f>
        <v>#REF!</v>
      </c>
      <c r="I218" s="2" t="e">
        <f>#REF!</f>
        <v>#REF!</v>
      </c>
    </row>
    <row r="219" spans="1:9" ht="18.399999999999999" customHeight="1">
      <c r="A219" s="12" t="e">
        <f>#REF!</f>
        <v>#REF!</v>
      </c>
      <c r="B219" s="2" t="e">
        <f>IF(A219="","",#REF!&amp;" "&amp;#REF!&amp;" "&amp;#REF!)</f>
        <v>#REF!</v>
      </c>
      <c r="C219" s="2" t="e">
        <f>#REF!</f>
        <v>#REF!</v>
      </c>
      <c r="D219" s="2" t="e">
        <f>#REF!</f>
        <v>#REF!</v>
      </c>
      <c r="E219" s="2"/>
      <c r="F219" s="2" t="e">
        <f>IF(A219="","",COUNTIF(#REF!,A219))</f>
        <v>#REF!</v>
      </c>
      <c r="G219" s="2" t="e">
        <f>IF(A219="","",COUNTIFS(#REF!,A219,#REF!,"Penal"))</f>
        <v>#REF!</v>
      </c>
      <c r="H219" s="2" t="e">
        <f>IF(A219="","",COUNTIFS(#REF!,A219,#REF!,"Autogol"))</f>
        <v>#REF!</v>
      </c>
      <c r="I219" s="2" t="e">
        <f>#REF!</f>
        <v>#REF!</v>
      </c>
    </row>
    <row r="220" spans="1:9" ht="18.399999999999999" customHeight="1">
      <c r="A220" s="12" t="e">
        <f>#REF!</f>
        <v>#REF!</v>
      </c>
      <c r="B220" s="2" t="e">
        <f>IF(A220="","",#REF!&amp;" "&amp;#REF!&amp;" "&amp;#REF!)</f>
        <v>#REF!</v>
      </c>
      <c r="C220" s="2" t="e">
        <f>#REF!</f>
        <v>#REF!</v>
      </c>
      <c r="D220" s="2" t="e">
        <f>#REF!</f>
        <v>#REF!</v>
      </c>
      <c r="E220" s="2"/>
      <c r="F220" s="2" t="e">
        <f>IF(A220="","",COUNTIF(#REF!,A220))</f>
        <v>#REF!</v>
      </c>
      <c r="G220" s="2" t="e">
        <f>IF(A220="","",COUNTIFS(#REF!,A220,#REF!,"Penal"))</f>
        <v>#REF!</v>
      </c>
      <c r="H220" s="2" t="e">
        <f>IF(A220="","",COUNTIFS(#REF!,A220,#REF!,"Autogol"))</f>
        <v>#REF!</v>
      </c>
      <c r="I220" s="2" t="e">
        <f>#REF!</f>
        <v>#REF!</v>
      </c>
    </row>
    <row r="221" spans="1:9" ht="18.399999999999999" customHeight="1">
      <c r="A221" s="12" t="e">
        <f>#REF!</f>
        <v>#REF!</v>
      </c>
      <c r="B221" s="2" t="e">
        <f>IF(A221="","",#REF!&amp;" "&amp;#REF!&amp;" "&amp;#REF!)</f>
        <v>#REF!</v>
      </c>
      <c r="C221" s="2" t="e">
        <f>#REF!</f>
        <v>#REF!</v>
      </c>
      <c r="D221" s="2" t="e">
        <f>#REF!</f>
        <v>#REF!</v>
      </c>
      <c r="E221" s="2"/>
      <c r="F221" s="2" t="e">
        <f>IF(A221="","",COUNTIF(#REF!,A221))</f>
        <v>#REF!</v>
      </c>
      <c r="G221" s="2" t="e">
        <f>IF(A221="","",COUNTIFS(#REF!,A221,#REF!,"Penal"))</f>
        <v>#REF!</v>
      </c>
      <c r="H221" s="2" t="e">
        <f>IF(A221="","",COUNTIFS(#REF!,A221,#REF!,"Autogol"))</f>
        <v>#REF!</v>
      </c>
      <c r="I221" s="2" t="e">
        <f>#REF!</f>
        <v>#REF!</v>
      </c>
    </row>
    <row r="222" spans="1:9" ht="18.399999999999999" customHeight="1">
      <c r="A222" s="12" t="e">
        <f>#REF!</f>
        <v>#REF!</v>
      </c>
      <c r="B222" s="2" t="e">
        <f>IF(A222="","",#REF!&amp;" "&amp;#REF!&amp;" "&amp;#REF!)</f>
        <v>#REF!</v>
      </c>
      <c r="C222" s="2" t="e">
        <f>#REF!</f>
        <v>#REF!</v>
      </c>
      <c r="D222" s="2" t="e">
        <f>#REF!</f>
        <v>#REF!</v>
      </c>
      <c r="E222" s="2"/>
      <c r="F222" s="2" t="e">
        <f>IF(A222="","",COUNTIF(#REF!,A222))</f>
        <v>#REF!</v>
      </c>
      <c r="G222" s="2" t="e">
        <f>IF(A222="","",COUNTIFS(#REF!,A222,#REF!,"Penal"))</f>
        <v>#REF!</v>
      </c>
      <c r="H222" s="2" t="e">
        <f>IF(A222="","",COUNTIFS(#REF!,A222,#REF!,"Autogol"))</f>
        <v>#REF!</v>
      </c>
      <c r="I222" s="2" t="e">
        <f>#REF!</f>
        <v>#REF!</v>
      </c>
    </row>
    <row r="223" spans="1:9" ht="18.399999999999999" customHeight="1">
      <c r="A223" s="12" t="e">
        <f>#REF!</f>
        <v>#REF!</v>
      </c>
      <c r="B223" s="2" t="e">
        <f>IF(A223="","",#REF!&amp;" "&amp;#REF!&amp;" "&amp;#REF!)</f>
        <v>#REF!</v>
      </c>
      <c r="C223" s="2" t="e">
        <f>#REF!</f>
        <v>#REF!</v>
      </c>
      <c r="D223" s="2" t="e">
        <f>#REF!</f>
        <v>#REF!</v>
      </c>
      <c r="E223" s="2"/>
      <c r="F223" s="2" t="e">
        <f>IF(A223="","",COUNTIF(#REF!,A223))</f>
        <v>#REF!</v>
      </c>
      <c r="G223" s="2" t="e">
        <f>IF(A223="","",COUNTIFS(#REF!,A223,#REF!,"Penal"))</f>
        <v>#REF!</v>
      </c>
      <c r="H223" s="2" t="e">
        <f>IF(A223="","",COUNTIFS(#REF!,A223,#REF!,"Autogol"))</f>
        <v>#REF!</v>
      </c>
      <c r="I223" s="2" t="e">
        <f>#REF!</f>
        <v>#REF!</v>
      </c>
    </row>
    <row r="224" spans="1:9" ht="18.399999999999999" customHeight="1">
      <c r="A224" s="12" t="e">
        <f>#REF!</f>
        <v>#REF!</v>
      </c>
      <c r="B224" s="2" t="e">
        <f>IF(A224="","",#REF!&amp;" "&amp;#REF!&amp;" "&amp;#REF!)</f>
        <v>#REF!</v>
      </c>
      <c r="C224" s="2" t="e">
        <f>#REF!</f>
        <v>#REF!</v>
      </c>
      <c r="D224" s="2" t="e">
        <f>#REF!</f>
        <v>#REF!</v>
      </c>
      <c r="E224" s="2"/>
      <c r="F224" s="2" t="e">
        <f>IF(A224="","",COUNTIF(#REF!,A224))</f>
        <v>#REF!</v>
      </c>
      <c r="G224" s="2" t="e">
        <f>IF(A224="","",COUNTIFS(#REF!,A224,#REF!,"Penal"))</f>
        <v>#REF!</v>
      </c>
      <c r="H224" s="2" t="e">
        <f>IF(A224="","",COUNTIFS(#REF!,A224,#REF!,"Autogol"))</f>
        <v>#REF!</v>
      </c>
      <c r="I224" s="2" t="e">
        <f>#REF!</f>
        <v>#REF!</v>
      </c>
    </row>
    <row r="225" spans="1:9" ht="18.399999999999999" customHeight="1">
      <c r="A225" s="12" t="e">
        <f>#REF!</f>
        <v>#REF!</v>
      </c>
      <c r="B225" s="2" t="e">
        <f>IF(A225="","",#REF!&amp;" "&amp;#REF!&amp;" "&amp;#REF!)</f>
        <v>#REF!</v>
      </c>
      <c r="C225" s="2" t="e">
        <f>#REF!</f>
        <v>#REF!</v>
      </c>
      <c r="D225" s="2" t="e">
        <f>#REF!</f>
        <v>#REF!</v>
      </c>
      <c r="E225" s="2"/>
      <c r="F225" s="2" t="e">
        <f>IF(A225="","",COUNTIF(#REF!,A225))</f>
        <v>#REF!</v>
      </c>
      <c r="G225" s="2" t="e">
        <f>IF(A225="","",COUNTIFS(#REF!,A225,#REF!,"Penal"))</f>
        <v>#REF!</v>
      </c>
      <c r="H225" s="2" t="e">
        <f>IF(A225="","",COUNTIFS(#REF!,A225,#REF!,"Autogol"))</f>
        <v>#REF!</v>
      </c>
      <c r="I225" s="2" t="e">
        <f>#REF!</f>
        <v>#REF!</v>
      </c>
    </row>
    <row r="226" spans="1:9" ht="18.399999999999999" customHeight="1">
      <c r="A226" s="12" t="e">
        <f>#REF!</f>
        <v>#REF!</v>
      </c>
      <c r="B226" s="2" t="e">
        <f>IF(A226="","",#REF!&amp;" "&amp;#REF!&amp;" "&amp;#REF!)</f>
        <v>#REF!</v>
      </c>
      <c r="C226" s="2" t="e">
        <f>#REF!</f>
        <v>#REF!</v>
      </c>
      <c r="D226" s="2" t="e">
        <f>#REF!</f>
        <v>#REF!</v>
      </c>
      <c r="E226" s="2"/>
      <c r="F226" s="2" t="e">
        <f>IF(A226="","",COUNTIF(#REF!,A226))</f>
        <v>#REF!</v>
      </c>
      <c r="G226" s="2" t="e">
        <f>IF(A226="","",COUNTIFS(#REF!,A226,#REF!,"Penal"))</f>
        <v>#REF!</v>
      </c>
      <c r="H226" s="2" t="e">
        <f>IF(A226="","",COUNTIFS(#REF!,A226,#REF!,"Autogol"))</f>
        <v>#REF!</v>
      </c>
      <c r="I226" s="2" t="e">
        <f>#REF!</f>
        <v>#REF!</v>
      </c>
    </row>
    <row r="227" spans="1:9" ht="18.399999999999999" customHeight="1">
      <c r="A227" s="12" t="e">
        <f>#REF!</f>
        <v>#REF!</v>
      </c>
      <c r="B227" s="2" t="e">
        <f>IF(A227="","",#REF!&amp;" "&amp;#REF!&amp;" "&amp;#REF!)</f>
        <v>#REF!</v>
      </c>
      <c r="C227" s="2" t="e">
        <f>#REF!</f>
        <v>#REF!</v>
      </c>
      <c r="D227" s="2" t="e">
        <f>#REF!</f>
        <v>#REF!</v>
      </c>
      <c r="E227" s="2"/>
      <c r="F227" s="2" t="e">
        <f>IF(A227="","",COUNTIF(#REF!,A227))</f>
        <v>#REF!</v>
      </c>
      <c r="G227" s="2" t="e">
        <f>IF(A227="","",COUNTIFS(#REF!,A227,#REF!,"Penal"))</f>
        <v>#REF!</v>
      </c>
      <c r="H227" s="2" t="e">
        <f>IF(A227="","",COUNTIFS(#REF!,A227,#REF!,"Autogol"))</f>
        <v>#REF!</v>
      </c>
      <c r="I227" s="2" t="e">
        <f>#REF!</f>
        <v>#REF!</v>
      </c>
    </row>
    <row r="228" spans="1:9" ht="18.399999999999999" customHeight="1">
      <c r="A228" s="12" t="e">
        <f>#REF!</f>
        <v>#REF!</v>
      </c>
      <c r="B228" s="2" t="e">
        <f>IF(A228="","",#REF!&amp;" "&amp;#REF!&amp;" "&amp;#REF!)</f>
        <v>#REF!</v>
      </c>
      <c r="C228" s="2" t="e">
        <f>#REF!</f>
        <v>#REF!</v>
      </c>
      <c r="D228" s="2" t="e">
        <f>#REF!</f>
        <v>#REF!</v>
      </c>
      <c r="E228" s="2"/>
      <c r="F228" s="2" t="e">
        <f>IF(A228="","",COUNTIF(#REF!,A228))</f>
        <v>#REF!</v>
      </c>
      <c r="G228" s="2" t="e">
        <f>IF(A228="","",COUNTIFS(#REF!,A228,#REF!,"Penal"))</f>
        <v>#REF!</v>
      </c>
      <c r="H228" s="2" t="e">
        <f>IF(A228="","",COUNTIFS(#REF!,A228,#REF!,"Autogol"))</f>
        <v>#REF!</v>
      </c>
      <c r="I228" s="2" t="e">
        <f>#REF!</f>
        <v>#REF!</v>
      </c>
    </row>
    <row r="229" spans="1:9" ht="18.399999999999999" customHeight="1">
      <c r="A229" s="12" t="e">
        <f>#REF!</f>
        <v>#REF!</v>
      </c>
      <c r="B229" s="2" t="e">
        <f>IF(A229="","",#REF!&amp;" "&amp;#REF!&amp;" "&amp;#REF!)</f>
        <v>#REF!</v>
      </c>
      <c r="C229" s="2" t="e">
        <f>#REF!</f>
        <v>#REF!</v>
      </c>
      <c r="D229" s="2" t="e">
        <f>#REF!</f>
        <v>#REF!</v>
      </c>
      <c r="E229" s="2"/>
      <c r="F229" s="2" t="e">
        <f>IF(A229="","",COUNTIF(#REF!,A229))</f>
        <v>#REF!</v>
      </c>
      <c r="G229" s="2" t="e">
        <f>IF(A229="","",COUNTIFS(#REF!,A229,#REF!,"Penal"))</f>
        <v>#REF!</v>
      </c>
      <c r="H229" s="2" t="e">
        <f>IF(A229="","",COUNTIFS(#REF!,A229,#REF!,"Autogol"))</f>
        <v>#REF!</v>
      </c>
      <c r="I229" s="2" t="e">
        <f>#REF!</f>
        <v>#REF!</v>
      </c>
    </row>
    <row r="230" spans="1:9" ht="18.399999999999999" customHeight="1">
      <c r="A230" s="12" t="e">
        <f>#REF!</f>
        <v>#REF!</v>
      </c>
      <c r="B230" s="2" t="e">
        <f>IF(A230="","",#REF!&amp;" "&amp;#REF!&amp;" "&amp;#REF!)</f>
        <v>#REF!</v>
      </c>
      <c r="C230" s="2" t="e">
        <f>#REF!</f>
        <v>#REF!</v>
      </c>
      <c r="D230" s="2" t="e">
        <f>#REF!</f>
        <v>#REF!</v>
      </c>
      <c r="E230" s="2"/>
      <c r="F230" s="2" t="e">
        <f>IF(A230="","",COUNTIF(#REF!,A230))</f>
        <v>#REF!</v>
      </c>
      <c r="G230" s="2" t="e">
        <f>IF(A230="","",COUNTIFS(#REF!,A230,#REF!,"Penal"))</f>
        <v>#REF!</v>
      </c>
      <c r="H230" s="2" t="e">
        <f>IF(A230="","",COUNTIFS(#REF!,A230,#REF!,"Autogol"))</f>
        <v>#REF!</v>
      </c>
      <c r="I230" s="2" t="e">
        <f>#REF!</f>
        <v>#REF!</v>
      </c>
    </row>
    <row r="231" spans="1:9" ht="18.399999999999999" customHeight="1">
      <c r="A231" s="12" t="e">
        <f>#REF!</f>
        <v>#REF!</v>
      </c>
      <c r="B231" s="2" t="e">
        <f>IF(A231="","",#REF!&amp;" "&amp;#REF!&amp;" "&amp;#REF!)</f>
        <v>#REF!</v>
      </c>
      <c r="C231" s="2" t="e">
        <f>#REF!</f>
        <v>#REF!</v>
      </c>
      <c r="D231" s="2" t="e">
        <f>#REF!</f>
        <v>#REF!</v>
      </c>
      <c r="E231" s="2"/>
      <c r="F231" s="2" t="e">
        <f>IF(A231="","",COUNTIF(#REF!,A231))</f>
        <v>#REF!</v>
      </c>
      <c r="G231" s="2" t="e">
        <f>IF(A231="","",COUNTIFS(#REF!,A231,#REF!,"Penal"))</f>
        <v>#REF!</v>
      </c>
      <c r="H231" s="2" t="e">
        <f>IF(A231="","",COUNTIFS(#REF!,A231,#REF!,"Autogol"))</f>
        <v>#REF!</v>
      </c>
      <c r="I231" s="2" t="e">
        <f>#REF!</f>
        <v>#REF!</v>
      </c>
    </row>
    <row r="232" spans="1:9" ht="18.399999999999999" customHeight="1">
      <c r="A232" s="12" t="e">
        <f>#REF!</f>
        <v>#REF!</v>
      </c>
      <c r="B232" s="2" t="e">
        <f>IF(A232="","",#REF!&amp;" "&amp;#REF!&amp;" "&amp;#REF!)</f>
        <v>#REF!</v>
      </c>
      <c r="C232" s="2" t="e">
        <f>#REF!</f>
        <v>#REF!</v>
      </c>
      <c r="D232" s="2" t="e">
        <f>#REF!</f>
        <v>#REF!</v>
      </c>
      <c r="E232" s="2"/>
      <c r="F232" s="2" t="e">
        <f>IF(A232="","",COUNTIF(#REF!,A232))</f>
        <v>#REF!</v>
      </c>
      <c r="G232" s="2" t="e">
        <f>IF(A232="","",COUNTIFS(#REF!,A232,#REF!,"Penal"))</f>
        <v>#REF!</v>
      </c>
      <c r="H232" s="2" t="e">
        <f>IF(A232="","",COUNTIFS(#REF!,A232,#REF!,"Autogol"))</f>
        <v>#REF!</v>
      </c>
      <c r="I232" s="2" t="e">
        <f>#REF!</f>
        <v>#REF!</v>
      </c>
    </row>
    <row r="233" spans="1:9" ht="18.399999999999999" customHeight="1">
      <c r="A233" s="12" t="e">
        <f>#REF!</f>
        <v>#REF!</v>
      </c>
      <c r="B233" s="2" t="e">
        <f>IF(A233="","",#REF!&amp;" "&amp;#REF!&amp;" "&amp;#REF!)</f>
        <v>#REF!</v>
      </c>
      <c r="C233" s="2" t="e">
        <f>#REF!</f>
        <v>#REF!</v>
      </c>
      <c r="D233" s="2" t="e">
        <f>#REF!</f>
        <v>#REF!</v>
      </c>
      <c r="E233" s="2"/>
      <c r="F233" s="2" t="e">
        <f>IF(A233="","",COUNTIF(#REF!,A233))</f>
        <v>#REF!</v>
      </c>
      <c r="G233" s="2" t="e">
        <f>IF(A233="","",COUNTIFS(#REF!,A233,#REF!,"Penal"))</f>
        <v>#REF!</v>
      </c>
      <c r="H233" s="2" t="e">
        <f>IF(A233="","",COUNTIFS(#REF!,A233,#REF!,"Autogol"))</f>
        <v>#REF!</v>
      </c>
      <c r="I233" s="2" t="e">
        <f>#REF!</f>
        <v>#REF!</v>
      </c>
    </row>
    <row r="234" spans="1:9" ht="18.399999999999999" customHeight="1">
      <c r="A234" s="12" t="e">
        <f>#REF!</f>
        <v>#REF!</v>
      </c>
      <c r="B234" s="2" t="e">
        <f>IF(A234="","",#REF!&amp;" "&amp;#REF!&amp;" "&amp;#REF!)</f>
        <v>#REF!</v>
      </c>
      <c r="C234" s="2" t="e">
        <f>#REF!</f>
        <v>#REF!</v>
      </c>
      <c r="D234" s="2" t="e">
        <f>#REF!</f>
        <v>#REF!</v>
      </c>
      <c r="E234" s="2"/>
      <c r="F234" s="2" t="e">
        <f>IF(A234="","",COUNTIF(#REF!,A234))</f>
        <v>#REF!</v>
      </c>
      <c r="G234" s="2" t="e">
        <f>IF(A234="","",COUNTIFS(#REF!,A234,#REF!,"Penal"))</f>
        <v>#REF!</v>
      </c>
      <c r="H234" s="2" t="e">
        <f>IF(A234="","",COUNTIFS(#REF!,A234,#REF!,"Autogol"))</f>
        <v>#REF!</v>
      </c>
      <c r="I234" s="2" t="e">
        <f>#REF!</f>
        <v>#REF!</v>
      </c>
    </row>
    <row r="235" spans="1:9" ht="18.399999999999999" customHeight="1">
      <c r="A235" s="12" t="e">
        <f>#REF!</f>
        <v>#REF!</v>
      </c>
      <c r="B235" s="2" t="e">
        <f>IF(A235="","",#REF!&amp;" "&amp;#REF!&amp;" "&amp;#REF!)</f>
        <v>#REF!</v>
      </c>
      <c r="C235" s="2" t="e">
        <f>#REF!</f>
        <v>#REF!</v>
      </c>
      <c r="D235" s="2" t="e">
        <f>#REF!</f>
        <v>#REF!</v>
      </c>
      <c r="E235" s="2"/>
      <c r="F235" s="2" t="e">
        <f>IF(A235="","",COUNTIF(#REF!,A235))</f>
        <v>#REF!</v>
      </c>
      <c r="G235" s="2" t="e">
        <f>IF(A235="","",COUNTIFS(#REF!,A235,#REF!,"Penal"))</f>
        <v>#REF!</v>
      </c>
      <c r="H235" s="2" t="e">
        <f>IF(A235="","",COUNTIFS(#REF!,A235,#REF!,"Autogol"))</f>
        <v>#REF!</v>
      </c>
      <c r="I235" s="2" t="e">
        <f>#REF!</f>
        <v>#REF!</v>
      </c>
    </row>
    <row r="236" spans="1:9" ht="18.399999999999999" customHeight="1">
      <c r="A236" s="12" t="e">
        <f>#REF!</f>
        <v>#REF!</v>
      </c>
      <c r="B236" s="2" t="e">
        <f>IF(A236="","",#REF!&amp;" "&amp;#REF!&amp;" "&amp;#REF!)</f>
        <v>#REF!</v>
      </c>
      <c r="C236" s="2" t="e">
        <f>#REF!</f>
        <v>#REF!</v>
      </c>
      <c r="D236" s="2" t="e">
        <f>#REF!</f>
        <v>#REF!</v>
      </c>
      <c r="E236" s="2"/>
      <c r="F236" s="2" t="e">
        <f>IF(A236="","",COUNTIF(#REF!,A236))</f>
        <v>#REF!</v>
      </c>
      <c r="G236" s="2" t="e">
        <f>IF(A236="","",COUNTIFS(#REF!,A236,#REF!,"Penal"))</f>
        <v>#REF!</v>
      </c>
      <c r="H236" s="2" t="e">
        <f>IF(A236="","",COUNTIFS(#REF!,A236,#REF!,"Autogol"))</f>
        <v>#REF!</v>
      </c>
      <c r="I236" s="2" t="e">
        <f>#REF!</f>
        <v>#REF!</v>
      </c>
    </row>
    <row r="237" spans="1:9" ht="18.399999999999999" customHeight="1">
      <c r="A237" s="12" t="e">
        <f>#REF!</f>
        <v>#REF!</v>
      </c>
      <c r="B237" s="2" t="e">
        <f>IF(A237="","",#REF!&amp;" "&amp;#REF!&amp;" "&amp;#REF!)</f>
        <v>#REF!</v>
      </c>
      <c r="C237" s="2" t="e">
        <f>#REF!</f>
        <v>#REF!</v>
      </c>
      <c r="D237" s="2" t="e">
        <f>#REF!</f>
        <v>#REF!</v>
      </c>
      <c r="E237" s="2"/>
      <c r="F237" s="2" t="e">
        <f>IF(A237="","",COUNTIF(#REF!,A237))</f>
        <v>#REF!</v>
      </c>
      <c r="G237" s="2" t="e">
        <f>IF(A237="","",COUNTIFS(#REF!,A237,#REF!,"Penal"))</f>
        <v>#REF!</v>
      </c>
      <c r="H237" s="2" t="e">
        <f>IF(A237="","",COUNTIFS(#REF!,A237,#REF!,"Autogol"))</f>
        <v>#REF!</v>
      </c>
      <c r="I237" s="2" t="e">
        <f>#REF!</f>
        <v>#REF!</v>
      </c>
    </row>
    <row r="238" spans="1:9" ht="18.399999999999999" customHeight="1">
      <c r="A238" s="12" t="e">
        <f>#REF!</f>
        <v>#REF!</v>
      </c>
      <c r="B238" s="2" t="e">
        <f>IF(A238="","",#REF!&amp;" "&amp;#REF!&amp;" "&amp;#REF!)</f>
        <v>#REF!</v>
      </c>
      <c r="C238" s="2" t="e">
        <f>#REF!</f>
        <v>#REF!</v>
      </c>
      <c r="D238" s="2" t="e">
        <f>#REF!</f>
        <v>#REF!</v>
      </c>
      <c r="E238" s="2"/>
      <c r="F238" s="2" t="e">
        <f>IF(A238="","",COUNTIF(#REF!,A238))</f>
        <v>#REF!</v>
      </c>
      <c r="G238" s="2" t="e">
        <f>IF(A238="","",COUNTIFS(#REF!,A238,#REF!,"Penal"))</f>
        <v>#REF!</v>
      </c>
      <c r="H238" s="2" t="e">
        <f>IF(A238="","",COUNTIFS(#REF!,A238,#REF!,"Autogol"))</f>
        <v>#REF!</v>
      </c>
      <c r="I238" s="2" t="e">
        <f>#REF!</f>
        <v>#REF!</v>
      </c>
    </row>
    <row r="239" spans="1:9" ht="18.399999999999999" customHeight="1">
      <c r="A239" s="12" t="e">
        <f>#REF!</f>
        <v>#REF!</v>
      </c>
      <c r="B239" s="2" t="e">
        <f>IF(A239="","",#REF!&amp;" "&amp;#REF!&amp;" "&amp;#REF!)</f>
        <v>#REF!</v>
      </c>
      <c r="C239" s="2" t="e">
        <f>#REF!</f>
        <v>#REF!</v>
      </c>
      <c r="D239" s="2" t="e">
        <f>#REF!</f>
        <v>#REF!</v>
      </c>
      <c r="E239" s="2"/>
      <c r="F239" s="2" t="e">
        <f>IF(A239="","",COUNTIF(#REF!,A239))</f>
        <v>#REF!</v>
      </c>
      <c r="G239" s="2" t="e">
        <f>IF(A239="","",COUNTIFS(#REF!,A239,#REF!,"Penal"))</f>
        <v>#REF!</v>
      </c>
      <c r="H239" s="2" t="e">
        <f>IF(A239="","",COUNTIFS(#REF!,A239,#REF!,"Autogol"))</f>
        <v>#REF!</v>
      </c>
      <c r="I239" s="2" t="e">
        <f>#REF!</f>
        <v>#REF!</v>
      </c>
    </row>
    <row r="240" spans="1:9" ht="18.399999999999999" customHeight="1">
      <c r="A240" s="12" t="e">
        <f>#REF!</f>
        <v>#REF!</v>
      </c>
      <c r="B240" s="2" t="e">
        <f>IF(A240="","",#REF!&amp;" "&amp;#REF!&amp;" "&amp;#REF!)</f>
        <v>#REF!</v>
      </c>
      <c r="C240" s="2" t="e">
        <f>#REF!</f>
        <v>#REF!</v>
      </c>
      <c r="D240" s="2" t="e">
        <f>#REF!</f>
        <v>#REF!</v>
      </c>
      <c r="E240" s="2"/>
      <c r="F240" s="2" t="e">
        <f>IF(A240="","",COUNTIF(#REF!,A240))</f>
        <v>#REF!</v>
      </c>
      <c r="G240" s="2" t="e">
        <f>IF(A240="","",COUNTIFS(#REF!,A240,#REF!,"Penal"))</f>
        <v>#REF!</v>
      </c>
      <c r="H240" s="2" t="e">
        <f>IF(A240="","",COUNTIFS(#REF!,A240,#REF!,"Autogol"))</f>
        <v>#REF!</v>
      </c>
      <c r="I240" s="2" t="e">
        <f>#REF!</f>
        <v>#REF!</v>
      </c>
    </row>
    <row r="241" spans="1:9" ht="18.399999999999999" customHeight="1">
      <c r="A241" s="12" t="e">
        <f>#REF!</f>
        <v>#REF!</v>
      </c>
      <c r="B241" s="2" t="e">
        <f>IF(A241="","",#REF!&amp;" "&amp;#REF!&amp;" "&amp;#REF!)</f>
        <v>#REF!</v>
      </c>
      <c r="C241" s="2" t="e">
        <f>#REF!</f>
        <v>#REF!</v>
      </c>
      <c r="D241" s="2" t="e">
        <f>#REF!</f>
        <v>#REF!</v>
      </c>
      <c r="E241" s="2"/>
      <c r="F241" s="2" t="e">
        <f>IF(A241="","",COUNTIF(#REF!,A241))</f>
        <v>#REF!</v>
      </c>
      <c r="G241" s="2" t="e">
        <f>IF(A241="","",COUNTIFS(#REF!,A241,#REF!,"Penal"))</f>
        <v>#REF!</v>
      </c>
      <c r="H241" s="2" t="e">
        <f>IF(A241="","",COUNTIFS(#REF!,A241,#REF!,"Autogol"))</f>
        <v>#REF!</v>
      </c>
      <c r="I241" s="2" t="e">
        <f>#REF!</f>
        <v>#REF!</v>
      </c>
    </row>
    <row r="242" spans="1:9" ht="18.399999999999999" customHeight="1">
      <c r="A242" s="12" t="e">
        <f>#REF!</f>
        <v>#REF!</v>
      </c>
      <c r="B242" s="2" t="e">
        <f>IF(A242="","",#REF!&amp;" "&amp;#REF!&amp;" "&amp;#REF!)</f>
        <v>#REF!</v>
      </c>
      <c r="C242" s="2" t="e">
        <f>#REF!</f>
        <v>#REF!</v>
      </c>
      <c r="D242" s="2" t="e">
        <f>#REF!</f>
        <v>#REF!</v>
      </c>
      <c r="E242" s="2"/>
      <c r="F242" s="2" t="e">
        <f>IF(A242="","",COUNTIF(#REF!,A242))</f>
        <v>#REF!</v>
      </c>
      <c r="G242" s="2" t="e">
        <f>IF(A242="","",COUNTIFS(#REF!,A242,#REF!,"Penal"))</f>
        <v>#REF!</v>
      </c>
      <c r="H242" s="2" t="e">
        <f>IF(A242="","",COUNTIFS(#REF!,A242,#REF!,"Autogol"))</f>
        <v>#REF!</v>
      </c>
      <c r="I242" s="2" t="e">
        <f>#REF!</f>
        <v>#REF!</v>
      </c>
    </row>
    <row r="243" spans="1:9" ht="18.399999999999999" customHeight="1">
      <c r="A243" s="12" t="e">
        <f>#REF!</f>
        <v>#REF!</v>
      </c>
      <c r="B243" s="2" t="e">
        <f>IF(A243="","",#REF!&amp;" "&amp;#REF!&amp;" "&amp;#REF!)</f>
        <v>#REF!</v>
      </c>
      <c r="C243" s="2" t="e">
        <f>#REF!</f>
        <v>#REF!</v>
      </c>
      <c r="D243" s="2" t="e">
        <f>#REF!</f>
        <v>#REF!</v>
      </c>
      <c r="E243" s="2"/>
      <c r="F243" s="2" t="e">
        <f>IF(A243="","",COUNTIF(#REF!,A243))</f>
        <v>#REF!</v>
      </c>
      <c r="G243" s="2" t="e">
        <f>IF(A243="","",COUNTIFS(#REF!,A243,#REF!,"Penal"))</f>
        <v>#REF!</v>
      </c>
      <c r="H243" s="2" t="e">
        <f>IF(A243="","",COUNTIFS(#REF!,A243,#REF!,"Autogol"))</f>
        <v>#REF!</v>
      </c>
      <c r="I243" s="2" t="e">
        <f>#REF!</f>
        <v>#REF!</v>
      </c>
    </row>
    <row r="244" spans="1:9" ht="18.399999999999999" customHeight="1">
      <c r="A244" s="12" t="e">
        <f>#REF!</f>
        <v>#REF!</v>
      </c>
      <c r="B244" s="2" t="e">
        <f>IF(A244="","",#REF!&amp;" "&amp;#REF!&amp;" "&amp;#REF!)</f>
        <v>#REF!</v>
      </c>
      <c r="C244" s="2" t="e">
        <f>#REF!</f>
        <v>#REF!</v>
      </c>
      <c r="D244" s="2" t="e">
        <f>#REF!</f>
        <v>#REF!</v>
      </c>
      <c r="E244" s="2"/>
      <c r="F244" s="2" t="e">
        <f>IF(A244="","",COUNTIF(#REF!,A244))</f>
        <v>#REF!</v>
      </c>
      <c r="G244" s="2" t="e">
        <f>IF(A244="","",COUNTIFS(#REF!,A244,#REF!,"Penal"))</f>
        <v>#REF!</v>
      </c>
      <c r="H244" s="2" t="e">
        <f>IF(A244="","",COUNTIFS(#REF!,A244,#REF!,"Autogol"))</f>
        <v>#REF!</v>
      </c>
      <c r="I244" s="2" t="e">
        <f>#REF!</f>
        <v>#REF!</v>
      </c>
    </row>
    <row r="245" spans="1:9" ht="18.399999999999999" customHeight="1">
      <c r="A245" s="12" t="e">
        <f>#REF!</f>
        <v>#REF!</v>
      </c>
      <c r="B245" s="2" t="e">
        <f>IF(A245="","",#REF!&amp;" "&amp;#REF!&amp;" "&amp;#REF!)</f>
        <v>#REF!</v>
      </c>
      <c r="C245" s="2" t="e">
        <f>#REF!</f>
        <v>#REF!</v>
      </c>
      <c r="D245" s="2" t="e">
        <f>#REF!</f>
        <v>#REF!</v>
      </c>
      <c r="E245" s="2"/>
      <c r="F245" s="2" t="e">
        <f>IF(A245="","",COUNTIF(#REF!,A245))</f>
        <v>#REF!</v>
      </c>
      <c r="G245" s="2" t="e">
        <f>IF(A245="","",COUNTIFS(#REF!,A245,#REF!,"Penal"))</f>
        <v>#REF!</v>
      </c>
      <c r="H245" s="2" t="e">
        <f>IF(A245="","",COUNTIFS(#REF!,A245,#REF!,"Autogol"))</f>
        <v>#REF!</v>
      </c>
      <c r="I245" s="2" t="e">
        <f>#REF!</f>
        <v>#REF!</v>
      </c>
    </row>
    <row r="246" spans="1:9" ht="18.399999999999999" customHeight="1">
      <c r="A246" s="12" t="e">
        <f>#REF!</f>
        <v>#REF!</v>
      </c>
      <c r="B246" s="2" t="e">
        <f>IF(A246="","",#REF!&amp;" "&amp;#REF!&amp;" "&amp;#REF!)</f>
        <v>#REF!</v>
      </c>
      <c r="C246" s="2" t="e">
        <f>#REF!</f>
        <v>#REF!</v>
      </c>
      <c r="D246" s="2" t="e">
        <f>#REF!</f>
        <v>#REF!</v>
      </c>
      <c r="E246" s="2"/>
      <c r="F246" s="2" t="e">
        <f>IF(A246="","",COUNTIF(#REF!,A246))</f>
        <v>#REF!</v>
      </c>
      <c r="G246" s="2" t="e">
        <f>IF(A246="","",COUNTIFS(#REF!,A246,#REF!,"Penal"))</f>
        <v>#REF!</v>
      </c>
      <c r="H246" s="2" t="e">
        <f>IF(A246="","",COUNTIFS(#REF!,A246,#REF!,"Autogol"))</f>
        <v>#REF!</v>
      </c>
      <c r="I246" s="2" t="e">
        <f>#REF!</f>
        <v>#REF!</v>
      </c>
    </row>
    <row r="247" spans="1:9" ht="18.399999999999999" customHeight="1">
      <c r="A247" s="12" t="e">
        <f>#REF!</f>
        <v>#REF!</v>
      </c>
      <c r="B247" s="2" t="e">
        <f>IF(A247="","",#REF!&amp;" "&amp;#REF!&amp;" "&amp;#REF!)</f>
        <v>#REF!</v>
      </c>
      <c r="C247" s="2" t="e">
        <f>#REF!</f>
        <v>#REF!</v>
      </c>
      <c r="D247" s="2" t="e">
        <f>#REF!</f>
        <v>#REF!</v>
      </c>
      <c r="E247" s="2"/>
      <c r="F247" s="2" t="e">
        <f>IF(A247="","",COUNTIF(#REF!,A247))</f>
        <v>#REF!</v>
      </c>
      <c r="G247" s="2" t="e">
        <f>IF(A247="","",COUNTIFS(#REF!,A247,#REF!,"Penal"))</f>
        <v>#REF!</v>
      </c>
      <c r="H247" s="2" t="e">
        <f>IF(A247="","",COUNTIFS(#REF!,A247,#REF!,"Autogol"))</f>
        <v>#REF!</v>
      </c>
      <c r="I247" s="2" t="e">
        <f>#REF!</f>
        <v>#REF!</v>
      </c>
    </row>
    <row r="248" spans="1:9" ht="18.399999999999999" customHeight="1">
      <c r="A248" s="12" t="e">
        <f>#REF!</f>
        <v>#REF!</v>
      </c>
      <c r="B248" s="2" t="e">
        <f>IF(A248="","",#REF!&amp;" "&amp;#REF!&amp;" "&amp;#REF!)</f>
        <v>#REF!</v>
      </c>
      <c r="C248" s="2" t="e">
        <f>#REF!</f>
        <v>#REF!</v>
      </c>
      <c r="D248" s="2" t="e">
        <f>#REF!</f>
        <v>#REF!</v>
      </c>
      <c r="E248" s="2"/>
      <c r="F248" s="2" t="e">
        <f>IF(A248="","",COUNTIF(#REF!,A248))</f>
        <v>#REF!</v>
      </c>
      <c r="G248" s="2" t="e">
        <f>IF(A248="","",COUNTIFS(#REF!,A248,#REF!,"Penal"))</f>
        <v>#REF!</v>
      </c>
      <c r="H248" s="2" t="e">
        <f>IF(A248="","",COUNTIFS(#REF!,A248,#REF!,"Autogol"))</f>
        <v>#REF!</v>
      </c>
      <c r="I248" s="2" t="e">
        <f>#REF!</f>
        <v>#REF!</v>
      </c>
    </row>
    <row r="249" spans="1:9" ht="18.399999999999999" customHeight="1">
      <c r="A249" s="12" t="e">
        <f>#REF!</f>
        <v>#REF!</v>
      </c>
      <c r="B249" s="2" t="e">
        <f>IF(A249="","",#REF!&amp;" "&amp;#REF!&amp;" "&amp;#REF!)</f>
        <v>#REF!</v>
      </c>
      <c r="C249" s="2" t="e">
        <f>#REF!</f>
        <v>#REF!</v>
      </c>
      <c r="D249" s="2" t="e">
        <f>#REF!</f>
        <v>#REF!</v>
      </c>
      <c r="E249" s="2"/>
      <c r="F249" s="2" t="e">
        <f>IF(A249="","",COUNTIF(#REF!,A249))</f>
        <v>#REF!</v>
      </c>
      <c r="G249" s="2" t="e">
        <f>IF(A249="","",COUNTIFS(#REF!,A249,#REF!,"Penal"))</f>
        <v>#REF!</v>
      </c>
      <c r="H249" s="2" t="e">
        <f>IF(A249="","",COUNTIFS(#REF!,A249,#REF!,"Autogol"))</f>
        <v>#REF!</v>
      </c>
      <c r="I249" s="2" t="e">
        <f>#REF!</f>
        <v>#REF!</v>
      </c>
    </row>
    <row r="250" spans="1:9" ht="18.399999999999999" customHeight="1">
      <c r="A250" s="12" t="e">
        <f>#REF!</f>
        <v>#REF!</v>
      </c>
      <c r="B250" s="2" t="e">
        <f>IF(A250="","",#REF!&amp;" "&amp;#REF!&amp;" "&amp;#REF!)</f>
        <v>#REF!</v>
      </c>
      <c r="C250" s="2" t="e">
        <f>#REF!</f>
        <v>#REF!</v>
      </c>
      <c r="D250" s="2" t="e">
        <f>#REF!</f>
        <v>#REF!</v>
      </c>
      <c r="E250" s="2"/>
      <c r="F250" s="2" t="e">
        <f>IF(A250="","",COUNTIF(#REF!,A250))</f>
        <v>#REF!</v>
      </c>
      <c r="G250" s="2" t="e">
        <f>IF(A250="","",COUNTIFS(#REF!,A250,#REF!,"Penal"))</f>
        <v>#REF!</v>
      </c>
      <c r="H250" s="2" t="e">
        <f>IF(A250="","",COUNTIFS(#REF!,A250,#REF!,"Autogol"))</f>
        <v>#REF!</v>
      </c>
      <c r="I250" s="2" t="e">
        <f>#REF!</f>
        <v>#REF!</v>
      </c>
    </row>
    <row r="251" spans="1:9" ht="18.399999999999999" customHeight="1">
      <c r="A251" s="12" t="e">
        <f>#REF!</f>
        <v>#REF!</v>
      </c>
      <c r="B251" s="2" t="e">
        <f>IF(A251="","",#REF!&amp;" "&amp;#REF!&amp;" "&amp;#REF!)</f>
        <v>#REF!</v>
      </c>
      <c r="C251" s="2" t="e">
        <f>#REF!</f>
        <v>#REF!</v>
      </c>
      <c r="D251" s="2" t="e">
        <f>#REF!</f>
        <v>#REF!</v>
      </c>
      <c r="E251" s="2"/>
      <c r="F251" s="2" t="e">
        <f>IF(A251="","",COUNTIF(#REF!,A251))</f>
        <v>#REF!</v>
      </c>
      <c r="G251" s="2" t="e">
        <f>IF(A251="","",COUNTIFS(#REF!,A251,#REF!,"Penal"))</f>
        <v>#REF!</v>
      </c>
      <c r="H251" s="2" t="e">
        <f>IF(A251="","",COUNTIFS(#REF!,A251,#REF!,"Autogol"))</f>
        <v>#REF!</v>
      </c>
      <c r="I251" s="2" t="e">
        <f>#REF!</f>
        <v>#REF!</v>
      </c>
    </row>
    <row r="252" spans="1:9" ht="18.399999999999999" customHeight="1">
      <c r="A252" s="12" t="e">
        <f>#REF!</f>
        <v>#REF!</v>
      </c>
      <c r="B252" s="2" t="e">
        <f>IF(A252="","",#REF!&amp;" "&amp;#REF!&amp;" "&amp;#REF!)</f>
        <v>#REF!</v>
      </c>
      <c r="C252" s="2" t="e">
        <f>#REF!</f>
        <v>#REF!</v>
      </c>
      <c r="D252" s="2" t="e">
        <f>#REF!</f>
        <v>#REF!</v>
      </c>
      <c r="E252" s="2"/>
      <c r="F252" s="2" t="e">
        <f>IF(A252="","",COUNTIF(#REF!,A252))</f>
        <v>#REF!</v>
      </c>
      <c r="G252" s="2" t="e">
        <f>IF(A252="","",COUNTIFS(#REF!,A252,#REF!,"Penal"))</f>
        <v>#REF!</v>
      </c>
      <c r="H252" s="2" t="e">
        <f>IF(A252="","",COUNTIFS(#REF!,A252,#REF!,"Autogol"))</f>
        <v>#REF!</v>
      </c>
      <c r="I252" s="2" t="e">
        <f>#REF!</f>
        <v>#REF!</v>
      </c>
    </row>
    <row r="253" spans="1:9" ht="18.399999999999999" customHeight="1">
      <c r="A253" s="12" t="e">
        <f>#REF!</f>
        <v>#REF!</v>
      </c>
      <c r="B253" s="2" t="e">
        <f>IF(A253="","",#REF!&amp;" "&amp;#REF!&amp;" "&amp;#REF!)</f>
        <v>#REF!</v>
      </c>
      <c r="C253" s="2" t="e">
        <f>#REF!</f>
        <v>#REF!</v>
      </c>
      <c r="D253" s="2" t="e">
        <f>#REF!</f>
        <v>#REF!</v>
      </c>
      <c r="E253" s="2"/>
      <c r="F253" s="2" t="e">
        <f>IF(A253="","",COUNTIF(#REF!,A253))</f>
        <v>#REF!</v>
      </c>
      <c r="G253" s="2" t="e">
        <f>IF(A253="","",COUNTIFS(#REF!,A253,#REF!,"Penal"))</f>
        <v>#REF!</v>
      </c>
      <c r="H253" s="2" t="e">
        <f>IF(A253="","",COUNTIFS(#REF!,A253,#REF!,"Autogol"))</f>
        <v>#REF!</v>
      </c>
      <c r="I253" s="2" t="e">
        <f>#REF!</f>
        <v>#REF!</v>
      </c>
    </row>
    <row r="254" spans="1:9" ht="18.399999999999999" customHeight="1">
      <c r="A254" s="12" t="e">
        <f>#REF!</f>
        <v>#REF!</v>
      </c>
      <c r="B254" s="2" t="e">
        <f>IF(A254="","",#REF!&amp;" "&amp;#REF!&amp;" "&amp;#REF!)</f>
        <v>#REF!</v>
      </c>
      <c r="C254" s="2" t="e">
        <f>#REF!</f>
        <v>#REF!</v>
      </c>
      <c r="D254" s="2" t="e">
        <f>#REF!</f>
        <v>#REF!</v>
      </c>
      <c r="E254" s="2"/>
      <c r="F254" s="2" t="e">
        <f>IF(A254="","",COUNTIF(#REF!,A254))</f>
        <v>#REF!</v>
      </c>
      <c r="G254" s="2" t="e">
        <f>IF(A254="","",COUNTIFS(#REF!,A254,#REF!,"Penal"))</f>
        <v>#REF!</v>
      </c>
      <c r="H254" s="2" t="e">
        <f>IF(A254="","",COUNTIFS(#REF!,A254,#REF!,"Autogol"))</f>
        <v>#REF!</v>
      </c>
      <c r="I254" s="2" t="e">
        <f>#REF!</f>
        <v>#REF!</v>
      </c>
    </row>
    <row r="255" spans="1:9" ht="18.399999999999999" customHeight="1">
      <c r="A255" s="12" t="e">
        <f>#REF!</f>
        <v>#REF!</v>
      </c>
      <c r="B255" s="2" t="e">
        <f>IF(A255="","",#REF!&amp;" "&amp;#REF!&amp;" "&amp;#REF!)</f>
        <v>#REF!</v>
      </c>
      <c r="C255" s="2" t="e">
        <f>#REF!</f>
        <v>#REF!</v>
      </c>
      <c r="D255" s="2" t="e">
        <f>#REF!</f>
        <v>#REF!</v>
      </c>
      <c r="E255" s="2"/>
      <c r="F255" s="2" t="e">
        <f>IF(A255="","",COUNTIF(#REF!,A255))</f>
        <v>#REF!</v>
      </c>
      <c r="G255" s="2" t="e">
        <f>IF(A255="","",COUNTIFS(#REF!,A255,#REF!,"Penal"))</f>
        <v>#REF!</v>
      </c>
      <c r="H255" s="2" t="e">
        <f>IF(A255="","",COUNTIFS(#REF!,A255,#REF!,"Autogol"))</f>
        <v>#REF!</v>
      </c>
      <c r="I255" s="2" t="e">
        <f>#REF!</f>
        <v>#REF!</v>
      </c>
    </row>
    <row r="256" spans="1:9" ht="18.399999999999999" customHeight="1">
      <c r="A256" s="12" t="e">
        <f>#REF!</f>
        <v>#REF!</v>
      </c>
      <c r="B256" s="2" t="e">
        <f>IF(A256="","",#REF!&amp;" "&amp;#REF!&amp;" "&amp;#REF!)</f>
        <v>#REF!</v>
      </c>
      <c r="C256" s="2" t="e">
        <f>#REF!</f>
        <v>#REF!</v>
      </c>
      <c r="D256" s="2" t="e">
        <f>#REF!</f>
        <v>#REF!</v>
      </c>
      <c r="E256" s="2"/>
      <c r="F256" s="2" t="e">
        <f>IF(A256="","",COUNTIF(#REF!,A256))</f>
        <v>#REF!</v>
      </c>
      <c r="G256" s="2" t="e">
        <f>IF(A256="","",COUNTIFS(#REF!,A256,#REF!,"Penal"))</f>
        <v>#REF!</v>
      </c>
      <c r="H256" s="2" t="e">
        <f>IF(A256="","",COUNTIFS(#REF!,A256,#REF!,"Autogol"))</f>
        <v>#REF!</v>
      </c>
      <c r="I256" s="2" t="e">
        <f>#REF!</f>
        <v>#REF!</v>
      </c>
    </row>
    <row r="257" spans="1:9" ht="18.399999999999999" customHeight="1">
      <c r="A257" s="12" t="e">
        <f>#REF!</f>
        <v>#REF!</v>
      </c>
      <c r="B257" s="2" t="e">
        <f>IF(A257="","",#REF!&amp;" "&amp;#REF!&amp;" "&amp;#REF!)</f>
        <v>#REF!</v>
      </c>
      <c r="C257" s="2" t="e">
        <f>#REF!</f>
        <v>#REF!</v>
      </c>
      <c r="D257" s="2" t="e">
        <f>#REF!</f>
        <v>#REF!</v>
      </c>
      <c r="E257" s="2"/>
      <c r="F257" s="2" t="e">
        <f>IF(A257="","",COUNTIF(#REF!,A257))</f>
        <v>#REF!</v>
      </c>
      <c r="G257" s="2" t="e">
        <f>IF(A257="","",COUNTIFS(#REF!,A257,#REF!,"Penal"))</f>
        <v>#REF!</v>
      </c>
      <c r="H257" s="2" t="e">
        <f>IF(A257="","",COUNTIFS(#REF!,A257,#REF!,"Autogol"))</f>
        <v>#REF!</v>
      </c>
      <c r="I257" s="2" t="e">
        <f>#REF!</f>
        <v>#REF!</v>
      </c>
    </row>
    <row r="258" spans="1:9" ht="18.399999999999999" customHeight="1">
      <c r="A258" s="12" t="e">
        <f>#REF!</f>
        <v>#REF!</v>
      </c>
      <c r="B258" s="2" t="e">
        <f>IF(A258="","",#REF!&amp;" "&amp;#REF!&amp;" "&amp;#REF!)</f>
        <v>#REF!</v>
      </c>
      <c r="C258" s="2" t="e">
        <f>#REF!</f>
        <v>#REF!</v>
      </c>
      <c r="D258" s="2" t="e">
        <f>#REF!</f>
        <v>#REF!</v>
      </c>
      <c r="E258" s="2"/>
      <c r="F258" s="2" t="e">
        <f>IF(A258="","",COUNTIF(#REF!,A258))</f>
        <v>#REF!</v>
      </c>
      <c r="G258" s="2" t="e">
        <f>IF(A258="","",COUNTIFS(#REF!,A258,#REF!,"Penal"))</f>
        <v>#REF!</v>
      </c>
      <c r="H258" s="2" t="e">
        <f>IF(A258="","",COUNTIFS(#REF!,A258,#REF!,"Autogol"))</f>
        <v>#REF!</v>
      </c>
      <c r="I258" s="2" t="e">
        <f>#REF!</f>
        <v>#REF!</v>
      </c>
    </row>
    <row r="259" spans="1:9" ht="18.399999999999999" customHeight="1">
      <c r="A259" s="12" t="e">
        <f>#REF!</f>
        <v>#REF!</v>
      </c>
      <c r="B259" s="2" t="e">
        <f>IF(A259="","",#REF!&amp;" "&amp;#REF!&amp;" "&amp;#REF!)</f>
        <v>#REF!</v>
      </c>
      <c r="C259" s="2" t="e">
        <f>#REF!</f>
        <v>#REF!</v>
      </c>
      <c r="D259" s="2" t="e">
        <f>#REF!</f>
        <v>#REF!</v>
      </c>
      <c r="E259" s="2"/>
      <c r="F259" s="2" t="e">
        <f>IF(A259="","",COUNTIF(#REF!,A259))</f>
        <v>#REF!</v>
      </c>
      <c r="G259" s="2" t="e">
        <f>IF(A259="","",COUNTIFS(#REF!,A259,#REF!,"Penal"))</f>
        <v>#REF!</v>
      </c>
      <c r="H259" s="2" t="e">
        <f>IF(A259="","",COUNTIFS(#REF!,A259,#REF!,"Autogol"))</f>
        <v>#REF!</v>
      </c>
      <c r="I259" s="2" t="e">
        <f>#REF!</f>
        <v>#REF!</v>
      </c>
    </row>
    <row r="260" spans="1:9" ht="18.399999999999999" customHeight="1">
      <c r="A260" s="12" t="e">
        <f>#REF!</f>
        <v>#REF!</v>
      </c>
      <c r="B260" s="2" t="e">
        <f>IF(A260="","",#REF!&amp;" "&amp;#REF!&amp;" "&amp;#REF!)</f>
        <v>#REF!</v>
      </c>
      <c r="C260" s="2" t="e">
        <f>#REF!</f>
        <v>#REF!</v>
      </c>
      <c r="D260" s="2" t="e">
        <f>#REF!</f>
        <v>#REF!</v>
      </c>
      <c r="E260" s="2"/>
      <c r="F260" s="2" t="e">
        <f>IF(A260="","",COUNTIF(#REF!,A260))</f>
        <v>#REF!</v>
      </c>
      <c r="G260" s="2" t="e">
        <f>IF(A260="","",COUNTIFS(#REF!,A260,#REF!,"Penal"))</f>
        <v>#REF!</v>
      </c>
      <c r="H260" s="2" t="e">
        <f>IF(A260="","",COUNTIFS(#REF!,A260,#REF!,"Autogol"))</f>
        <v>#REF!</v>
      </c>
      <c r="I260" s="2" t="e">
        <f>#REF!</f>
        <v>#REF!</v>
      </c>
    </row>
    <row r="261" spans="1:9" ht="18.399999999999999" customHeight="1">
      <c r="A261" s="12" t="e">
        <f>#REF!</f>
        <v>#REF!</v>
      </c>
      <c r="B261" s="2" t="e">
        <f>IF(A261="","",#REF!&amp;" "&amp;#REF!&amp;" "&amp;#REF!)</f>
        <v>#REF!</v>
      </c>
      <c r="C261" s="2" t="e">
        <f>#REF!</f>
        <v>#REF!</v>
      </c>
      <c r="D261" s="2" t="e">
        <f>#REF!</f>
        <v>#REF!</v>
      </c>
      <c r="E261" s="2"/>
      <c r="F261" s="2" t="e">
        <f>IF(A261="","",COUNTIF(#REF!,A261))</f>
        <v>#REF!</v>
      </c>
      <c r="G261" s="2" t="e">
        <f>IF(A261="","",COUNTIFS(#REF!,A261,#REF!,"Penal"))</f>
        <v>#REF!</v>
      </c>
      <c r="H261" s="2" t="e">
        <f>IF(A261="","",COUNTIFS(#REF!,A261,#REF!,"Autogol"))</f>
        <v>#REF!</v>
      </c>
      <c r="I261" s="2" t="e">
        <f>#REF!</f>
        <v>#REF!</v>
      </c>
    </row>
    <row r="262" spans="1:9" ht="18.399999999999999" customHeight="1">
      <c r="A262" s="12" t="e">
        <f>#REF!</f>
        <v>#REF!</v>
      </c>
      <c r="B262" s="2" t="e">
        <f>IF(A262="","",#REF!&amp;" "&amp;#REF!&amp;" "&amp;#REF!)</f>
        <v>#REF!</v>
      </c>
      <c r="C262" s="2" t="e">
        <f>#REF!</f>
        <v>#REF!</v>
      </c>
      <c r="D262" s="2" t="e">
        <f>#REF!</f>
        <v>#REF!</v>
      </c>
      <c r="E262" s="2"/>
      <c r="F262" s="2" t="e">
        <f>IF(A262="","",COUNTIF(#REF!,A262))</f>
        <v>#REF!</v>
      </c>
      <c r="G262" s="2" t="e">
        <f>IF(A262="","",COUNTIFS(#REF!,A262,#REF!,"Penal"))</f>
        <v>#REF!</v>
      </c>
      <c r="H262" s="2" t="e">
        <f>IF(A262="","",COUNTIFS(#REF!,A262,#REF!,"Autogol"))</f>
        <v>#REF!</v>
      </c>
      <c r="I262" s="2" t="e">
        <f>#REF!</f>
        <v>#REF!</v>
      </c>
    </row>
    <row r="263" spans="1:9" ht="18.399999999999999" customHeight="1">
      <c r="A263" s="12" t="e">
        <f>#REF!</f>
        <v>#REF!</v>
      </c>
      <c r="B263" s="2" t="e">
        <f>IF(A263="","",#REF!&amp;" "&amp;#REF!&amp;" "&amp;#REF!)</f>
        <v>#REF!</v>
      </c>
      <c r="C263" s="2" t="e">
        <f>#REF!</f>
        <v>#REF!</v>
      </c>
      <c r="D263" s="2" t="e">
        <f>#REF!</f>
        <v>#REF!</v>
      </c>
      <c r="E263" s="2"/>
      <c r="F263" s="2" t="e">
        <f>IF(A263="","",COUNTIF(#REF!,A263))</f>
        <v>#REF!</v>
      </c>
      <c r="G263" s="2" t="e">
        <f>IF(A263="","",COUNTIFS(#REF!,A263,#REF!,"Penal"))</f>
        <v>#REF!</v>
      </c>
      <c r="H263" s="2" t="e">
        <f>IF(A263="","",COUNTIFS(#REF!,A263,#REF!,"Autogol"))</f>
        <v>#REF!</v>
      </c>
      <c r="I263" s="2" t="e">
        <f>#REF!</f>
        <v>#REF!</v>
      </c>
    </row>
    <row r="264" spans="1:9" ht="18.399999999999999" customHeight="1">
      <c r="A264" s="12" t="e">
        <f>#REF!</f>
        <v>#REF!</v>
      </c>
      <c r="B264" s="2" t="e">
        <f>IF(A264="","",#REF!&amp;" "&amp;#REF!&amp;" "&amp;#REF!)</f>
        <v>#REF!</v>
      </c>
      <c r="C264" s="2" t="e">
        <f>#REF!</f>
        <v>#REF!</v>
      </c>
      <c r="D264" s="2" t="e">
        <f>#REF!</f>
        <v>#REF!</v>
      </c>
      <c r="E264" s="2"/>
      <c r="F264" s="2" t="e">
        <f>IF(A264="","",COUNTIF(#REF!,A264))</f>
        <v>#REF!</v>
      </c>
      <c r="G264" s="2" t="e">
        <f>IF(A264="","",COUNTIFS(#REF!,A264,#REF!,"Penal"))</f>
        <v>#REF!</v>
      </c>
      <c r="H264" s="2" t="e">
        <f>IF(A264="","",COUNTIFS(#REF!,A264,#REF!,"Autogol"))</f>
        <v>#REF!</v>
      </c>
      <c r="I264" s="2" t="e">
        <f>#REF!</f>
        <v>#REF!</v>
      </c>
    </row>
    <row r="265" spans="1:9" ht="18.399999999999999" customHeight="1">
      <c r="A265" s="12" t="e">
        <f>#REF!</f>
        <v>#REF!</v>
      </c>
      <c r="B265" s="2" t="e">
        <f>IF(A265="","",#REF!&amp;" "&amp;#REF!&amp;" "&amp;#REF!)</f>
        <v>#REF!</v>
      </c>
      <c r="C265" s="2" t="e">
        <f>#REF!</f>
        <v>#REF!</v>
      </c>
      <c r="D265" s="2" t="e">
        <f>#REF!</f>
        <v>#REF!</v>
      </c>
      <c r="E265" s="2"/>
      <c r="F265" s="2" t="e">
        <f>IF(A265="","",COUNTIF(#REF!,A265))</f>
        <v>#REF!</v>
      </c>
      <c r="G265" s="2" t="e">
        <f>IF(A265="","",COUNTIFS(#REF!,A265,#REF!,"Penal"))</f>
        <v>#REF!</v>
      </c>
      <c r="H265" s="2" t="e">
        <f>IF(A265="","",COUNTIFS(#REF!,A265,#REF!,"Autogol"))</f>
        <v>#REF!</v>
      </c>
      <c r="I265" s="2" t="e">
        <f>#REF!</f>
        <v>#REF!</v>
      </c>
    </row>
    <row r="266" spans="1:9" ht="18.399999999999999" customHeight="1">
      <c r="A266" s="12" t="e">
        <f>#REF!</f>
        <v>#REF!</v>
      </c>
      <c r="B266" s="2" t="e">
        <f>IF(A266="","",#REF!&amp;" "&amp;#REF!&amp;" "&amp;#REF!)</f>
        <v>#REF!</v>
      </c>
      <c r="C266" s="2" t="e">
        <f>#REF!</f>
        <v>#REF!</v>
      </c>
      <c r="D266" s="2" t="e">
        <f>#REF!</f>
        <v>#REF!</v>
      </c>
      <c r="E266" s="2"/>
      <c r="F266" s="2" t="e">
        <f>IF(A266="","",COUNTIF(#REF!,A266))</f>
        <v>#REF!</v>
      </c>
      <c r="G266" s="2" t="e">
        <f>IF(A266="","",COUNTIFS(#REF!,A266,#REF!,"Penal"))</f>
        <v>#REF!</v>
      </c>
      <c r="H266" s="2" t="e">
        <f>IF(A266="","",COUNTIFS(#REF!,A266,#REF!,"Autogol"))</f>
        <v>#REF!</v>
      </c>
      <c r="I266" s="2" t="e">
        <f>#REF!</f>
        <v>#REF!</v>
      </c>
    </row>
    <row r="267" spans="1:9" ht="18.399999999999999" customHeight="1">
      <c r="A267" s="12" t="e">
        <f>#REF!</f>
        <v>#REF!</v>
      </c>
      <c r="B267" s="2" t="e">
        <f>IF(A267="","",#REF!&amp;" "&amp;#REF!&amp;" "&amp;#REF!)</f>
        <v>#REF!</v>
      </c>
      <c r="C267" s="2" t="e">
        <f>#REF!</f>
        <v>#REF!</v>
      </c>
      <c r="D267" s="2" t="e">
        <f>#REF!</f>
        <v>#REF!</v>
      </c>
      <c r="E267" s="2"/>
      <c r="F267" s="2" t="e">
        <f>IF(A267="","",COUNTIF(#REF!,A267))</f>
        <v>#REF!</v>
      </c>
      <c r="G267" s="2" t="e">
        <f>IF(A267="","",COUNTIFS(#REF!,A267,#REF!,"Penal"))</f>
        <v>#REF!</v>
      </c>
      <c r="H267" s="2" t="e">
        <f>IF(A267="","",COUNTIFS(#REF!,A267,#REF!,"Autogol"))</f>
        <v>#REF!</v>
      </c>
      <c r="I267" s="2" t="e">
        <f>#REF!</f>
        <v>#REF!</v>
      </c>
    </row>
    <row r="268" spans="1:9" ht="18.399999999999999" customHeight="1">
      <c r="A268" s="12" t="e">
        <f>#REF!</f>
        <v>#REF!</v>
      </c>
      <c r="B268" s="2" t="e">
        <f>IF(A268="","",#REF!&amp;" "&amp;#REF!&amp;" "&amp;#REF!)</f>
        <v>#REF!</v>
      </c>
      <c r="C268" s="2" t="e">
        <f>#REF!</f>
        <v>#REF!</v>
      </c>
      <c r="D268" s="2" t="e">
        <f>#REF!</f>
        <v>#REF!</v>
      </c>
      <c r="E268" s="2"/>
      <c r="F268" s="2" t="e">
        <f>IF(A268="","",COUNTIF(#REF!,A268))</f>
        <v>#REF!</v>
      </c>
      <c r="G268" s="2" t="e">
        <f>IF(A268="","",COUNTIFS(#REF!,A268,#REF!,"Penal"))</f>
        <v>#REF!</v>
      </c>
      <c r="H268" s="2" t="e">
        <f>IF(A268="","",COUNTIFS(#REF!,A268,#REF!,"Autogol"))</f>
        <v>#REF!</v>
      </c>
      <c r="I268" s="2" t="e">
        <f>#REF!</f>
        <v>#REF!</v>
      </c>
    </row>
    <row r="269" spans="1:9" ht="18.399999999999999" customHeight="1">
      <c r="A269" s="12" t="e">
        <f>#REF!</f>
        <v>#REF!</v>
      </c>
      <c r="B269" s="2" t="e">
        <f>IF(A269="","",#REF!&amp;" "&amp;#REF!&amp;" "&amp;#REF!)</f>
        <v>#REF!</v>
      </c>
      <c r="C269" s="2" t="e">
        <f>#REF!</f>
        <v>#REF!</v>
      </c>
      <c r="D269" s="2" t="e">
        <f>#REF!</f>
        <v>#REF!</v>
      </c>
      <c r="E269" s="2"/>
      <c r="F269" s="2" t="e">
        <f>IF(A269="","",COUNTIF(#REF!,A269))</f>
        <v>#REF!</v>
      </c>
      <c r="G269" s="2" t="e">
        <f>IF(A269="","",COUNTIFS(#REF!,A269,#REF!,"Penal"))</f>
        <v>#REF!</v>
      </c>
      <c r="H269" s="2" t="e">
        <f>IF(A269="","",COUNTIFS(#REF!,A269,#REF!,"Autogol"))</f>
        <v>#REF!</v>
      </c>
      <c r="I269" s="2" t="e">
        <f>#REF!</f>
        <v>#REF!</v>
      </c>
    </row>
    <row r="270" spans="1:9" ht="18.399999999999999" customHeight="1">
      <c r="A270" s="12" t="e">
        <f>#REF!</f>
        <v>#REF!</v>
      </c>
      <c r="B270" s="2" t="e">
        <f>IF(A270="","",#REF!&amp;" "&amp;#REF!&amp;" "&amp;#REF!)</f>
        <v>#REF!</v>
      </c>
      <c r="C270" s="2" t="e">
        <f>#REF!</f>
        <v>#REF!</v>
      </c>
      <c r="D270" s="2" t="e">
        <f>#REF!</f>
        <v>#REF!</v>
      </c>
      <c r="E270" s="2"/>
      <c r="F270" s="2" t="e">
        <f>IF(A270="","",COUNTIF(#REF!,A270))</f>
        <v>#REF!</v>
      </c>
      <c r="G270" s="2" t="e">
        <f>IF(A270="","",COUNTIFS(#REF!,A270,#REF!,"Penal"))</f>
        <v>#REF!</v>
      </c>
      <c r="H270" s="2" t="e">
        <f>IF(A270="","",COUNTIFS(#REF!,A270,#REF!,"Autogol"))</f>
        <v>#REF!</v>
      </c>
      <c r="I270" s="2" t="e">
        <f>#REF!</f>
        <v>#REF!</v>
      </c>
    </row>
    <row r="271" spans="1:9" ht="18.399999999999999" customHeight="1">
      <c r="A271" s="12" t="e">
        <f>#REF!</f>
        <v>#REF!</v>
      </c>
      <c r="B271" s="2" t="e">
        <f>IF(A271="","",#REF!&amp;" "&amp;#REF!&amp;" "&amp;#REF!)</f>
        <v>#REF!</v>
      </c>
      <c r="C271" s="2" t="e">
        <f>#REF!</f>
        <v>#REF!</v>
      </c>
      <c r="D271" s="2" t="e">
        <f>#REF!</f>
        <v>#REF!</v>
      </c>
      <c r="E271" s="2"/>
      <c r="F271" s="2" t="e">
        <f>IF(A271="","",COUNTIF(#REF!,A271))</f>
        <v>#REF!</v>
      </c>
      <c r="G271" s="2" t="e">
        <f>IF(A271="","",COUNTIFS(#REF!,A271,#REF!,"Penal"))</f>
        <v>#REF!</v>
      </c>
      <c r="H271" s="2" t="e">
        <f>IF(A271="","",COUNTIFS(#REF!,A271,#REF!,"Autogol"))</f>
        <v>#REF!</v>
      </c>
      <c r="I271" s="2" t="e">
        <f>#REF!</f>
        <v>#REF!</v>
      </c>
    </row>
    <row r="272" spans="1:9" ht="18.399999999999999" customHeight="1">
      <c r="A272" s="12" t="e">
        <f>#REF!</f>
        <v>#REF!</v>
      </c>
      <c r="B272" s="2" t="e">
        <f>IF(A272="","",#REF!&amp;" "&amp;#REF!&amp;" "&amp;#REF!)</f>
        <v>#REF!</v>
      </c>
      <c r="C272" s="2" t="e">
        <f>#REF!</f>
        <v>#REF!</v>
      </c>
      <c r="D272" s="2" t="e">
        <f>#REF!</f>
        <v>#REF!</v>
      </c>
      <c r="E272" s="2"/>
      <c r="F272" s="2" t="e">
        <f>IF(A272="","",COUNTIF(#REF!,A272))</f>
        <v>#REF!</v>
      </c>
      <c r="G272" s="2" t="e">
        <f>IF(A272="","",COUNTIFS(#REF!,A272,#REF!,"Penal"))</f>
        <v>#REF!</v>
      </c>
      <c r="H272" s="2" t="e">
        <f>IF(A272="","",COUNTIFS(#REF!,A272,#REF!,"Autogol"))</f>
        <v>#REF!</v>
      </c>
      <c r="I272" s="2" t="e">
        <f>#REF!</f>
        <v>#REF!</v>
      </c>
    </row>
    <row r="273" spans="1:9" ht="18.399999999999999" customHeight="1">
      <c r="A273" s="12" t="e">
        <f>#REF!</f>
        <v>#REF!</v>
      </c>
      <c r="B273" s="2" t="e">
        <f>IF(A273="","",#REF!&amp;" "&amp;#REF!&amp;" "&amp;#REF!)</f>
        <v>#REF!</v>
      </c>
      <c r="C273" s="2" t="e">
        <f>#REF!</f>
        <v>#REF!</v>
      </c>
      <c r="D273" s="2" t="e">
        <f>#REF!</f>
        <v>#REF!</v>
      </c>
      <c r="E273" s="2"/>
      <c r="F273" s="2" t="e">
        <f>IF(A273="","",COUNTIF(#REF!,A273))</f>
        <v>#REF!</v>
      </c>
      <c r="G273" s="2" t="e">
        <f>IF(A273="","",COUNTIFS(#REF!,A273,#REF!,"Penal"))</f>
        <v>#REF!</v>
      </c>
      <c r="H273" s="2" t="e">
        <f>IF(A273="","",COUNTIFS(#REF!,A273,#REF!,"Autogol"))</f>
        <v>#REF!</v>
      </c>
      <c r="I273" s="2" t="e">
        <f>#REF!</f>
        <v>#REF!</v>
      </c>
    </row>
    <row r="274" spans="1:9" ht="18.399999999999999" customHeight="1">
      <c r="A274" s="12" t="e">
        <f>#REF!</f>
        <v>#REF!</v>
      </c>
      <c r="B274" s="2" t="e">
        <f>IF(A274="","",#REF!&amp;" "&amp;#REF!&amp;" "&amp;#REF!)</f>
        <v>#REF!</v>
      </c>
      <c r="C274" s="2" t="e">
        <f>#REF!</f>
        <v>#REF!</v>
      </c>
      <c r="D274" s="2" t="e">
        <f>#REF!</f>
        <v>#REF!</v>
      </c>
      <c r="E274" s="2"/>
      <c r="F274" s="2" t="e">
        <f>IF(A274="","",COUNTIF(#REF!,A274))</f>
        <v>#REF!</v>
      </c>
      <c r="G274" s="2" t="e">
        <f>IF(A274="","",COUNTIFS(#REF!,A274,#REF!,"Penal"))</f>
        <v>#REF!</v>
      </c>
      <c r="H274" s="2" t="e">
        <f>IF(A274="","",COUNTIFS(#REF!,A274,#REF!,"Autogol"))</f>
        <v>#REF!</v>
      </c>
      <c r="I274" s="2" t="e">
        <f>#REF!</f>
        <v>#REF!</v>
      </c>
    </row>
    <row r="275" spans="1:9" ht="18.399999999999999" customHeight="1">
      <c r="A275" s="12" t="e">
        <f>#REF!</f>
        <v>#REF!</v>
      </c>
      <c r="B275" s="2" t="e">
        <f>IF(A275="","",#REF!&amp;" "&amp;#REF!&amp;" "&amp;#REF!)</f>
        <v>#REF!</v>
      </c>
      <c r="C275" s="2" t="e">
        <f>#REF!</f>
        <v>#REF!</v>
      </c>
      <c r="D275" s="2" t="e">
        <f>#REF!</f>
        <v>#REF!</v>
      </c>
      <c r="E275" s="2"/>
      <c r="F275" s="2" t="e">
        <f>IF(A275="","",COUNTIF(#REF!,A275))</f>
        <v>#REF!</v>
      </c>
      <c r="G275" s="2" t="e">
        <f>IF(A275="","",COUNTIFS(#REF!,A275,#REF!,"Penal"))</f>
        <v>#REF!</v>
      </c>
      <c r="H275" s="2" t="e">
        <f>IF(A275="","",COUNTIFS(#REF!,A275,#REF!,"Autogol"))</f>
        <v>#REF!</v>
      </c>
      <c r="I275" s="2" t="e">
        <f>#REF!</f>
        <v>#REF!</v>
      </c>
    </row>
    <row r="276" spans="1:9" ht="18.399999999999999" customHeight="1">
      <c r="A276" s="12" t="e">
        <f>#REF!</f>
        <v>#REF!</v>
      </c>
      <c r="B276" s="2" t="e">
        <f>IF(A276="","",#REF!&amp;" "&amp;#REF!&amp;" "&amp;#REF!)</f>
        <v>#REF!</v>
      </c>
      <c r="C276" s="2" t="e">
        <f>#REF!</f>
        <v>#REF!</v>
      </c>
      <c r="D276" s="2" t="e">
        <f>#REF!</f>
        <v>#REF!</v>
      </c>
      <c r="E276" s="2"/>
      <c r="F276" s="2" t="e">
        <f>IF(A276="","",COUNTIF(#REF!,A276))</f>
        <v>#REF!</v>
      </c>
      <c r="G276" s="2" t="e">
        <f>IF(A276="","",COUNTIFS(#REF!,A276,#REF!,"Penal"))</f>
        <v>#REF!</v>
      </c>
      <c r="H276" s="2" t="e">
        <f>IF(A276="","",COUNTIFS(#REF!,A276,#REF!,"Autogol"))</f>
        <v>#REF!</v>
      </c>
      <c r="I276" s="2" t="e">
        <f>#REF!</f>
        <v>#REF!</v>
      </c>
    </row>
    <row r="277" spans="1:9" ht="18.399999999999999" customHeight="1">
      <c r="A277" s="12" t="e">
        <f>#REF!</f>
        <v>#REF!</v>
      </c>
      <c r="B277" s="2" t="e">
        <f>IF(A277="","",#REF!&amp;" "&amp;#REF!&amp;" "&amp;#REF!)</f>
        <v>#REF!</v>
      </c>
      <c r="C277" s="2" t="e">
        <f>#REF!</f>
        <v>#REF!</v>
      </c>
      <c r="D277" s="2" t="e">
        <f>#REF!</f>
        <v>#REF!</v>
      </c>
      <c r="E277" s="2"/>
      <c r="F277" s="2" t="e">
        <f>IF(A277="","",COUNTIF(#REF!,A277))</f>
        <v>#REF!</v>
      </c>
      <c r="G277" s="2" t="e">
        <f>IF(A277="","",COUNTIFS(#REF!,A277,#REF!,"Penal"))</f>
        <v>#REF!</v>
      </c>
      <c r="H277" s="2" t="e">
        <f>IF(A277="","",COUNTIFS(#REF!,A277,#REF!,"Autogol"))</f>
        <v>#REF!</v>
      </c>
      <c r="I277" s="2" t="e">
        <f>#REF!</f>
        <v>#REF!</v>
      </c>
    </row>
    <row r="278" spans="1:9" ht="18.399999999999999" customHeight="1">
      <c r="A278" s="12" t="e">
        <f>#REF!</f>
        <v>#REF!</v>
      </c>
      <c r="B278" s="2" t="e">
        <f>IF(A278="","",#REF!&amp;" "&amp;#REF!&amp;" "&amp;#REF!)</f>
        <v>#REF!</v>
      </c>
      <c r="C278" s="2" t="e">
        <f>#REF!</f>
        <v>#REF!</v>
      </c>
      <c r="D278" s="2" t="e">
        <f>#REF!</f>
        <v>#REF!</v>
      </c>
      <c r="E278" s="2"/>
      <c r="F278" s="2" t="e">
        <f>IF(A278="","",COUNTIF(#REF!,A278))</f>
        <v>#REF!</v>
      </c>
      <c r="G278" s="2" t="e">
        <f>IF(A278="","",COUNTIFS(#REF!,A278,#REF!,"Penal"))</f>
        <v>#REF!</v>
      </c>
      <c r="H278" s="2" t="e">
        <f>IF(A278="","",COUNTIFS(#REF!,A278,#REF!,"Autogol"))</f>
        <v>#REF!</v>
      </c>
      <c r="I278" s="2" t="e">
        <f>#REF!</f>
        <v>#REF!</v>
      </c>
    </row>
    <row r="279" spans="1:9" ht="18.399999999999999" customHeight="1">
      <c r="A279" s="12" t="e">
        <f>#REF!</f>
        <v>#REF!</v>
      </c>
      <c r="B279" s="2" t="e">
        <f>IF(A279="","",#REF!&amp;" "&amp;#REF!&amp;" "&amp;#REF!)</f>
        <v>#REF!</v>
      </c>
      <c r="C279" s="2" t="e">
        <f>#REF!</f>
        <v>#REF!</v>
      </c>
      <c r="D279" s="2" t="e">
        <f>#REF!</f>
        <v>#REF!</v>
      </c>
      <c r="E279" s="2"/>
      <c r="F279" s="2" t="e">
        <f>IF(A279="","",COUNTIF(#REF!,A279))</f>
        <v>#REF!</v>
      </c>
      <c r="G279" s="2" t="e">
        <f>IF(A279="","",COUNTIFS(#REF!,A279,#REF!,"Penal"))</f>
        <v>#REF!</v>
      </c>
      <c r="H279" s="2" t="e">
        <f>IF(A279="","",COUNTIFS(#REF!,A279,#REF!,"Autogol"))</f>
        <v>#REF!</v>
      </c>
      <c r="I279" s="2" t="e">
        <f>#REF!</f>
        <v>#REF!</v>
      </c>
    </row>
    <row r="280" spans="1:9" ht="18.399999999999999" customHeight="1">
      <c r="A280" s="12" t="e">
        <f>#REF!</f>
        <v>#REF!</v>
      </c>
      <c r="B280" s="2" t="e">
        <f>IF(A280="","",#REF!&amp;" "&amp;#REF!&amp;" "&amp;#REF!)</f>
        <v>#REF!</v>
      </c>
      <c r="C280" s="2" t="e">
        <f>#REF!</f>
        <v>#REF!</v>
      </c>
      <c r="D280" s="2" t="e">
        <f>#REF!</f>
        <v>#REF!</v>
      </c>
      <c r="E280" s="2"/>
      <c r="F280" s="2" t="e">
        <f>IF(A280="","",COUNTIF(#REF!,A280))</f>
        <v>#REF!</v>
      </c>
      <c r="G280" s="2" t="e">
        <f>IF(A280="","",COUNTIFS(#REF!,A280,#REF!,"Penal"))</f>
        <v>#REF!</v>
      </c>
      <c r="H280" s="2" t="e">
        <f>IF(A280="","",COUNTIFS(#REF!,A280,#REF!,"Autogol"))</f>
        <v>#REF!</v>
      </c>
      <c r="I280" s="2" t="e">
        <f>#REF!</f>
        <v>#REF!</v>
      </c>
    </row>
    <row r="281" spans="1:9" ht="18.399999999999999" customHeight="1">
      <c r="A281" s="12" t="e">
        <f>#REF!</f>
        <v>#REF!</v>
      </c>
      <c r="B281" s="2" t="e">
        <f>IF(A281="","",#REF!&amp;" "&amp;#REF!&amp;" "&amp;#REF!)</f>
        <v>#REF!</v>
      </c>
      <c r="C281" s="2" t="e">
        <f>#REF!</f>
        <v>#REF!</v>
      </c>
      <c r="D281" s="2" t="e">
        <f>#REF!</f>
        <v>#REF!</v>
      </c>
      <c r="E281" s="2"/>
      <c r="F281" s="2" t="e">
        <f>IF(A281="","",COUNTIF(#REF!,A281))</f>
        <v>#REF!</v>
      </c>
      <c r="G281" s="2" t="e">
        <f>IF(A281="","",COUNTIFS(#REF!,A281,#REF!,"Penal"))</f>
        <v>#REF!</v>
      </c>
      <c r="H281" s="2" t="e">
        <f>IF(A281="","",COUNTIFS(#REF!,A281,#REF!,"Autogol"))</f>
        <v>#REF!</v>
      </c>
      <c r="I281" s="2" t="e">
        <f>#REF!</f>
        <v>#REF!</v>
      </c>
    </row>
    <row r="282" spans="1:9" ht="18.399999999999999" customHeight="1">
      <c r="A282" s="12" t="e">
        <f>#REF!</f>
        <v>#REF!</v>
      </c>
      <c r="B282" s="2" t="e">
        <f>IF(A282="","",#REF!&amp;" "&amp;#REF!&amp;" "&amp;#REF!)</f>
        <v>#REF!</v>
      </c>
      <c r="C282" s="2" t="e">
        <f>#REF!</f>
        <v>#REF!</v>
      </c>
      <c r="D282" s="2" t="e">
        <f>#REF!</f>
        <v>#REF!</v>
      </c>
      <c r="E282" s="2"/>
      <c r="F282" s="2" t="e">
        <f>IF(A282="","",COUNTIF(#REF!,A282))</f>
        <v>#REF!</v>
      </c>
      <c r="G282" s="2" t="e">
        <f>IF(A282="","",COUNTIFS(#REF!,A282,#REF!,"Penal"))</f>
        <v>#REF!</v>
      </c>
      <c r="H282" s="2" t="e">
        <f>IF(A282="","",COUNTIFS(#REF!,A282,#REF!,"Autogol"))</f>
        <v>#REF!</v>
      </c>
      <c r="I282" s="2" t="e">
        <f>#REF!</f>
        <v>#REF!</v>
      </c>
    </row>
    <row r="283" spans="1:9" ht="18.399999999999999" customHeight="1">
      <c r="A283" s="12" t="e">
        <f>#REF!</f>
        <v>#REF!</v>
      </c>
      <c r="B283" s="2" t="e">
        <f>IF(A283="","",#REF!&amp;" "&amp;#REF!&amp;" "&amp;#REF!)</f>
        <v>#REF!</v>
      </c>
      <c r="C283" s="2" t="e">
        <f>#REF!</f>
        <v>#REF!</v>
      </c>
      <c r="D283" s="2" t="e">
        <f>#REF!</f>
        <v>#REF!</v>
      </c>
      <c r="E283" s="2"/>
      <c r="F283" s="2" t="e">
        <f>IF(A283="","",COUNTIF(#REF!,A283))</f>
        <v>#REF!</v>
      </c>
      <c r="G283" s="2" t="e">
        <f>IF(A283="","",COUNTIFS(#REF!,A283,#REF!,"Penal"))</f>
        <v>#REF!</v>
      </c>
      <c r="H283" s="2" t="e">
        <f>IF(A283="","",COUNTIFS(#REF!,A283,#REF!,"Autogol"))</f>
        <v>#REF!</v>
      </c>
      <c r="I283" s="2" t="e">
        <f>#REF!</f>
        <v>#REF!</v>
      </c>
    </row>
    <row r="284" spans="1:9" ht="18.399999999999999" customHeight="1">
      <c r="A284" s="12" t="e">
        <f>#REF!</f>
        <v>#REF!</v>
      </c>
      <c r="B284" s="2" t="e">
        <f>IF(A284="","",#REF!&amp;" "&amp;#REF!&amp;" "&amp;#REF!)</f>
        <v>#REF!</v>
      </c>
      <c r="C284" s="2" t="e">
        <f>#REF!</f>
        <v>#REF!</v>
      </c>
      <c r="D284" s="2" t="e">
        <f>#REF!</f>
        <v>#REF!</v>
      </c>
      <c r="E284" s="2"/>
      <c r="F284" s="2" t="e">
        <f>IF(A284="","",COUNTIF(#REF!,A284))</f>
        <v>#REF!</v>
      </c>
      <c r="G284" s="2" t="e">
        <f>IF(A284="","",COUNTIFS(#REF!,A284,#REF!,"Penal"))</f>
        <v>#REF!</v>
      </c>
      <c r="H284" s="2" t="e">
        <f>IF(A284="","",COUNTIFS(#REF!,A284,#REF!,"Autogol"))</f>
        <v>#REF!</v>
      </c>
      <c r="I284" s="2" t="e">
        <f>#REF!</f>
        <v>#REF!</v>
      </c>
    </row>
    <row r="285" spans="1:9" ht="18.399999999999999" customHeight="1">
      <c r="A285" s="12" t="e">
        <f>#REF!</f>
        <v>#REF!</v>
      </c>
      <c r="B285" s="2" t="e">
        <f>IF(A285="","",#REF!&amp;" "&amp;#REF!&amp;" "&amp;#REF!)</f>
        <v>#REF!</v>
      </c>
      <c r="C285" s="2" t="e">
        <f>#REF!</f>
        <v>#REF!</v>
      </c>
      <c r="D285" s="2" t="e">
        <f>#REF!</f>
        <v>#REF!</v>
      </c>
      <c r="E285" s="2"/>
      <c r="F285" s="2" t="e">
        <f>IF(A285="","",COUNTIF(#REF!,A285))</f>
        <v>#REF!</v>
      </c>
      <c r="G285" s="2" t="e">
        <f>IF(A285="","",COUNTIFS(#REF!,A285,#REF!,"Penal"))</f>
        <v>#REF!</v>
      </c>
      <c r="H285" s="2" t="e">
        <f>IF(A285="","",COUNTIFS(#REF!,A285,#REF!,"Autogol"))</f>
        <v>#REF!</v>
      </c>
      <c r="I285" s="2" t="e">
        <f>#REF!</f>
        <v>#REF!</v>
      </c>
    </row>
    <row r="286" spans="1:9" ht="18.399999999999999" customHeight="1">
      <c r="A286" s="12" t="e">
        <f>#REF!</f>
        <v>#REF!</v>
      </c>
      <c r="B286" s="2" t="e">
        <f>IF(A286="","",#REF!&amp;" "&amp;#REF!&amp;" "&amp;#REF!)</f>
        <v>#REF!</v>
      </c>
      <c r="C286" s="2" t="e">
        <f>#REF!</f>
        <v>#REF!</v>
      </c>
      <c r="D286" s="2" t="e">
        <f>#REF!</f>
        <v>#REF!</v>
      </c>
      <c r="E286" s="2"/>
      <c r="F286" s="2" t="e">
        <f>IF(A286="","",COUNTIF(#REF!,A286))</f>
        <v>#REF!</v>
      </c>
      <c r="G286" s="2" t="e">
        <f>IF(A286="","",COUNTIFS(#REF!,A286,#REF!,"Penal"))</f>
        <v>#REF!</v>
      </c>
      <c r="H286" s="2" t="e">
        <f>IF(A286="","",COUNTIFS(#REF!,A286,#REF!,"Autogol"))</f>
        <v>#REF!</v>
      </c>
      <c r="I286" s="2" t="e">
        <f>#REF!</f>
        <v>#REF!</v>
      </c>
    </row>
    <row r="287" spans="1:9" ht="18.399999999999999" customHeight="1">
      <c r="A287" s="12" t="e">
        <f>#REF!</f>
        <v>#REF!</v>
      </c>
      <c r="B287" s="2" t="e">
        <f>IF(A287="","",#REF!&amp;" "&amp;#REF!&amp;" "&amp;#REF!)</f>
        <v>#REF!</v>
      </c>
      <c r="C287" s="2" t="e">
        <f>#REF!</f>
        <v>#REF!</v>
      </c>
      <c r="D287" s="2" t="e">
        <f>#REF!</f>
        <v>#REF!</v>
      </c>
      <c r="E287" s="2"/>
      <c r="F287" s="2" t="e">
        <f>IF(A287="","",COUNTIF(#REF!,A287))</f>
        <v>#REF!</v>
      </c>
      <c r="G287" s="2" t="e">
        <f>IF(A287="","",COUNTIFS(#REF!,A287,#REF!,"Penal"))</f>
        <v>#REF!</v>
      </c>
      <c r="H287" s="2" t="e">
        <f>IF(A287="","",COUNTIFS(#REF!,A287,#REF!,"Autogol"))</f>
        <v>#REF!</v>
      </c>
      <c r="I287" s="2" t="e">
        <f>#REF!</f>
        <v>#REF!</v>
      </c>
    </row>
    <row r="288" spans="1:9" ht="18.399999999999999" customHeight="1">
      <c r="A288" s="12" t="e">
        <f>#REF!</f>
        <v>#REF!</v>
      </c>
      <c r="B288" s="2" t="e">
        <f>IF(A288="","",#REF!&amp;" "&amp;#REF!&amp;" "&amp;#REF!)</f>
        <v>#REF!</v>
      </c>
      <c r="C288" s="2" t="e">
        <f>#REF!</f>
        <v>#REF!</v>
      </c>
      <c r="D288" s="2" t="e">
        <f>#REF!</f>
        <v>#REF!</v>
      </c>
      <c r="E288" s="2"/>
      <c r="F288" s="2" t="e">
        <f>IF(A288="","",COUNTIF(#REF!,A288))</f>
        <v>#REF!</v>
      </c>
      <c r="G288" s="2" t="e">
        <f>IF(A288="","",COUNTIFS(#REF!,A288,#REF!,"Penal"))</f>
        <v>#REF!</v>
      </c>
      <c r="H288" s="2" t="e">
        <f>IF(A288="","",COUNTIFS(#REF!,A288,#REF!,"Autogol"))</f>
        <v>#REF!</v>
      </c>
      <c r="I288" s="2" t="e">
        <f>#REF!</f>
        <v>#REF!</v>
      </c>
    </row>
    <row r="289" spans="1:9" ht="18.399999999999999" customHeight="1">
      <c r="A289" s="12" t="e">
        <f>#REF!</f>
        <v>#REF!</v>
      </c>
      <c r="B289" s="2" t="e">
        <f>IF(A289="","",#REF!&amp;" "&amp;#REF!&amp;" "&amp;#REF!)</f>
        <v>#REF!</v>
      </c>
      <c r="C289" s="2" t="e">
        <f>#REF!</f>
        <v>#REF!</v>
      </c>
      <c r="D289" s="2" t="e">
        <f>#REF!</f>
        <v>#REF!</v>
      </c>
      <c r="E289" s="2"/>
      <c r="F289" s="2" t="e">
        <f>IF(A289="","",COUNTIF(#REF!,A289))</f>
        <v>#REF!</v>
      </c>
      <c r="G289" s="2" t="e">
        <f>IF(A289="","",COUNTIFS(#REF!,A289,#REF!,"Penal"))</f>
        <v>#REF!</v>
      </c>
      <c r="H289" s="2" t="e">
        <f>IF(A289="","",COUNTIFS(#REF!,A289,#REF!,"Autogol"))</f>
        <v>#REF!</v>
      </c>
      <c r="I289" s="2" t="e">
        <f>#REF!</f>
        <v>#REF!</v>
      </c>
    </row>
    <row r="290" spans="1:9" ht="18.399999999999999" customHeight="1">
      <c r="A290" s="12" t="e">
        <f>#REF!</f>
        <v>#REF!</v>
      </c>
      <c r="B290" s="2" t="e">
        <f>IF(A290="","",#REF!&amp;" "&amp;#REF!&amp;" "&amp;#REF!)</f>
        <v>#REF!</v>
      </c>
      <c r="C290" s="2" t="e">
        <f>#REF!</f>
        <v>#REF!</v>
      </c>
      <c r="D290" s="2" t="e">
        <f>#REF!</f>
        <v>#REF!</v>
      </c>
      <c r="E290" s="2"/>
      <c r="F290" s="2" t="e">
        <f>IF(A290="","",COUNTIF(#REF!,A290))</f>
        <v>#REF!</v>
      </c>
      <c r="G290" s="2" t="e">
        <f>IF(A290="","",COUNTIFS(#REF!,A290,#REF!,"Penal"))</f>
        <v>#REF!</v>
      </c>
      <c r="H290" s="2" t="e">
        <f>IF(A290="","",COUNTIFS(#REF!,A290,#REF!,"Autogol"))</f>
        <v>#REF!</v>
      </c>
      <c r="I290" s="2" t="e">
        <f>#REF!</f>
        <v>#REF!</v>
      </c>
    </row>
    <row r="291" spans="1:9" ht="18.399999999999999" customHeight="1">
      <c r="A291" s="12" t="e">
        <f>#REF!</f>
        <v>#REF!</v>
      </c>
      <c r="B291" s="2" t="e">
        <f>IF(A291="","",#REF!&amp;" "&amp;#REF!&amp;" "&amp;#REF!)</f>
        <v>#REF!</v>
      </c>
      <c r="C291" s="2" t="e">
        <f>#REF!</f>
        <v>#REF!</v>
      </c>
      <c r="D291" s="2" t="e">
        <f>#REF!</f>
        <v>#REF!</v>
      </c>
      <c r="E291" s="2"/>
      <c r="F291" s="2" t="e">
        <f>IF(A291="","",COUNTIF(#REF!,A291))</f>
        <v>#REF!</v>
      </c>
      <c r="G291" s="2" t="e">
        <f>IF(A291="","",COUNTIFS(#REF!,A291,#REF!,"Penal"))</f>
        <v>#REF!</v>
      </c>
      <c r="H291" s="2" t="e">
        <f>IF(A291="","",COUNTIFS(#REF!,A291,#REF!,"Autogol"))</f>
        <v>#REF!</v>
      </c>
      <c r="I291" s="2" t="e">
        <f>#REF!</f>
        <v>#REF!</v>
      </c>
    </row>
    <row r="292" spans="1:9" ht="18.399999999999999" customHeight="1">
      <c r="A292" s="12" t="e">
        <f>#REF!</f>
        <v>#REF!</v>
      </c>
      <c r="B292" s="2" t="e">
        <f>IF(A292="","",#REF!&amp;" "&amp;#REF!&amp;" "&amp;#REF!)</f>
        <v>#REF!</v>
      </c>
      <c r="C292" s="2" t="e">
        <f>#REF!</f>
        <v>#REF!</v>
      </c>
      <c r="D292" s="2" t="e">
        <f>#REF!</f>
        <v>#REF!</v>
      </c>
      <c r="E292" s="2"/>
      <c r="F292" s="2" t="e">
        <f>IF(A292="","",COUNTIF(#REF!,A292))</f>
        <v>#REF!</v>
      </c>
      <c r="G292" s="2" t="e">
        <f>IF(A292="","",COUNTIFS(#REF!,A292,#REF!,"Penal"))</f>
        <v>#REF!</v>
      </c>
      <c r="H292" s="2" t="e">
        <f>IF(A292="","",COUNTIFS(#REF!,A292,#REF!,"Autogol"))</f>
        <v>#REF!</v>
      </c>
      <c r="I292" s="2" t="e">
        <f>#REF!</f>
        <v>#REF!</v>
      </c>
    </row>
    <row r="293" spans="1:9" ht="18.399999999999999" customHeight="1">
      <c r="A293" s="12" t="e">
        <f>#REF!</f>
        <v>#REF!</v>
      </c>
      <c r="B293" s="2" t="e">
        <f>IF(A293="","",#REF!&amp;" "&amp;#REF!&amp;" "&amp;#REF!)</f>
        <v>#REF!</v>
      </c>
      <c r="C293" s="2" t="e">
        <f>#REF!</f>
        <v>#REF!</v>
      </c>
      <c r="D293" s="2" t="e">
        <f>#REF!</f>
        <v>#REF!</v>
      </c>
      <c r="E293" s="2"/>
      <c r="F293" s="2" t="e">
        <f>IF(A293="","",COUNTIF(#REF!,A293))</f>
        <v>#REF!</v>
      </c>
      <c r="G293" s="2" t="e">
        <f>IF(A293="","",COUNTIFS(#REF!,A293,#REF!,"Penal"))</f>
        <v>#REF!</v>
      </c>
      <c r="H293" s="2" t="e">
        <f>IF(A293="","",COUNTIFS(#REF!,A293,#REF!,"Autogol"))</f>
        <v>#REF!</v>
      </c>
      <c r="I293" s="2" t="e">
        <f>#REF!</f>
        <v>#REF!</v>
      </c>
    </row>
    <row r="294" spans="1:9" ht="18.399999999999999" customHeight="1">
      <c r="A294" s="12" t="e">
        <f>#REF!</f>
        <v>#REF!</v>
      </c>
      <c r="B294" s="2" t="e">
        <f>IF(A294="","",#REF!&amp;" "&amp;#REF!&amp;" "&amp;#REF!)</f>
        <v>#REF!</v>
      </c>
      <c r="C294" s="2" t="e">
        <f>#REF!</f>
        <v>#REF!</v>
      </c>
      <c r="D294" s="2" t="e">
        <f>#REF!</f>
        <v>#REF!</v>
      </c>
      <c r="E294" s="2"/>
      <c r="F294" s="2" t="e">
        <f>IF(A294="","",COUNTIF(#REF!,A294))</f>
        <v>#REF!</v>
      </c>
      <c r="G294" s="2" t="e">
        <f>IF(A294="","",COUNTIFS(#REF!,A294,#REF!,"Penal"))</f>
        <v>#REF!</v>
      </c>
      <c r="H294" s="2" t="e">
        <f>IF(A294="","",COUNTIFS(#REF!,A294,#REF!,"Autogol"))</f>
        <v>#REF!</v>
      </c>
      <c r="I294" s="2" t="e">
        <f>#REF!</f>
        <v>#REF!</v>
      </c>
    </row>
    <row r="295" spans="1:9" ht="18.399999999999999" customHeight="1">
      <c r="A295" s="12" t="e">
        <f>#REF!</f>
        <v>#REF!</v>
      </c>
      <c r="B295" s="2" t="e">
        <f>IF(A295="","",#REF!&amp;" "&amp;#REF!&amp;" "&amp;#REF!)</f>
        <v>#REF!</v>
      </c>
      <c r="C295" s="2" t="e">
        <f>#REF!</f>
        <v>#REF!</v>
      </c>
      <c r="D295" s="2" t="e">
        <f>#REF!</f>
        <v>#REF!</v>
      </c>
      <c r="E295" s="2"/>
      <c r="F295" s="2" t="e">
        <f>IF(A295="","",COUNTIF(#REF!,A295))</f>
        <v>#REF!</v>
      </c>
      <c r="G295" s="2" t="e">
        <f>IF(A295="","",COUNTIFS(#REF!,A295,#REF!,"Penal"))</f>
        <v>#REF!</v>
      </c>
      <c r="H295" s="2" t="e">
        <f>IF(A295="","",COUNTIFS(#REF!,A295,#REF!,"Autogol"))</f>
        <v>#REF!</v>
      </c>
      <c r="I295" s="2" t="e">
        <f>#REF!</f>
        <v>#REF!</v>
      </c>
    </row>
    <row r="296" spans="1:9" ht="18.399999999999999" customHeight="1">
      <c r="A296" s="12" t="e">
        <f>#REF!</f>
        <v>#REF!</v>
      </c>
      <c r="B296" s="2" t="e">
        <f>IF(A296="","",#REF!&amp;" "&amp;#REF!&amp;" "&amp;#REF!)</f>
        <v>#REF!</v>
      </c>
      <c r="C296" s="2" t="e">
        <f>#REF!</f>
        <v>#REF!</v>
      </c>
      <c r="D296" s="2" t="e">
        <f>#REF!</f>
        <v>#REF!</v>
      </c>
      <c r="E296" s="2"/>
      <c r="F296" s="2" t="e">
        <f>IF(A296="","",COUNTIF(#REF!,A296))</f>
        <v>#REF!</v>
      </c>
      <c r="G296" s="2" t="e">
        <f>IF(A296="","",COUNTIFS(#REF!,A296,#REF!,"Penal"))</f>
        <v>#REF!</v>
      </c>
      <c r="H296" s="2" t="e">
        <f>IF(A296="","",COUNTIFS(#REF!,A296,#REF!,"Autogol"))</f>
        <v>#REF!</v>
      </c>
      <c r="I296" s="2" t="e">
        <f>#REF!</f>
        <v>#REF!</v>
      </c>
    </row>
    <row r="297" spans="1:9" ht="18.399999999999999" customHeight="1">
      <c r="A297" s="12" t="e">
        <f>#REF!</f>
        <v>#REF!</v>
      </c>
      <c r="B297" s="2" t="e">
        <f>IF(A297="","",#REF!&amp;" "&amp;#REF!&amp;" "&amp;#REF!)</f>
        <v>#REF!</v>
      </c>
      <c r="C297" s="2" t="e">
        <f>#REF!</f>
        <v>#REF!</v>
      </c>
      <c r="D297" s="2" t="e">
        <f>#REF!</f>
        <v>#REF!</v>
      </c>
      <c r="E297" s="2"/>
      <c r="F297" s="2" t="e">
        <f>IF(A297="","",COUNTIF(#REF!,A297))</f>
        <v>#REF!</v>
      </c>
      <c r="G297" s="2" t="e">
        <f>IF(A297="","",COUNTIFS(#REF!,A297,#REF!,"Penal"))</f>
        <v>#REF!</v>
      </c>
      <c r="H297" s="2" t="e">
        <f>IF(A297="","",COUNTIFS(#REF!,A297,#REF!,"Autogol"))</f>
        <v>#REF!</v>
      </c>
      <c r="I297" s="2" t="e">
        <f>#REF!</f>
        <v>#REF!</v>
      </c>
    </row>
    <row r="298" spans="1:9" ht="18.399999999999999" customHeight="1">
      <c r="A298" s="12" t="e">
        <f>#REF!</f>
        <v>#REF!</v>
      </c>
      <c r="B298" s="2" t="e">
        <f>IF(A298="","",#REF!&amp;" "&amp;#REF!&amp;" "&amp;#REF!)</f>
        <v>#REF!</v>
      </c>
      <c r="C298" s="2" t="e">
        <f>#REF!</f>
        <v>#REF!</v>
      </c>
      <c r="D298" s="2" t="e">
        <f>#REF!</f>
        <v>#REF!</v>
      </c>
      <c r="E298" s="2"/>
      <c r="F298" s="2" t="e">
        <f>IF(A298="","",COUNTIF(#REF!,A298))</f>
        <v>#REF!</v>
      </c>
      <c r="G298" s="2" t="e">
        <f>IF(A298="","",COUNTIFS(#REF!,A298,#REF!,"Penal"))</f>
        <v>#REF!</v>
      </c>
      <c r="H298" s="2" t="e">
        <f>IF(A298="","",COUNTIFS(#REF!,A298,#REF!,"Autogol"))</f>
        <v>#REF!</v>
      </c>
      <c r="I298" s="2" t="e">
        <f>#REF!</f>
        <v>#REF!</v>
      </c>
    </row>
    <row r="299" spans="1:9" ht="18.399999999999999" customHeight="1">
      <c r="A299" s="12" t="e">
        <f>#REF!</f>
        <v>#REF!</v>
      </c>
      <c r="B299" s="2" t="e">
        <f>IF(A299="","",#REF!&amp;" "&amp;#REF!&amp;" "&amp;#REF!)</f>
        <v>#REF!</v>
      </c>
      <c r="C299" s="2" t="e">
        <f>#REF!</f>
        <v>#REF!</v>
      </c>
      <c r="D299" s="2" t="e">
        <f>#REF!</f>
        <v>#REF!</v>
      </c>
      <c r="E299" s="2"/>
      <c r="F299" s="2" t="e">
        <f>IF(A299="","",COUNTIF(#REF!,A299))</f>
        <v>#REF!</v>
      </c>
      <c r="G299" s="2" t="e">
        <f>IF(A299="","",COUNTIFS(#REF!,A299,#REF!,"Penal"))</f>
        <v>#REF!</v>
      </c>
      <c r="H299" s="2" t="e">
        <f>IF(A299="","",COUNTIFS(#REF!,A299,#REF!,"Autogol"))</f>
        <v>#REF!</v>
      </c>
      <c r="I299" s="2" t="e">
        <f>#REF!</f>
        <v>#REF!</v>
      </c>
    </row>
    <row r="300" spans="1:9" ht="18.399999999999999" customHeight="1">
      <c r="A300" s="12" t="e">
        <f>#REF!</f>
        <v>#REF!</v>
      </c>
      <c r="B300" s="2" t="e">
        <f>IF(A300="","",#REF!&amp;" "&amp;#REF!&amp;" "&amp;#REF!)</f>
        <v>#REF!</v>
      </c>
      <c r="C300" s="2" t="e">
        <f>#REF!</f>
        <v>#REF!</v>
      </c>
      <c r="D300" s="2" t="e">
        <f>#REF!</f>
        <v>#REF!</v>
      </c>
      <c r="E300" s="2"/>
      <c r="F300" s="2" t="e">
        <f>IF(A300="","",COUNTIF(#REF!,A300))</f>
        <v>#REF!</v>
      </c>
      <c r="G300" s="2" t="e">
        <f>IF(A300="","",COUNTIFS(#REF!,A300,#REF!,"Penal"))</f>
        <v>#REF!</v>
      </c>
      <c r="H300" s="2" t="e">
        <f>IF(A300="","",COUNTIFS(#REF!,A300,#REF!,"Autogol"))</f>
        <v>#REF!</v>
      </c>
      <c r="I300" s="2" t="e">
        <f>#REF!</f>
        <v>#REF!</v>
      </c>
    </row>
    <row r="301" spans="1:9" ht="18.399999999999999" customHeight="1">
      <c r="A301" s="12" t="e">
        <f>#REF!</f>
        <v>#REF!</v>
      </c>
      <c r="B301" s="2" t="e">
        <f>IF(A301="","",#REF!&amp;" "&amp;#REF!&amp;" "&amp;#REF!)</f>
        <v>#REF!</v>
      </c>
      <c r="C301" s="2" t="e">
        <f>#REF!</f>
        <v>#REF!</v>
      </c>
      <c r="D301" s="2" t="e">
        <f>#REF!</f>
        <v>#REF!</v>
      </c>
      <c r="E301" s="2"/>
      <c r="F301" s="2" t="e">
        <f>IF(A301="","",COUNTIF(#REF!,A301))</f>
        <v>#REF!</v>
      </c>
      <c r="G301" s="2" t="e">
        <f>IF(A301="","",COUNTIFS(#REF!,A301,#REF!,"Penal"))</f>
        <v>#REF!</v>
      </c>
      <c r="H301" s="2" t="e">
        <f>IF(A301="","",COUNTIFS(#REF!,A301,#REF!,"Autogol"))</f>
        <v>#REF!</v>
      </c>
      <c r="I301" s="2" t="e">
        <f>#REF!</f>
        <v>#REF!</v>
      </c>
    </row>
    <row r="302" spans="1:9" ht="18.399999999999999" customHeight="1">
      <c r="A302" s="12" t="e">
        <f>#REF!</f>
        <v>#REF!</v>
      </c>
      <c r="B302" s="2" t="e">
        <f>IF(A302="","",#REF!&amp;" "&amp;#REF!&amp;" "&amp;#REF!)</f>
        <v>#REF!</v>
      </c>
      <c r="C302" s="2" t="e">
        <f>#REF!</f>
        <v>#REF!</v>
      </c>
      <c r="D302" s="2" t="e">
        <f>#REF!</f>
        <v>#REF!</v>
      </c>
      <c r="E302" s="2"/>
      <c r="F302" s="2" t="e">
        <f>IF(A302="","",COUNTIF(#REF!,A302))</f>
        <v>#REF!</v>
      </c>
      <c r="G302" s="2" t="e">
        <f>IF(A302="","",COUNTIFS(#REF!,A302,#REF!,"Penal"))</f>
        <v>#REF!</v>
      </c>
      <c r="H302" s="2" t="e">
        <f>IF(A302="","",COUNTIFS(#REF!,A302,#REF!,"Autogol"))</f>
        <v>#REF!</v>
      </c>
      <c r="I302" s="2" t="e">
        <f>#REF!</f>
        <v>#REF!</v>
      </c>
    </row>
    <row r="303" spans="1:9" ht="18.399999999999999" customHeight="1">
      <c r="A303" s="12" t="e">
        <f>#REF!</f>
        <v>#REF!</v>
      </c>
      <c r="B303" s="2" t="e">
        <f>IF(A303="","",#REF!&amp;" "&amp;#REF!&amp;" "&amp;#REF!)</f>
        <v>#REF!</v>
      </c>
      <c r="C303" s="2" t="e">
        <f>#REF!</f>
        <v>#REF!</v>
      </c>
      <c r="D303" s="2" t="e">
        <f>#REF!</f>
        <v>#REF!</v>
      </c>
      <c r="E303" s="2"/>
      <c r="F303" s="2" t="e">
        <f>IF(A303="","",COUNTIF(#REF!,A303))</f>
        <v>#REF!</v>
      </c>
      <c r="G303" s="2" t="e">
        <f>IF(A303="","",COUNTIFS(#REF!,A303,#REF!,"Penal"))</f>
        <v>#REF!</v>
      </c>
      <c r="H303" s="2" t="e">
        <f>IF(A303="","",COUNTIFS(#REF!,A303,#REF!,"Autogol"))</f>
        <v>#REF!</v>
      </c>
      <c r="I303" s="2" t="e">
        <f>#REF!</f>
        <v>#REF!</v>
      </c>
    </row>
    <row r="304" spans="1:9" ht="18.399999999999999" customHeight="1">
      <c r="A304" s="12" t="e">
        <f>#REF!</f>
        <v>#REF!</v>
      </c>
      <c r="B304" s="2" t="e">
        <f>IF(A304="","",#REF!&amp;" "&amp;#REF!&amp;" "&amp;#REF!)</f>
        <v>#REF!</v>
      </c>
      <c r="C304" s="2" t="e">
        <f>#REF!</f>
        <v>#REF!</v>
      </c>
      <c r="D304" s="2" t="e">
        <f>#REF!</f>
        <v>#REF!</v>
      </c>
      <c r="E304" s="2"/>
      <c r="F304" s="2" t="e">
        <f>IF(A304="","",COUNTIF(#REF!,A304))</f>
        <v>#REF!</v>
      </c>
      <c r="G304" s="2" t="e">
        <f>IF(A304="","",COUNTIFS(#REF!,A304,#REF!,"Penal"))</f>
        <v>#REF!</v>
      </c>
      <c r="H304" s="2" t="e">
        <f>IF(A304="","",COUNTIFS(#REF!,A304,#REF!,"Autogol"))</f>
        <v>#REF!</v>
      </c>
      <c r="I304" s="2" t="e">
        <f>#REF!</f>
        <v>#REF!</v>
      </c>
    </row>
    <row r="305" spans="1:1" ht="18.399999999999999" customHeight="1">
      <c r="A305" s="10"/>
    </row>
    <row r="306" spans="1:1" ht="18.399999999999999" customHeight="1">
      <c r="A306" s="10"/>
    </row>
    <row r="307" spans="1:1" ht="18.399999999999999" customHeight="1">
      <c r="A307" s="10"/>
    </row>
    <row r="308" spans="1:1" ht="18.399999999999999" customHeight="1">
      <c r="A308" s="10"/>
    </row>
    <row r="309" spans="1:1" ht="18.399999999999999" customHeight="1">
      <c r="A309" s="10"/>
    </row>
    <row r="310" spans="1:1" ht="18.399999999999999" customHeight="1">
      <c r="A310" s="10"/>
    </row>
    <row r="311" spans="1:1" ht="18.399999999999999" customHeight="1">
      <c r="A311" s="10"/>
    </row>
    <row r="312" spans="1:1" ht="18.399999999999999" customHeight="1">
      <c r="A312" s="10"/>
    </row>
    <row r="313" spans="1:1" ht="18.399999999999999" customHeight="1">
      <c r="A313" s="10"/>
    </row>
    <row r="314" spans="1:1" ht="18.399999999999999" customHeight="1">
      <c r="A314" s="10"/>
    </row>
    <row r="315" spans="1:1" ht="18.399999999999999" customHeight="1">
      <c r="A315" s="10"/>
    </row>
    <row r="316" spans="1:1" ht="18.399999999999999" customHeight="1">
      <c r="A316" s="10"/>
    </row>
    <row r="317" spans="1:1" ht="18.399999999999999" customHeight="1">
      <c r="A317" s="10"/>
    </row>
    <row r="318" spans="1:1" ht="18.399999999999999" customHeight="1">
      <c r="A318" s="10"/>
    </row>
    <row r="319" spans="1:1" ht="18.399999999999999" customHeight="1">
      <c r="A319" s="10"/>
    </row>
    <row r="320" spans="1:1" ht="18.399999999999999" customHeight="1">
      <c r="A320" s="10"/>
    </row>
    <row r="321" spans="1:1" ht="18.399999999999999" customHeight="1">
      <c r="A321" s="10"/>
    </row>
    <row r="322" spans="1:1" ht="18.399999999999999" customHeight="1">
      <c r="A322" s="10"/>
    </row>
    <row r="323" spans="1:1" ht="18.399999999999999" customHeight="1">
      <c r="A323" s="10"/>
    </row>
    <row r="324" spans="1:1" ht="18.399999999999999" customHeight="1">
      <c r="A324" s="10"/>
    </row>
    <row r="325" spans="1:1" ht="18.399999999999999" customHeight="1">
      <c r="A325" s="10"/>
    </row>
    <row r="326" spans="1:1" ht="18.399999999999999" customHeight="1">
      <c r="A326" s="10"/>
    </row>
    <row r="327" spans="1:1" ht="18.399999999999999" customHeight="1">
      <c r="A327" s="10"/>
    </row>
    <row r="328" spans="1:1" ht="18.399999999999999" customHeight="1">
      <c r="A328" s="10"/>
    </row>
    <row r="329" spans="1:1" ht="18.399999999999999" customHeight="1">
      <c r="A329" s="10"/>
    </row>
    <row r="330" spans="1:1" ht="18.399999999999999" customHeight="1">
      <c r="A330" s="10"/>
    </row>
    <row r="331" spans="1:1" ht="18.399999999999999" customHeight="1">
      <c r="A331" s="10"/>
    </row>
    <row r="332" spans="1:1" ht="18.399999999999999" customHeight="1">
      <c r="A332" s="10"/>
    </row>
    <row r="333" spans="1:1" ht="18.399999999999999" customHeight="1">
      <c r="A333" s="10"/>
    </row>
    <row r="334" spans="1:1" ht="18.399999999999999" customHeight="1">
      <c r="A334" s="10"/>
    </row>
    <row r="335" spans="1:1" ht="18.399999999999999" customHeight="1">
      <c r="A335" s="10"/>
    </row>
    <row r="336" spans="1:1" ht="18.399999999999999" customHeight="1">
      <c r="A336" s="10"/>
    </row>
    <row r="337" spans="1:1" ht="18.399999999999999" customHeight="1">
      <c r="A337" s="10"/>
    </row>
    <row r="338" spans="1:1" ht="18.399999999999999" customHeight="1">
      <c r="A338" s="10"/>
    </row>
    <row r="339" spans="1:1" ht="18.399999999999999" customHeight="1">
      <c r="A339" s="10"/>
    </row>
    <row r="340" spans="1:1" ht="18.399999999999999" customHeight="1">
      <c r="A340" s="10"/>
    </row>
    <row r="341" spans="1:1" ht="18.399999999999999" customHeight="1">
      <c r="A341" s="10"/>
    </row>
    <row r="342" spans="1:1" ht="18.399999999999999" customHeight="1">
      <c r="A342" s="10"/>
    </row>
    <row r="343" spans="1:1" ht="18.399999999999999" customHeight="1">
      <c r="A343" s="10"/>
    </row>
    <row r="344" spans="1:1" ht="18.399999999999999" customHeight="1">
      <c r="A344" s="10"/>
    </row>
    <row r="345" spans="1:1" ht="18.399999999999999" customHeight="1">
      <c r="A345" s="10"/>
    </row>
    <row r="346" spans="1:1" ht="18.399999999999999" customHeight="1">
      <c r="A346" s="10"/>
    </row>
    <row r="347" spans="1:1" ht="18.399999999999999" customHeight="1">
      <c r="A347" s="10"/>
    </row>
    <row r="348" spans="1:1" ht="18.399999999999999" customHeight="1">
      <c r="A348" s="10"/>
    </row>
    <row r="349" spans="1:1" ht="18.399999999999999" customHeight="1">
      <c r="A349" s="10"/>
    </row>
    <row r="350" spans="1:1" ht="18.399999999999999" customHeight="1">
      <c r="A350" s="10"/>
    </row>
    <row r="351" spans="1:1" ht="18.399999999999999" customHeight="1">
      <c r="A351" s="10"/>
    </row>
    <row r="352" spans="1:1" ht="18.399999999999999" customHeight="1">
      <c r="A352" s="10"/>
    </row>
    <row r="353" spans="1:1" ht="18.399999999999999" customHeight="1">
      <c r="A353" s="10"/>
    </row>
    <row r="354" spans="1:1" ht="18.399999999999999" customHeight="1">
      <c r="A354" s="10"/>
    </row>
    <row r="355" spans="1:1" ht="18.399999999999999" customHeight="1">
      <c r="A355" s="10"/>
    </row>
    <row r="356" spans="1:1" ht="18.399999999999999" customHeight="1">
      <c r="A356" s="10"/>
    </row>
    <row r="357" spans="1:1" ht="18.399999999999999" customHeight="1">
      <c r="A357" s="10"/>
    </row>
    <row r="358" spans="1:1" ht="18.399999999999999" customHeight="1">
      <c r="A358" s="10"/>
    </row>
    <row r="359" spans="1:1" ht="18.399999999999999" customHeight="1">
      <c r="A359" s="10"/>
    </row>
    <row r="360" spans="1:1" ht="18.399999999999999" customHeight="1">
      <c r="A360" s="10"/>
    </row>
    <row r="361" spans="1:1" ht="18.399999999999999" customHeight="1">
      <c r="A361" s="10"/>
    </row>
    <row r="362" spans="1:1" ht="18.399999999999999" customHeight="1">
      <c r="A362" s="10"/>
    </row>
    <row r="363" spans="1:1" ht="18.399999999999999" customHeight="1">
      <c r="A363" s="10"/>
    </row>
    <row r="364" spans="1:1" ht="18.399999999999999" customHeight="1">
      <c r="A364" s="10"/>
    </row>
    <row r="365" spans="1:1" ht="18.399999999999999" customHeight="1">
      <c r="A365" s="10"/>
    </row>
    <row r="366" spans="1:1" ht="18.399999999999999" customHeight="1">
      <c r="A366" s="10"/>
    </row>
    <row r="367" spans="1:1" ht="18.399999999999999" customHeight="1">
      <c r="A367" s="10"/>
    </row>
    <row r="368" spans="1:1" ht="18.399999999999999" customHeight="1">
      <c r="A368" s="10"/>
    </row>
    <row r="369" spans="1:1" ht="18.399999999999999" customHeight="1">
      <c r="A369" s="10"/>
    </row>
    <row r="370" spans="1:1" ht="18.399999999999999" customHeight="1">
      <c r="A370" s="10"/>
    </row>
    <row r="371" spans="1:1" ht="18.399999999999999" customHeight="1">
      <c r="A371" s="10"/>
    </row>
    <row r="372" spans="1:1" ht="18.399999999999999" customHeight="1">
      <c r="A372" s="10"/>
    </row>
    <row r="373" spans="1:1" ht="18.399999999999999" customHeight="1">
      <c r="A373" s="10"/>
    </row>
    <row r="374" spans="1:1" ht="18.399999999999999" customHeight="1">
      <c r="A374" s="10"/>
    </row>
    <row r="375" spans="1:1" ht="18.399999999999999" customHeight="1">
      <c r="A375" s="10"/>
    </row>
    <row r="376" spans="1:1" ht="18.399999999999999" customHeight="1">
      <c r="A376" s="10"/>
    </row>
    <row r="377" spans="1:1" ht="18.399999999999999" customHeight="1">
      <c r="A377" s="10"/>
    </row>
    <row r="378" spans="1:1" ht="18.399999999999999" customHeight="1">
      <c r="A378" s="10"/>
    </row>
    <row r="379" spans="1:1" ht="18.399999999999999" customHeight="1">
      <c r="A379" s="10"/>
    </row>
    <row r="380" spans="1:1" ht="18.399999999999999" customHeight="1">
      <c r="A380" s="10"/>
    </row>
    <row r="381" spans="1:1" ht="18.399999999999999" customHeight="1">
      <c r="A381" s="10"/>
    </row>
    <row r="382" spans="1:1" ht="18.399999999999999" customHeight="1">
      <c r="A382" s="10"/>
    </row>
    <row r="383" spans="1:1" ht="18.399999999999999" customHeight="1">
      <c r="A383" s="10"/>
    </row>
    <row r="384" spans="1:1" ht="18.399999999999999" customHeight="1">
      <c r="A384" s="10"/>
    </row>
    <row r="385" spans="1:1" ht="18.399999999999999" customHeight="1">
      <c r="A385" s="10"/>
    </row>
    <row r="386" spans="1:1" ht="18.399999999999999" customHeight="1">
      <c r="A386" s="10"/>
    </row>
    <row r="387" spans="1:1" ht="18.399999999999999" customHeight="1">
      <c r="A387" s="10"/>
    </row>
    <row r="388" spans="1:1" ht="18.399999999999999" customHeight="1">
      <c r="A388" s="10"/>
    </row>
    <row r="389" spans="1:1" ht="18.399999999999999" customHeight="1">
      <c r="A389" s="10"/>
    </row>
    <row r="390" spans="1:1" ht="18.399999999999999" customHeight="1">
      <c r="A390" s="10"/>
    </row>
    <row r="391" spans="1:1" ht="18.399999999999999" customHeight="1">
      <c r="A391" s="10"/>
    </row>
    <row r="392" spans="1:1" ht="18.399999999999999" customHeight="1">
      <c r="A392" s="10"/>
    </row>
    <row r="393" spans="1:1" ht="18.399999999999999" customHeight="1">
      <c r="A393" s="10"/>
    </row>
    <row r="394" spans="1:1" ht="18.399999999999999" customHeight="1">
      <c r="A394" s="10"/>
    </row>
    <row r="395" spans="1:1" ht="18.399999999999999" customHeight="1">
      <c r="A395" s="10"/>
    </row>
    <row r="396" spans="1:1" ht="18.399999999999999" customHeight="1">
      <c r="A396" s="10"/>
    </row>
    <row r="397" spans="1:1" ht="18.399999999999999" customHeight="1">
      <c r="A397" s="10"/>
    </row>
    <row r="398" spans="1:1" ht="18.399999999999999" customHeight="1">
      <c r="A398" s="10"/>
    </row>
    <row r="399" spans="1:1" ht="18.399999999999999" customHeight="1">
      <c r="A399" s="10"/>
    </row>
    <row r="400" spans="1:1" ht="18.399999999999999" customHeight="1">
      <c r="A400" s="10"/>
    </row>
    <row r="401" spans="1:1" ht="18.399999999999999" customHeight="1">
      <c r="A401" s="10"/>
    </row>
    <row r="402" spans="1:1" ht="18.399999999999999" customHeight="1">
      <c r="A402" s="10"/>
    </row>
    <row r="403" spans="1:1" ht="18.399999999999999" customHeight="1">
      <c r="A403" s="10"/>
    </row>
    <row r="404" spans="1:1" ht="18.399999999999999" customHeight="1">
      <c r="A404" s="10"/>
    </row>
    <row r="405" spans="1:1" ht="18.399999999999999" customHeight="1">
      <c r="A405" s="10"/>
    </row>
    <row r="406" spans="1:1" ht="18.399999999999999" customHeight="1">
      <c r="A406" s="10"/>
    </row>
    <row r="407" spans="1:1" ht="18.399999999999999" customHeight="1">
      <c r="A407" s="10"/>
    </row>
    <row r="408" spans="1:1" ht="18.399999999999999" customHeight="1">
      <c r="A408" s="10"/>
    </row>
    <row r="409" spans="1:1" ht="18.399999999999999" customHeight="1">
      <c r="A409" s="10"/>
    </row>
    <row r="410" spans="1:1" ht="18.399999999999999" customHeight="1">
      <c r="A410" s="10"/>
    </row>
    <row r="411" spans="1:1" ht="18.399999999999999" customHeight="1">
      <c r="A411" s="10"/>
    </row>
    <row r="412" spans="1:1" ht="18.399999999999999" customHeight="1">
      <c r="A412" s="10"/>
    </row>
    <row r="413" spans="1:1" ht="18.399999999999999" customHeight="1">
      <c r="A413" s="10"/>
    </row>
    <row r="414" spans="1:1" ht="18.399999999999999" customHeight="1">
      <c r="A414" s="10"/>
    </row>
    <row r="415" spans="1:1" ht="18.399999999999999" customHeight="1">
      <c r="A415" s="10"/>
    </row>
    <row r="416" spans="1:1" ht="18.399999999999999" customHeight="1">
      <c r="A416" s="10"/>
    </row>
    <row r="417" spans="1:1" ht="18.399999999999999" customHeight="1">
      <c r="A417" s="10"/>
    </row>
    <row r="418" spans="1:1" ht="18.399999999999999" customHeight="1">
      <c r="A418" s="10"/>
    </row>
    <row r="419" spans="1:1" ht="18.399999999999999" customHeight="1">
      <c r="A419" s="10"/>
    </row>
    <row r="420" spans="1:1" ht="18.399999999999999" customHeight="1">
      <c r="A420" s="10"/>
    </row>
    <row r="421" spans="1:1" ht="18.399999999999999" customHeight="1">
      <c r="A421" s="10"/>
    </row>
    <row r="422" spans="1:1" ht="18.399999999999999" customHeight="1">
      <c r="A422" s="10"/>
    </row>
    <row r="423" spans="1:1" ht="18.399999999999999" customHeight="1">
      <c r="A423" s="10"/>
    </row>
    <row r="424" spans="1:1" ht="18.399999999999999" customHeight="1">
      <c r="A424" s="10"/>
    </row>
    <row r="425" spans="1:1" ht="18.399999999999999" customHeight="1">
      <c r="A425" s="10"/>
    </row>
    <row r="426" spans="1:1" ht="18.399999999999999" customHeight="1">
      <c r="A426" s="10"/>
    </row>
    <row r="427" spans="1:1" ht="18.399999999999999" customHeight="1">
      <c r="A427" s="10"/>
    </row>
    <row r="428" spans="1:1" ht="18.399999999999999" customHeight="1">
      <c r="A428" s="10"/>
    </row>
    <row r="429" spans="1:1" ht="18.399999999999999" customHeight="1">
      <c r="A429" s="10"/>
    </row>
    <row r="430" spans="1:1" ht="18.399999999999999" customHeight="1">
      <c r="A430" s="10"/>
    </row>
    <row r="431" spans="1:1" ht="18.399999999999999" customHeight="1">
      <c r="A431" s="10"/>
    </row>
    <row r="432" spans="1:1" ht="18.399999999999999" customHeight="1">
      <c r="A432" s="10"/>
    </row>
    <row r="433" spans="1:1" ht="18.399999999999999" customHeight="1">
      <c r="A433" s="10"/>
    </row>
    <row r="434" spans="1:1" ht="18.399999999999999" customHeight="1">
      <c r="A434" s="10"/>
    </row>
    <row r="435" spans="1:1" ht="18.399999999999999" customHeight="1">
      <c r="A435" s="10"/>
    </row>
    <row r="436" spans="1:1" ht="18.399999999999999" customHeight="1">
      <c r="A436" s="10"/>
    </row>
    <row r="437" spans="1:1" ht="18.399999999999999" customHeight="1">
      <c r="A437" s="10"/>
    </row>
    <row r="438" spans="1:1" ht="18.399999999999999" customHeight="1">
      <c r="A438" s="10"/>
    </row>
    <row r="439" spans="1:1" ht="18.399999999999999" customHeight="1">
      <c r="A439" s="10"/>
    </row>
    <row r="440" spans="1:1" ht="18.399999999999999" customHeight="1">
      <c r="A440" s="10"/>
    </row>
    <row r="441" spans="1:1" ht="18.399999999999999" customHeight="1">
      <c r="A441" s="10"/>
    </row>
    <row r="442" spans="1:1" ht="18.399999999999999" customHeight="1">
      <c r="A442" s="10"/>
    </row>
    <row r="443" spans="1:1" ht="18.399999999999999" customHeight="1">
      <c r="A443" s="10"/>
    </row>
    <row r="444" spans="1:1" ht="18.399999999999999" customHeight="1">
      <c r="A444" s="10"/>
    </row>
    <row r="445" spans="1:1" ht="18.399999999999999" customHeight="1">
      <c r="A445" s="10"/>
    </row>
    <row r="446" spans="1:1" ht="18.399999999999999" customHeight="1">
      <c r="A446" s="10"/>
    </row>
    <row r="447" spans="1:1" ht="18.399999999999999" customHeight="1">
      <c r="A447" s="10"/>
    </row>
    <row r="448" spans="1:1" ht="18.399999999999999" customHeight="1">
      <c r="A448" s="10"/>
    </row>
    <row r="449" spans="1:1" ht="18.399999999999999" customHeight="1">
      <c r="A449" s="10"/>
    </row>
    <row r="450" spans="1:1" ht="18.399999999999999" customHeight="1">
      <c r="A450" s="10"/>
    </row>
    <row r="451" spans="1:1" ht="18.399999999999999" customHeight="1">
      <c r="A451" s="10"/>
    </row>
    <row r="452" spans="1:1" ht="18.399999999999999" customHeight="1">
      <c r="A452" s="10"/>
    </row>
    <row r="453" spans="1:1" ht="18.399999999999999" customHeight="1">
      <c r="A453" s="10"/>
    </row>
    <row r="454" spans="1:1" ht="18.399999999999999" customHeight="1">
      <c r="A454" s="10"/>
    </row>
    <row r="455" spans="1:1" ht="18.399999999999999" customHeight="1">
      <c r="A455" s="10"/>
    </row>
    <row r="456" spans="1:1" ht="18.399999999999999" customHeight="1">
      <c r="A456" s="10"/>
    </row>
    <row r="457" spans="1:1" ht="18.399999999999999" customHeight="1">
      <c r="A457" s="10"/>
    </row>
    <row r="458" spans="1:1" ht="18.399999999999999" customHeight="1">
      <c r="A458" s="10"/>
    </row>
    <row r="459" spans="1:1" ht="18.399999999999999" customHeight="1">
      <c r="A459" s="10"/>
    </row>
    <row r="460" spans="1:1" ht="18.399999999999999" customHeight="1">
      <c r="A460" s="10"/>
    </row>
    <row r="461" spans="1:1" ht="18.399999999999999" customHeight="1">
      <c r="A461" s="10"/>
    </row>
    <row r="462" spans="1:1" ht="18.399999999999999" customHeight="1">
      <c r="A462" s="10"/>
    </row>
    <row r="463" spans="1:1" ht="18.399999999999999" customHeight="1">
      <c r="A463" s="10"/>
    </row>
    <row r="464" spans="1:1" ht="18.399999999999999" customHeight="1">
      <c r="A464" s="10"/>
    </row>
    <row r="465" spans="1:1" ht="18.399999999999999" customHeight="1">
      <c r="A465" s="10"/>
    </row>
    <row r="466" spans="1:1" ht="18.399999999999999" customHeight="1">
      <c r="A466" s="10"/>
    </row>
    <row r="467" spans="1:1" ht="18.399999999999999" customHeight="1">
      <c r="A467" s="10"/>
    </row>
    <row r="468" spans="1:1" ht="18.399999999999999" customHeight="1">
      <c r="A468" s="10"/>
    </row>
    <row r="469" spans="1:1" ht="18.399999999999999" customHeight="1">
      <c r="A469" s="10"/>
    </row>
    <row r="470" spans="1:1" ht="18.399999999999999" customHeight="1">
      <c r="A470" s="10"/>
    </row>
    <row r="471" spans="1:1" ht="18.399999999999999" customHeight="1">
      <c r="A471" s="10"/>
    </row>
    <row r="472" spans="1:1" ht="18.399999999999999" customHeight="1">
      <c r="A472" s="10"/>
    </row>
    <row r="473" spans="1:1" ht="18.399999999999999" customHeight="1">
      <c r="A473" s="10"/>
    </row>
    <row r="474" spans="1:1" ht="18.399999999999999" customHeight="1">
      <c r="A474" s="10"/>
    </row>
    <row r="475" spans="1:1" ht="18.399999999999999" customHeight="1">
      <c r="A475" s="10"/>
    </row>
    <row r="476" spans="1:1" ht="18.399999999999999" customHeight="1">
      <c r="A476" s="10"/>
    </row>
    <row r="477" spans="1:1" ht="18.399999999999999" customHeight="1">
      <c r="A477" s="10"/>
    </row>
    <row r="478" spans="1:1" ht="18.399999999999999" customHeight="1">
      <c r="A478" s="10"/>
    </row>
    <row r="479" spans="1:1" ht="18.399999999999999" customHeight="1">
      <c r="A479" s="10"/>
    </row>
    <row r="480" spans="1:1" ht="18.399999999999999" customHeight="1">
      <c r="A480" s="10"/>
    </row>
    <row r="481" spans="1:1" ht="18.399999999999999" customHeight="1">
      <c r="A481" s="10"/>
    </row>
    <row r="482" spans="1:1" ht="18.399999999999999" customHeight="1">
      <c r="A482" s="10"/>
    </row>
    <row r="483" spans="1:1" ht="18.399999999999999" customHeight="1">
      <c r="A483" s="10"/>
    </row>
    <row r="484" spans="1:1" ht="18.399999999999999" customHeight="1">
      <c r="A484" s="10"/>
    </row>
    <row r="485" spans="1:1" ht="18.399999999999999" customHeight="1">
      <c r="A485" s="10"/>
    </row>
    <row r="486" spans="1:1" ht="18.399999999999999" customHeight="1">
      <c r="A486" s="10"/>
    </row>
    <row r="487" spans="1:1" ht="18.399999999999999" customHeight="1">
      <c r="A487" s="10"/>
    </row>
    <row r="488" spans="1:1" ht="18.399999999999999" customHeight="1">
      <c r="A488" s="10"/>
    </row>
    <row r="489" spans="1:1" ht="18.399999999999999" customHeight="1">
      <c r="A489" s="10"/>
    </row>
    <row r="490" spans="1:1" ht="18.399999999999999" customHeight="1">
      <c r="A490" s="10"/>
    </row>
    <row r="491" spans="1:1" ht="18.399999999999999" customHeight="1">
      <c r="A491" s="10"/>
    </row>
    <row r="492" spans="1:1" ht="18.399999999999999" customHeight="1">
      <c r="A492" s="10"/>
    </row>
    <row r="493" spans="1:1" ht="18.399999999999999" customHeight="1">
      <c r="A493" s="10"/>
    </row>
    <row r="494" spans="1:1" ht="18.399999999999999" customHeight="1">
      <c r="A494" s="10"/>
    </row>
    <row r="495" spans="1:1" ht="18.399999999999999" customHeight="1">
      <c r="A495" s="10"/>
    </row>
    <row r="496" spans="1:1" ht="18.399999999999999" customHeight="1">
      <c r="A496" s="10"/>
    </row>
    <row r="497" spans="1:1" ht="18.399999999999999" customHeight="1">
      <c r="A497" s="10"/>
    </row>
    <row r="498" spans="1:1" ht="18.399999999999999" customHeight="1">
      <c r="A498" s="10"/>
    </row>
    <row r="499" spans="1:1" ht="18.399999999999999" customHeight="1">
      <c r="A499" s="10"/>
    </row>
    <row r="500" spans="1:1" ht="18.399999999999999" customHeight="1">
      <c r="A500" s="10"/>
    </row>
  </sheetData>
  <mergeCells count="2">
    <mergeCell ref="A1:I1"/>
    <mergeCell ref="A2:I2"/>
  </mergeCells>
  <conditionalFormatting sqref="F5:F304">
    <cfRule type="dataBar" priority="1">
      <dataBar>
        <cfvo type="min"/>
        <cfvo type="max"/>
        <color rgb="FFE6B643"/>
      </dataBar>
    </cfRule>
    <cfRule type="dataBar" priority="2">
      <dataBar>
        <cfvo type="min"/>
        <cfvo type="max"/>
        <color rgb="FFE6B643"/>
      </dataBar>
    </cfRule>
    <cfRule type="dataBar" priority="3">
      <dataBar>
        <cfvo type="min"/>
        <cfvo type="max"/>
        <color rgb="FFE6B643"/>
      </dataBar>
      <extLst>
        <ext xmlns:x14="http://schemas.microsoft.com/office/spreadsheetml/2009/9/main" uri="{B025F937-C7B1-47D3-B67F-A62EFF666E3E}">
          <x14:id>{41604201-B867-D429-A9CB-C41AD6618ECB}</x14:id>
        </ext>
      </extLst>
    </cfRule>
  </conditionalFormatting>
  <dataValidations count="1">
    <dataValidation sqref="E5:E304" xr:uid="{00000000-0002-0000-0B00-000000000000}">
      <formula1>0</formula1>
      <formula2>100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604201-B867-D429-A9CB-C41AD6618ECB}">
            <x14:dataBar>
              <x14:cfvo type="min"/>
              <x14:cfvo type="max"/>
              <x14:negativeFillColor auto="1"/>
              <x14:axisColor auto="1"/>
            </x14:dataBar>
          </x14:cfRule>
          <xm:sqref>F5:F304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000"/>
  <sheetViews>
    <sheetView workbookViewId="0">
      <selection sqref="A1:O1"/>
    </sheetView>
  </sheetViews>
  <sheetFormatPr baseColWidth="10" defaultColWidth="8.6640625" defaultRowHeight="14"/>
  <cols>
    <col min="1" max="1" width="8.5" customWidth="1"/>
    <col min="2" max="2" width="8.75" customWidth="1"/>
    <col min="3" max="3" width="5.08203125" customWidth="1"/>
    <col min="4" max="4" width="4.6640625" customWidth="1"/>
    <col min="5" max="5" width="6.9140625" customWidth="1"/>
    <col min="6" max="6" width="9.1640625" customWidth="1"/>
    <col min="7" max="7" width="4.1640625" customWidth="1"/>
    <col min="8" max="8" width="10.08203125" customWidth="1"/>
    <col min="9" max="9" width="6.25" customWidth="1"/>
    <col min="10" max="10" width="6.1640625" customWidth="1"/>
    <col min="11" max="11" width="15.5" customWidth="1"/>
    <col min="12" max="12" width="8.9140625" customWidth="1"/>
    <col min="13" max="13" width="13.25" customWidth="1"/>
    <col min="14" max="14" width="12.75" customWidth="1"/>
    <col min="15" max="15" width="12.25" customWidth="1"/>
  </cols>
  <sheetData>
    <row r="1" spans="1:15" ht="15.15" customHeight="1">
      <c r="A1" s="43" t="s">
        <v>255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>
      <c r="A2" s="10"/>
    </row>
    <row r="3" spans="1:15" ht="13.4" customHeight="1">
      <c r="A3" s="11" t="s">
        <v>256</v>
      </c>
      <c r="B3" s="1" t="s">
        <v>225</v>
      </c>
      <c r="C3" s="1" t="s">
        <v>219</v>
      </c>
      <c r="D3" s="1" t="s">
        <v>178</v>
      </c>
      <c r="E3" s="1" t="s">
        <v>247</v>
      </c>
      <c r="F3" s="1" t="s">
        <v>211</v>
      </c>
      <c r="G3" s="1" t="s">
        <v>152</v>
      </c>
      <c r="H3" s="1" t="s">
        <v>257</v>
      </c>
      <c r="I3" s="1" t="s">
        <v>248</v>
      </c>
      <c r="J3" s="1" t="s">
        <v>258</v>
      </c>
      <c r="K3" s="1" t="s">
        <v>259</v>
      </c>
      <c r="L3" s="1" t="s">
        <v>260</v>
      </c>
      <c r="M3" s="1" t="s">
        <v>261</v>
      </c>
      <c r="N3" s="1" t="s">
        <v>262</v>
      </c>
      <c r="O3" s="1" t="s">
        <v>198</v>
      </c>
    </row>
    <row r="4" spans="1:15">
      <c r="A4" s="12"/>
      <c r="B4" s="2"/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12"/>
      <c r="B5" s="2"/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12"/>
      <c r="B6" s="2"/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12"/>
      <c r="B7" s="2"/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12"/>
      <c r="B8" s="2"/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12"/>
      <c r="B9" s="2"/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12"/>
      <c r="B10" s="2"/>
      <c r="C10" s="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>
      <c r="A11" s="12"/>
      <c r="B11" s="2"/>
      <c r="C11" s="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12"/>
      <c r="B12" s="2"/>
      <c r="C12" s="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12"/>
      <c r="B13" s="2"/>
      <c r="C13" s="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12"/>
      <c r="B14" s="2"/>
      <c r="C14" s="5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12"/>
      <c r="B15" s="2"/>
      <c r="C15" s="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12"/>
      <c r="B16" s="2"/>
      <c r="C16" s="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12"/>
      <c r="B17" s="2"/>
      <c r="C17" s="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12"/>
      <c r="B18" s="2"/>
      <c r="C18" s="5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12"/>
      <c r="B19" s="2"/>
      <c r="C19" s="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12"/>
      <c r="B20" s="2"/>
      <c r="C20" s="5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12"/>
      <c r="B21" s="2"/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12"/>
      <c r="B22" s="2"/>
      <c r="C22" s="5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12"/>
      <c r="B23" s="2"/>
      <c r="C23" s="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12"/>
      <c r="B24" s="2"/>
      <c r="C24" s="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>
      <c r="A25" s="12"/>
      <c r="B25" s="2"/>
      <c r="C25" s="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>
      <c r="A26" s="12"/>
      <c r="B26" s="2"/>
      <c r="C26" s="5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12"/>
      <c r="B27" s="2"/>
      <c r="C27" s="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12"/>
      <c r="B28" s="2"/>
      <c r="C28" s="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12"/>
      <c r="B29" s="2"/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12"/>
      <c r="B30" s="2"/>
      <c r="C30" s="5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12"/>
      <c r="B31" s="2"/>
      <c r="C31" s="5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12"/>
      <c r="B32" s="2"/>
      <c r="C32" s="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>
      <c r="A33" s="12"/>
      <c r="B33" s="2"/>
      <c r="C33" s="5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>
      <c r="A34" s="12"/>
      <c r="B34" s="2"/>
      <c r="C34" s="5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>
      <c r="A35" s="12"/>
      <c r="B35" s="2"/>
      <c r="C35" s="5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>
      <c r="A36" s="12"/>
      <c r="B36" s="2"/>
      <c r="C36" s="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>
      <c r="A37" s="12"/>
      <c r="B37" s="2"/>
      <c r="C37" s="5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>
      <c r="A38" s="12"/>
      <c r="B38" s="2"/>
      <c r="C38" s="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>
      <c r="A39" s="12"/>
      <c r="B39" s="2"/>
      <c r="C39" s="5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>
      <c r="A40" s="12"/>
      <c r="B40" s="2"/>
      <c r="C40" s="5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>
      <c r="A41" s="12"/>
      <c r="B41" s="2"/>
      <c r="C41" s="5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>
      <c r="A42" s="12"/>
      <c r="B42" s="2"/>
      <c r="C42" s="5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>
      <c r="A43" s="12"/>
      <c r="B43" s="2"/>
      <c r="C43" s="5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>
      <c r="A44" s="12"/>
      <c r="B44" s="2"/>
      <c r="C44" s="5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12"/>
      <c r="B45" s="2"/>
      <c r="C45" s="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12"/>
      <c r="B46" s="2"/>
      <c r="C46" s="5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12"/>
      <c r="B47" s="2"/>
      <c r="C47" s="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>
      <c r="A48" s="12"/>
      <c r="B48" s="2"/>
      <c r="C48" s="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12"/>
      <c r="B49" s="2"/>
      <c r="C49" s="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12"/>
      <c r="B50" s="2"/>
      <c r="C50" s="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12"/>
      <c r="B51" s="2"/>
      <c r="C51" s="5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12"/>
      <c r="B52" s="2"/>
      <c r="C52" s="5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12"/>
      <c r="B53" s="2"/>
      <c r="C53" s="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>
      <c r="A54" s="12"/>
      <c r="B54" s="2"/>
      <c r="C54" s="5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>
      <c r="A55" s="12"/>
      <c r="B55" s="2"/>
      <c r="C55" s="5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>
      <c r="A56" s="12"/>
      <c r="B56" s="2"/>
      <c r="C56" s="5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>
      <c r="A57" s="12"/>
      <c r="B57" s="2"/>
      <c r="C57" s="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>
      <c r="A58" s="12"/>
      <c r="B58" s="2"/>
      <c r="C58" s="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>
      <c r="A59" s="12"/>
      <c r="B59" s="2"/>
      <c r="C59" s="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>
      <c r="A60" s="12"/>
      <c r="B60" s="2"/>
      <c r="C60" s="5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>
      <c r="A61" s="12"/>
      <c r="B61" s="2"/>
      <c r="C61" s="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12"/>
      <c r="B62" s="2"/>
      <c r="C62" s="5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12"/>
      <c r="B63" s="2"/>
      <c r="C63" s="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12"/>
      <c r="B64" s="2"/>
      <c r="C64" s="5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12"/>
      <c r="B65" s="2"/>
      <c r="C65" s="5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12"/>
      <c r="B66" s="2"/>
      <c r="C66" s="5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12"/>
      <c r="B67" s="2"/>
      <c r="C67" s="5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>
      <c r="A68" s="12"/>
      <c r="B68" s="2"/>
      <c r="C68" s="5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>
      <c r="A69" s="12"/>
      <c r="B69" s="2"/>
      <c r="C69" s="5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12"/>
      <c r="B70" s="2"/>
      <c r="C70" s="5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>
      <c r="A71" s="12"/>
      <c r="B71" s="2"/>
      <c r="C71" s="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>
      <c r="A72" s="12"/>
      <c r="B72" s="2"/>
      <c r="C72" s="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>
      <c r="A73" s="12"/>
      <c r="B73" s="2"/>
      <c r="C73" s="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>
      <c r="A74" s="12"/>
      <c r="B74" s="2"/>
      <c r="C74" s="5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>
      <c r="A75" s="12"/>
      <c r="B75" s="2"/>
      <c r="C75" s="5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12"/>
      <c r="B76" s="2"/>
      <c r="C76" s="5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12"/>
      <c r="B77" s="2"/>
      <c r="C77" s="5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12"/>
      <c r="B78" s="2"/>
      <c r="C78" s="5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12"/>
      <c r="B79" s="2"/>
      <c r="C79" s="5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12"/>
      <c r="B80" s="2"/>
      <c r="C80" s="5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12"/>
      <c r="B81" s="2"/>
      <c r="C81" s="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12"/>
      <c r="B82" s="2"/>
      <c r="C82" s="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12"/>
      <c r="B83" s="2"/>
      <c r="C83" s="5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12"/>
      <c r="B84" s="2"/>
      <c r="C84" s="5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12"/>
      <c r="B85" s="2"/>
      <c r="C85" s="5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12"/>
      <c r="B86" s="2"/>
      <c r="C86" s="5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12"/>
      <c r="B87" s="2"/>
      <c r="C87" s="5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12"/>
      <c r="B88" s="2"/>
      <c r="C88" s="5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12"/>
      <c r="B89" s="2"/>
      <c r="C89" s="5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12"/>
      <c r="B90" s="2"/>
      <c r="C90" s="5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12"/>
      <c r="B91" s="2"/>
      <c r="C91" s="5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12"/>
      <c r="B92" s="2"/>
      <c r="C92" s="5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12"/>
      <c r="B93" s="2"/>
      <c r="C93" s="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12"/>
      <c r="B94" s="2"/>
      <c r="C94" s="5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12"/>
      <c r="B95" s="2"/>
      <c r="C95" s="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12"/>
      <c r="B96" s="2"/>
      <c r="C96" s="5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12"/>
      <c r="B97" s="2"/>
      <c r="C97" s="5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12"/>
      <c r="B98" s="2"/>
      <c r="C98" s="5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12"/>
      <c r="B99" s="2"/>
      <c r="C99" s="5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12"/>
      <c r="B100" s="2"/>
      <c r="C100" s="5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12"/>
      <c r="B101" s="2"/>
      <c r="C101" s="5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12"/>
      <c r="B102" s="2"/>
      <c r="C102" s="5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12"/>
      <c r="B103" s="2"/>
      <c r="C103" s="5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12"/>
      <c r="B104" s="2"/>
      <c r="C104" s="5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12"/>
      <c r="B105" s="2"/>
      <c r="C105" s="5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12"/>
      <c r="B106" s="2"/>
      <c r="C106" s="5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12"/>
      <c r="B107" s="2"/>
      <c r="C107" s="5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12"/>
      <c r="B108" s="2"/>
      <c r="C108" s="5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12"/>
      <c r="B109" s="2"/>
      <c r="C109" s="5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12"/>
      <c r="B110" s="2"/>
      <c r="C110" s="5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12"/>
      <c r="B111" s="2"/>
      <c r="C111" s="5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12"/>
      <c r="B112" s="2"/>
      <c r="C112" s="5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12"/>
      <c r="B113" s="2"/>
      <c r="C113" s="5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12"/>
      <c r="B114" s="2"/>
      <c r="C114" s="5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12"/>
      <c r="B115" s="2"/>
      <c r="C115" s="5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12"/>
      <c r="B116" s="2"/>
      <c r="C116" s="5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12"/>
      <c r="B117" s="2"/>
      <c r="C117" s="5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12"/>
      <c r="B118" s="2"/>
      <c r="C118" s="5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12"/>
      <c r="B119" s="2"/>
      <c r="C119" s="5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12"/>
      <c r="B120" s="2"/>
      <c r="C120" s="5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12"/>
      <c r="B121" s="2"/>
      <c r="C121" s="5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12"/>
      <c r="B122" s="2"/>
      <c r="C122" s="5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>
      <c r="A123" s="12"/>
      <c r="B123" s="2"/>
      <c r="C123" s="5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12"/>
      <c r="B124" s="2"/>
      <c r="C124" s="5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>
      <c r="A125" s="12"/>
      <c r="B125" s="2"/>
      <c r="C125" s="5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>
      <c r="A126" s="12"/>
      <c r="B126" s="2"/>
      <c r="C126" s="5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12"/>
      <c r="B127" s="2"/>
      <c r="C127" s="5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12"/>
      <c r="B128" s="2"/>
      <c r="C128" s="5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>
      <c r="A129" s="12"/>
      <c r="B129" s="2"/>
      <c r="C129" s="5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>
      <c r="A130" s="12"/>
      <c r="B130" s="2"/>
      <c r="C130" s="5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>
      <c r="A131" s="12"/>
      <c r="B131" s="2"/>
      <c r="C131" s="5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12"/>
      <c r="B132" s="2"/>
      <c r="C132" s="5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12"/>
      <c r="B133" s="2"/>
      <c r="C133" s="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>
      <c r="A134" s="12"/>
      <c r="B134" s="2"/>
      <c r="C134" s="5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>
      <c r="A135" s="12"/>
      <c r="B135" s="2"/>
      <c r="C135" s="5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>
      <c r="A136" s="12"/>
      <c r="B136" s="2"/>
      <c r="C136" s="5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>
      <c r="A137" s="12"/>
      <c r="B137" s="2"/>
      <c r="C137" s="5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>
      <c r="A138" s="12"/>
      <c r="B138" s="2"/>
      <c r="C138" s="5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12"/>
      <c r="B139" s="2"/>
      <c r="C139" s="5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>
      <c r="A140" s="12"/>
      <c r="B140" s="2"/>
      <c r="C140" s="5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>
      <c r="A141" s="12"/>
      <c r="B141" s="2"/>
      <c r="C141" s="5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12"/>
      <c r="B142" s="2"/>
      <c r="C142" s="5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>
      <c r="A143" s="12"/>
      <c r="B143" s="2"/>
      <c r="C143" s="5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>
      <c r="A144" s="12"/>
      <c r="B144" s="2"/>
      <c r="C144" s="5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12"/>
      <c r="B145" s="2"/>
      <c r="C145" s="5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12"/>
      <c r="B146" s="2"/>
      <c r="C146" s="5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12"/>
      <c r="B147" s="2"/>
      <c r="C147" s="5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12"/>
      <c r="B148" s="2"/>
      <c r="C148" s="5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12"/>
      <c r="B149" s="2"/>
      <c r="C149" s="5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12"/>
      <c r="B150" s="2"/>
      <c r="C150" s="5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12"/>
      <c r="B151" s="2"/>
      <c r="C151" s="5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12"/>
      <c r="B152" s="2"/>
      <c r="C152" s="5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12"/>
      <c r="B153" s="2"/>
      <c r="C153" s="5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12"/>
      <c r="B154" s="2"/>
      <c r="C154" s="5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12"/>
      <c r="B155" s="2"/>
      <c r="C155" s="5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12"/>
      <c r="B156" s="2"/>
      <c r="C156" s="5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12"/>
      <c r="B157" s="2"/>
      <c r="C157" s="5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12"/>
      <c r="B158" s="2"/>
      <c r="C158" s="5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12"/>
      <c r="B159" s="2"/>
      <c r="C159" s="5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12"/>
      <c r="B160" s="2"/>
      <c r="C160" s="5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12"/>
      <c r="B161" s="2"/>
      <c r="C161" s="5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12"/>
      <c r="B162" s="2"/>
      <c r="C162" s="5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12"/>
      <c r="B163" s="2"/>
      <c r="C163" s="5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12"/>
      <c r="B164" s="2"/>
      <c r="C164" s="5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12"/>
      <c r="B165" s="2"/>
      <c r="C165" s="5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12"/>
      <c r="B166" s="2"/>
      <c r="C166" s="5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12"/>
      <c r="B167" s="2"/>
      <c r="C167" s="5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12"/>
      <c r="B168" s="2"/>
      <c r="C168" s="5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12"/>
      <c r="B169" s="2"/>
      <c r="C169" s="5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12"/>
      <c r="B170" s="2"/>
      <c r="C170" s="5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12"/>
      <c r="B171" s="2"/>
      <c r="C171" s="5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12"/>
      <c r="B172" s="2"/>
      <c r="C172" s="5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12"/>
      <c r="B173" s="2"/>
      <c r="C173" s="5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12"/>
      <c r="B174" s="2"/>
      <c r="C174" s="5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12"/>
      <c r="B175" s="2"/>
      <c r="C175" s="5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12"/>
      <c r="B176" s="2"/>
      <c r="C176" s="5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12"/>
      <c r="B177" s="2"/>
      <c r="C177" s="5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>
      <c r="A178" s="12"/>
      <c r="B178" s="2"/>
      <c r="C178" s="5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>
      <c r="A179" s="12"/>
      <c r="B179" s="2"/>
      <c r="C179" s="5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>
      <c r="A180" s="12"/>
      <c r="B180" s="2"/>
      <c r="C180" s="5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>
      <c r="A181" s="12"/>
      <c r="B181" s="2"/>
      <c r="C181" s="5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>
      <c r="A182" s="12"/>
      <c r="B182" s="2"/>
      <c r="C182" s="5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>
      <c r="A183" s="12"/>
      <c r="B183" s="2"/>
      <c r="C183" s="5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>
      <c r="A184" s="12"/>
      <c r="B184" s="2"/>
      <c r="C184" s="5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>
      <c r="A185" s="12"/>
      <c r="B185" s="2"/>
      <c r="C185" s="5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>
      <c r="A186" s="12"/>
      <c r="B186" s="2"/>
      <c r="C186" s="5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>
      <c r="A187" s="12"/>
      <c r="B187" s="2"/>
      <c r="C187" s="5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>
      <c r="A188" s="12"/>
      <c r="B188" s="2"/>
      <c r="C188" s="5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>
      <c r="A189" s="12"/>
      <c r="B189" s="2"/>
      <c r="C189" s="5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>
      <c r="A190" s="12"/>
      <c r="B190" s="2"/>
      <c r="C190" s="5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>
      <c r="A191" s="12"/>
      <c r="B191" s="2"/>
      <c r="C191" s="5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>
      <c r="A192" s="12"/>
      <c r="B192" s="2"/>
      <c r="C192" s="5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>
      <c r="A193" s="12"/>
      <c r="B193" s="2"/>
      <c r="C193" s="5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>
      <c r="A194" s="12"/>
      <c r="B194" s="2"/>
      <c r="C194" s="5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>
      <c r="A195" s="12"/>
      <c r="B195" s="2"/>
      <c r="C195" s="5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>
      <c r="A196" s="12"/>
      <c r="B196" s="2"/>
      <c r="C196" s="5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12"/>
      <c r="B197" s="2"/>
      <c r="C197" s="5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12"/>
      <c r="B198" s="2"/>
      <c r="C198" s="5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12"/>
      <c r="B199" s="2"/>
      <c r="C199" s="5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>
      <c r="A200" s="12"/>
      <c r="B200" s="2"/>
      <c r="C200" s="5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>
      <c r="A201" s="12"/>
      <c r="B201" s="2"/>
      <c r="C201" s="5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>
      <c r="A202" s="12"/>
      <c r="B202" s="2"/>
      <c r="C202" s="5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>
      <c r="A203" s="12"/>
      <c r="B203" s="2"/>
      <c r="C203" s="5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>
      <c r="A204" s="12"/>
      <c r="B204" s="2"/>
      <c r="C204" s="5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>
      <c r="A205" s="12"/>
      <c r="B205" s="2"/>
      <c r="C205" s="5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>
      <c r="A206" s="12"/>
      <c r="B206" s="2"/>
      <c r="C206" s="5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>
      <c r="A207" s="12"/>
      <c r="B207" s="2"/>
      <c r="C207" s="5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>
      <c r="A208" s="12"/>
      <c r="B208" s="2"/>
      <c r="C208" s="5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>
      <c r="A209" s="12"/>
      <c r="B209" s="2"/>
      <c r="C209" s="5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>
      <c r="A210" s="12"/>
      <c r="B210" s="2"/>
      <c r="C210" s="5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>
      <c r="A211" s="12"/>
      <c r="B211" s="2"/>
      <c r="C211" s="5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>
      <c r="A212" s="12"/>
      <c r="B212" s="2"/>
      <c r="C212" s="5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>
      <c r="A213" s="12"/>
      <c r="B213" s="2"/>
      <c r="C213" s="5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>
      <c r="A214" s="12"/>
      <c r="B214" s="2"/>
      <c r="C214" s="5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>
      <c r="A215" s="12"/>
      <c r="B215" s="2"/>
      <c r="C215" s="5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>
      <c r="A216" s="12"/>
      <c r="B216" s="2"/>
      <c r="C216" s="5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>
      <c r="A217" s="12"/>
      <c r="B217" s="2"/>
      <c r="C217" s="5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>
      <c r="A218" s="12"/>
      <c r="B218" s="2"/>
      <c r="C218" s="5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>
      <c r="A219" s="12"/>
      <c r="B219" s="2"/>
      <c r="C219" s="5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>
      <c r="A220" s="12"/>
      <c r="B220" s="2"/>
      <c r="C220" s="5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>
      <c r="A221" s="12"/>
      <c r="B221" s="2"/>
      <c r="C221" s="5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>
      <c r="A222" s="12"/>
      <c r="B222" s="2"/>
      <c r="C222" s="5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>
      <c r="A223" s="12"/>
      <c r="B223" s="2"/>
      <c r="C223" s="5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>
      <c r="A224" s="12"/>
      <c r="B224" s="2"/>
      <c r="C224" s="5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>
      <c r="A225" s="12"/>
      <c r="B225" s="2"/>
      <c r="C225" s="5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>
      <c r="A226" s="12"/>
      <c r="B226" s="2"/>
      <c r="C226" s="5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>
      <c r="A227" s="12"/>
      <c r="B227" s="2"/>
      <c r="C227" s="5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>
      <c r="A228" s="12"/>
      <c r="B228" s="2"/>
      <c r="C228" s="5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>
      <c r="A229" s="12"/>
      <c r="B229" s="2"/>
      <c r="C229" s="5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>
      <c r="A230" s="12"/>
      <c r="B230" s="2"/>
      <c r="C230" s="5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>
      <c r="A231" s="12"/>
      <c r="B231" s="2"/>
      <c r="C231" s="5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>
      <c r="A232" s="12"/>
      <c r="B232" s="2"/>
      <c r="C232" s="5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>
      <c r="A233" s="12"/>
      <c r="B233" s="2"/>
      <c r="C233" s="5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>
      <c r="A234" s="12"/>
      <c r="B234" s="2"/>
      <c r="C234" s="5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>
      <c r="A235" s="12"/>
      <c r="B235" s="2"/>
      <c r="C235" s="5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>
      <c r="A236" s="12"/>
      <c r="B236" s="2"/>
      <c r="C236" s="5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>
      <c r="A237" s="12"/>
      <c r="B237" s="2"/>
      <c r="C237" s="5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>
      <c r="A238" s="12"/>
      <c r="B238" s="2"/>
      <c r="C238" s="5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>
      <c r="A239" s="12"/>
      <c r="B239" s="2"/>
      <c r="C239" s="5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>
      <c r="A240" s="12"/>
      <c r="B240" s="2"/>
      <c r="C240" s="5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>
      <c r="A241" s="12"/>
      <c r="B241" s="2"/>
      <c r="C241" s="5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>
      <c r="A242" s="12"/>
      <c r="B242" s="2"/>
      <c r="C242" s="5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>
      <c r="A243" s="12"/>
      <c r="B243" s="2"/>
      <c r="C243" s="5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>
      <c r="A244" s="12"/>
      <c r="B244" s="2"/>
      <c r="C244" s="5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>
      <c r="A245" s="12"/>
      <c r="B245" s="2"/>
      <c r="C245" s="5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>
      <c r="A246" s="12"/>
      <c r="B246" s="2"/>
      <c r="C246" s="5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>
      <c r="A247" s="12"/>
      <c r="B247" s="2"/>
      <c r="C247" s="5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>
      <c r="A248" s="12"/>
      <c r="B248" s="2"/>
      <c r="C248" s="5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>
      <c r="A249" s="12"/>
      <c r="B249" s="2"/>
      <c r="C249" s="5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>
      <c r="A250" s="12"/>
      <c r="B250" s="2"/>
      <c r="C250" s="5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>
      <c r="A251" s="12"/>
      <c r="B251" s="2"/>
      <c r="C251" s="5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>
      <c r="A252" s="12"/>
      <c r="B252" s="2"/>
      <c r="C252" s="5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>
      <c r="A253" s="12"/>
      <c r="B253" s="2"/>
      <c r="C253" s="5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>
      <c r="A254" s="12"/>
      <c r="B254" s="2"/>
      <c r="C254" s="5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>
      <c r="A255" s="12"/>
      <c r="B255" s="2"/>
      <c r="C255" s="5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>
      <c r="A256" s="12"/>
      <c r="B256" s="2"/>
      <c r="C256" s="5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>
      <c r="A257" s="12"/>
      <c r="B257" s="2"/>
      <c r="C257" s="5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>
      <c r="A258" s="12"/>
      <c r="B258" s="2"/>
      <c r="C258" s="5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>
      <c r="A259" s="12"/>
      <c r="B259" s="2"/>
      <c r="C259" s="5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>
      <c r="A260" s="12"/>
      <c r="B260" s="2"/>
      <c r="C260" s="5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>
      <c r="A261" s="12"/>
      <c r="B261" s="2"/>
      <c r="C261" s="5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>
      <c r="A262" s="12"/>
      <c r="B262" s="2"/>
      <c r="C262" s="5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>
      <c r="A263" s="12"/>
      <c r="B263" s="2"/>
      <c r="C263" s="5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>
      <c r="A264" s="12"/>
      <c r="B264" s="2"/>
      <c r="C264" s="5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>
      <c r="A265" s="12"/>
      <c r="B265" s="2"/>
      <c r="C265" s="5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>
      <c r="A266" s="12"/>
      <c r="B266" s="2"/>
      <c r="C266" s="5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>
      <c r="A267" s="12"/>
      <c r="B267" s="2"/>
      <c r="C267" s="5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>
      <c r="A268" s="12"/>
      <c r="B268" s="2"/>
      <c r="C268" s="5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>
      <c r="A269" s="12"/>
      <c r="B269" s="2"/>
      <c r="C269" s="5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>
      <c r="A270" s="12"/>
      <c r="B270" s="2"/>
      <c r="C270" s="5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>
      <c r="A271" s="12"/>
      <c r="B271" s="2"/>
      <c r="C271" s="5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>
      <c r="A272" s="12"/>
      <c r="B272" s="2"/>
      <c r="C272" s="5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>
      <c r="A273" s="12"/>
      <c r="B273" s="2"/>
      <c r="C273" s="5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>
      <c r="A274" s="12"/>
      <c r="B274" s="2"/>
      <c r="C274" s="5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>
      <c r="A275" s="12"/>
      <c r="B275" s="2"/>
      <c r="C275" s="5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>
      <c r="A276" s="12"/>
      <c r="B276" s="2"/>
      <c r="C276" s="5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>
      <c r="A277" s="12"/>
      <c r="B277" s="2"/>
      <c r="C277" s="5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>
      <c r="A278" s="12"/>
      <c r="B278" s="2"/>
      <c r="C278" s="5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>
      <c r="A279" s="12"/>
      <c r="B279" s="2"/>
      <c r="C279" s="5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>
      <c r="A280" s="12"/>
      <c r="B280" s="2"/>
      <c r="C280" s="5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>
      <c r="A281" s="12"/>
      <c r="B281" s="2"/>
      <c r="C281" s="5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>
      <c r="A282" s="12"/>
      <c r="B282" s="2"/>
      <c r="C282" s="5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>
      <c r="A283" s="12"/>
      <c r="B283" s="2"/>
      <c r="C283" s="5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>
      <c r="A284" s="12"/>
      <c r="B284" s="2"/>
      <c r="C284" s="5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>
      <c r="A285" s="12"/>
      <c r="B285" s="2"/>
      <c r="C285" s="5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>
      <c r="A286" s="12"/>
      <c r="B286" s="2"/>
      <c r="C286" s="5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>
      <c r="A287" s="12"/>
      <c r="B287" s="2"/>
      <c r="C287" s="5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>
      <c r="A288" s="12"/>
      <c r="B288" s="2"/>
      <c r="C288" s="5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>
      <c r="A289" s="12"/>
      <c r="B289" s="2"/>
      <c r="C289" s="5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>
      <c r="A290" s="12"/>
      <c r="B290" s="2"/>
      <c r="C290" s="5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>
      <c r="A291" s="12"/>
      <c r="B291" s="2"/>
      <c r="C291" s="5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>
      <c r="A292" s="12"/>
      <c r="B292" s="2"/>
      <c r="C292" s="5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>
      <c r="A293" s="12"/>
      <c r="B293" s="2"/>
      <c r="C293" s="5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>
      <c r="A294" s="12"/>
      <c r="B294" s="2"/>
      <c r="C294" s="5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>
      <c r="A295" s="12"/>
      <c r="B295" s="2"/>
      <c r="C295" s="5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>
      <c r="A296" s="12"/>
      <c r="B296" s="2"/>
      <c r="C296" s="5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>
      <c r="A297" s="12"/>
      <c r="B297" s="2"/>
      <c r="C297" s="5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>
      <c r="A298" s="12"/>
      <c r="B298" s="2"/>
      <c r="C298" s="5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>
      <c r="A299" s="12"/>
      <c r="B299" s="2"/>
      <c r="C299" s="5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>
      <c r="A300" s="12"/>
      <c r="B300" s="2"/>
      <c r="C300" s="5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>
      <c r="A301" s="12"/>
      <c r="B301" s="2"/>
      <c r="C301" s="5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>
      <c r="A302" s="12"/>
      <c r="B302" s="2"/>
      <c r="C302" s="5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>
      <c r="A303" s="12"/>
      <c r="B303" s="2"/>
      <c r="C303" s="5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>
      <c r="A304" s="12"/>
      <c r="B304" s="2"/>
      <c r="C304" s="5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>
      <c r="A305" s="12"/>
      <c r="B305" s="2"/>
      <c r="C305" s="5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>
      <c r="A306" s="12"/>
      <c r="B306" s="2"/>
      <c r="C306" s="5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>
      <c r="A307" s="12"/>
      <c r="B307" s="2"/>
      <c r="C307" s="5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>
      <c r="A308" s="12"/>
      <c r="B308" s="2"/>
      <c r="C308" s="5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>
      <c r="A309" s="12"/>
      <c r="B309" s="2"/>
      <c r="C309" s="5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>
      <c r="A310" s="12"/>
      <c r="B310" s="2"/>
      <c r="C310" s="5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>
      <c r="A311" s="12"/>
      <c r="B311" s="2"/>
      <c r="C311" s="5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>
      <c r="A312" s="12"/>
      <c r="B312" s="2"/>
      <c r="C312" s="5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>
      <c r="A313" s="12"/>
      <c r="B313" s="2"/>
      <c r="C313" s="5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>
      <c r="A314" s="12"/>
      <c r="B314" s="2"/>
      <c r="C314" s="5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>
      <c r="A315" s="12"/>
      <c r="B315" s="2"/>
      <c r="C315" s="5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>
      <c r="A316" s="12"/>
      <c r="B316" s="2"/>
      <c r="C316" s="5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>
      <c r="A317" s="12"/>
      <c r="B317" s="2"/>
      <c r="C317" s="5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>
      <c r="A318" s="12"/>
      <c r="B318" s="2"/>
      <c r="C318" s="5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>
      <c r="A319" s="12"/>
      <c r="B319" s="2"/>
      <c r="C319" s="5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>
      <c r="A320" s="12"/>
      <c r="B320" s="2"/>
      <c r="C320" s="5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>
      <c r="A321" s="12"/>
      <c r="B321" s="2"/>
      <c r="C321" s="5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>
      <c r="A322" s="12"/>
      <c r="B322" s="2"/>
      <c r="C322" s="5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>
      <c r="A323" s="12"/>
      <c r="B323" s="2"/>
      <c r="C323" s="5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>
      <c r="A324" s="12"/>
      <c r="B324" s="2"/>
      <c r="C324" s="5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>
      <c r="A325" s="12"/>
      <c r="B325" s="2"/>
      <c r="C325" s="5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>
      <c r="A326" s="12"/>
      <c r="B326" s="2"/>
      <c r="C326" s="5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>
      <c r="A327" s="12"/>
      <c r="B327" s="2"/>
      <c r="C327" s="5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>
      <c r="A328" s="12"/>
      <c r="B328" s="2"/>
      <c r="C328" s="5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>
      <c r="A329" s="12"/>
      <c r="B329" s="2"/>
      <c r="C329" s="5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>
      <c r="A330" s="12"/>
      <c r="B330" s="2"/>
      <c r="C330" s="5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>
      <c r="A331" s="12"/>
      <c r="B331" s="2"/>
      <c r="C331" s="5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>
      <c r="A332" s="12"/>
      <c r="B332" s="2"/>
      <c r="C332" s="5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>
      <c r="A333" s="12"/>
      <c r="B333" s="2"/>
      <c r="C333" s="5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>
      <c r="A334" s="12"/>
      <c r="B334" s="2"/>
      <c r="C334" s="5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>
      <c r="A335" s="12"/>
      <c r="B335" s="2"/>
      <c r="C335" s="5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>
      <c r="A336" s="12"/>
      <c r="B336" s="2"/>
      <c r="C336" s="5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>
      <c r="A337" s="12"/>
      <c r="B337" s="2"/>
      <c r="C337" s="5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>
      <c r="A338" s="12"/>
      <c r="B338" s="2"/>
      <c r="C338" s="5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>
      <c r="A339" s="12"/>
      <c r="B339" s="2"/>
      <c r="C339" s="5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>
      <c r="A340" s="12"/>
      <c r="B340" s="2"/>
      <c r="C340" s="5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>
      <c r="A341" s="12"/>
      <c r="B341" s="2"/>
      <c r="C341" s="5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>
      <c r="A342" s="12"/>
      <c r="B342" s="2"/>
      <c r="C342" s="5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>
      <c r="A343" s="12"/>
      <c r="B343" s="2"/>
      <c r="C343" s="5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>
      <c r="A344" s="12"/>
      <c r="B344" s="2"/>
      <c r="C344" s="5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>
      <c r="A345" s="12"/>
      <c r="B345" s="2"/>
      <c r="C345" s="5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>
      <c r="A346" s="12"/>
      <c r="B346" s="2"/>
      <c r="C346" s="5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>
      <c r="A347" s="12"/>
      <c r="B347" s="2"/>
      <c r="C347" s="5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>
      <c r="A348" s="12"/>
      <c r="B348" s="2"/>
      <c r="C348" s="5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>
      <c r="A349" s="12"/>
      <c r="B349" s="2"/>
      <c r="C349" s="5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>
      <c r="A350" s="12"/>
      <c r="B350" s="2"/>
      <c r="C350" s="5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>
      <c r="A351" s="12"/>
      <c r="B351" s="2"/>
      <c r="C351" s="5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>
      <c r="A352" s="12"/>
      <c r="B352" s="2"/>
      <c r="C352" s="5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>
      <c r="A353" s="12"/>
      <c r="B353" s="2"/>
      <c r="C353" s="5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>
      <c r="A354" s="12"/>
      <c r="B354" s="2"/>
      <c r="C354" s="5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>
      <c r="A355" s="12"/>
      <c r="B355" s="2"/>
      <c r="C355" s="5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>
      <c r="A356" s="12"/>
      <c r="B356" s="2"/>
      <c r="C356" s="5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>
      <c r="A357" s="12"/>
      <c r="B357" s="2"/>
      <c r="C357" s="5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>
      <c r="A358" s="12"/>
      <c r="B358" s="2"/>
      <c r="C358" s="5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>
      <c r="A359" s="12"/>
      <c r="B359" s="2"/>
      <c r="C359" s="5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>
      <c r="A360" s="12"/>
      <c r="B360" s="2"/>
      <c r="C360" s="5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>
      <c r="A361" s="12"/>
      <c r="B361" s="2"/>
      <c r="C361" s="5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>
      <c r="A362" s="12"/>
      <c r="B362" s="2"/>
      <c r="C362" s="5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>
      <c r="A363" s="12"/>
      <c r="B363" s="2"/>
      <c r="C363" s="5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>
      <c r="A364" s="12"/>
      <c r="B364" s="2"/>
      <c r="C364" s="5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>
      <c r="A365" s="12"/>
      <c r="B365" s="2"/>
      <c r="C365" s="5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>
      <c r="A366" s="12"/>
      <c r="B366" s="2"/>
      <c r="C366" s="5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>
      <c r="A367" s="12"/>
      <c r="B367" s="2"/>
      <c r="C367" s="5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>
      <c r="A368" s="12"/>
      <c r="B368" s="2"/>
      <c r="C368" s="5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>
      <c r="A369" s="12"/>
      <c r="B369" s="2"/>
      <c r="C369" s="5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>
      <c r="A370" s="12"/>
      <c r="B370" s="2"/>
      <c r="C370" s="5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>
      <c r="A371" s="12"/>
      <c r="B371" s="2"/>
      <c r="C371" s="5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>
      <c r="A372" s="12"/>
      <c r="B372" s="2"/>
      <c r="C372" s="5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>
      <c r="A373" s="12"/>
      <c r="B373" s="2"/>
      <c r="C373" s="5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>
      <c r="A374" s="12"/>
      <c r="B374" s="2"/>
      <c r="C374" s="5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>
      <c r="A375" s="12"/>
      <c r="B375" s="2"/>
      <c r="C375" s="5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>
      <c r="A376" s="12"/>
      <c r="B376" s="2"/>
      <c r="C376" s="5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>
      <c r="A377" s="12"/>
      <c r="B377" s="2"/>
      <c r="C377" s="5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>
      <c r="A378" s="12"/>
      <c r="B378" s="2"/>
      <c r="C378" s="5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>
      <c r="A379" s="12"/>
      <c r="B379" s="2"/>
      <c r="C379" s="5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>
      <c r="A380" s="12"/>
      <c r="B380" s="2"/>
      <c r="C380" s="5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>
      <c r="A381" s="12"/>
      <c r="B381" s="2"/>
      <c r="C381" s="5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>
      <c r="A382" s="12"/>
      <c r="B382" s="2"/>
      <c r="C382" s="5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>
      <c r="A383" s="12"/>
      <c r="B383" s="2"/>
      <c r="C383" s="5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>
      <c r="A384" s="12"/>
      <c r="B384" s="2"/>
      <c r="C384" s="5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>
      <c r="A385" s="12"/>
      <c r="B385" s="2"/>
      <c r="C385" s="5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>
      <c r="A386" s="12"/>
      <c r="B386" s="2"/>
      <c r="C386" s="5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>
      <c r="A387" s="12"/>
      <c r="B387" s="2"/>
      <c r="C387" s="5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>
      <c r="A388" s="12"/>
      <c r="B388" s="2"/>
      <c r="C388" s="5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>
      <c r="A389" s="12"/>
      <c r="B389" s="2"/>
      <c r="C389" s="5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>
      <c r="A390" s="12"/>
      <c r="B390" s="2"/>
      <c r="C390" s="5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>
      <c r="A391" s="12"/>
      <c r="B391" s="2"/>
      <c r="C391" s="5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>
      <c r="A392" s="12"/>
      <c r="B392" s="2"/>
      <c r="C392" s="5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>
      <c r="A393" s="12"/>
      <c r="B393" s="2"/>
      <c r="C393" s="5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>
      <c r="A394" s="12"/>
      <c r="B394" s="2"/>
      <c r="C394" s="5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>
      <c r="A395" s="12"/>
      <c r="B395" s="2"/>
      <c r="C395" s="5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>
      <c r="A396" s="12"/>
      <c r="B396" s="2"/>
      <c r="C396" s="5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>
      <c r="A397" s="12"/>
      <c r="B397" s="2"/>
      <c r="C397" s="5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>
      <c r="A398" s="12"/>
      <c r="B398" s="2"/>
      <c r="C398" s="5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>
      <c r="A399" s="12"/>
      <c r="B399" s="2"/>
      <c r="C399" s="5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>
      <c r="A400" s="12"/>
      <c r="B400" s="2"/>
      <c r="C400" s="5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>
      <c r="A401" s="12"/>
      <c r="B401" s="2"/>
      <c r="C401" s="5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>
      <c r="A402" s="12"/>
      <c r="B402" s="2"/>
      <c r="C402" s="5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>
      <c r="A403" s="12"/>
      <c r="B403" s="2"/>
      <c r="C403" s="5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>
      <c r="A404" s="12"/>
      <c r="B404" s="2"/>
      <c r="C404" s="5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>
      <c r="A405" s="12"/>
      <c r="B405" s="2"/>
      <c r="C405" s="5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>
      <c r="A406" s="12"/>
      <c r="B406" s="2"/>
      <c r="C406" s="5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>
      <c r="A407" s="12"/>
      <c r="B407" s="2"/>
      <c r="C407" s="5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>
      <c r="A408" s="12"/>
      <c r="B408" s="2"/>
      <c r="C408" s="5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>
      <c r="A409" s="12"/>
      <c r="B409" s="2"/>
      <c r="C409" s="5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>
      <c r="A410" s="12"/>
      <c r="B410" s="2"/>
      <c r="C410" s="5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>
      <c r="A411" s="12"/>
      <c r="B411" s="2"/>
      <c r="C411" s="5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>
      <c r="A412" s="12"/>
      <c r="B412" s="2"/>
      <c r="C412" s="5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>
      <c r="A413" s="12"/>
      <c r="B413" s="2"/>
      <c r="C413" s="5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>
      <c r="A414" s="12"/>
      <c r="B414" s="2"/>
      <c r="C414" s="5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>
      <c r="A415" s="12"/>
      <c r="B415" s="2"/>
      <c r="C415" s="5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>
      <c r="A416" s="12"/>
      <c r="B416" s="2"/>
      <c r="C416" s="5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>
      <c r="A417" s="12"/>
      <c r="B417" s="2"/>
      <c r="C417" s="5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>
      <c r="A418" s="12"/>
      <c r="B418" s="2"/>
      <c r="C418" s="5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>
      <c r="A419" s="12"/>
      <c r="B419" s="2"/>
      <c r="C419" s="5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>
      <c r="A420" s="12"/>
      <c r="B420" s="2"/>
      <c r="C420" s="5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>
      <c r="A421" s="12"/>
      <c r="B421" s="2"/>
      <c r="C421" s="5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>
      <c r="A422" s="12"/>
      <c r="B422" s="2"/>
      <c r="C422" s="5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>
      <c r="A423" s="12"/>
      <c r="B423" s="2"/>
      <c r="C423" s="5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>
      <c r="A424" s="12"/>
      <c r="B424" s="2"/>
      <c r="C424" s="5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>
      <c r="A425" s="12"/>
      <c r="B425" s="2"/>
      <c r="C425" s="5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>
      <c r="A426" s="12"/>
      <c r="B426" s="2"/>
      <c r="C426" s="5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>
      <c r="A427" s="12"/>
      <c r="B427" s="2"/>
      <c r="C427" s="5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>
      <c r="A428" s="12"/>
      <c r="B428" s="2"/>
      <c r="C428" s="5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>
      <c r="A429" s="12"/>
      <c r="B429" s="2"/>
      <c r="C429" s="5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>
      <c r="A430" s="12"/>
      <c r="B430" s="2"/>
      <c r="C430" s="5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>
      <c r="A431" s="12"/>
      <c r="B431" s="2"/>
      <c r="C431" s="5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>
      <c r="A432" s="12"/>
      <c r="B432" s="2"/>
      <c r="C432" s="5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>
      <c r="A433" s="12"/>
      <c r="B433" s="2"/>
      <c r="C433" s="5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>
      <c r="A434" s="12"/>
      <c r="B434" s="2"/>
      <c r="C434" s="5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>
      <c r="A435" s="12"/>
      <c r="B435" s="2"/>
      <c r="C435" s="5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>
      <c r="A436" s="12"/>
      <c r="B436" s="2"/>
      <c r="C436" s="5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>
      <c r="A437" s="12"/>
      <c r="B437" s="2"/>
      <c r="C437" s="5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>
      <c r="A438" s="12"/>
      <c r="B438" s="2"/>
      <c r="C438" s="5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>
      <c r="A439" s="12"/>
      <c r="B439" s="2"/>
      <c r="C439" s="5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>
      <c r="A440" s="12"/>
      <c r="B440" s="2"/>
      <c r="C440" s="5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>
      <c r="A441" s="12"/>
      <c r="B441" s="2"/>
      <c r="C441" s="5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>
      <c r="A442" s="12"/>
      <c r="B442" s="2"/>
      <c r="C442" s="5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>
      <c r="A443" s="12"/>
      <c r="B443" s="2"/>
      <c r="C443" s="5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>
      <c r="A444" s="12"/>
      <c r="B444" s="2"/>
      <c r="C444" s="5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>
      <c r="A445" s="12"/>
      <c r="B445" s="2"/>
      <c r="C445" s="5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>
      <c r="A446" s="12"/>
      <c r="B446" s="2"/>
      <c r="C446" s="5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>
      <c r="A447" s="12"/>
      <c r="B447" s="2"/>
      <c r="C447" s="5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>
      <c r="A448" s="12"/>
      <c r="B448" s="2"/>
      <c r="C448" s="5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>
      <c r="A449" s="12"/>
      <c r="B449" s="2"/>
      <c r="C449" s="5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>
      <c r="A450" s="12"/>
      <c r="B450" s="2"/>
      <c r="C450" s="5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>
      <c r="A451" s="12"/>
      <c r="B451" s="2"/>
      <c r="C451" s="5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>
      <c r="A452" s="12"/>
      <c r="B452" s="2"/>
      <c r="C452" s="5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>
      <c r="A453" s="12"/>
      <c r="B453" s="2"/>
      <c r="C453" s="5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>
      <c r="A454" s="12"/>
      <c r="B454" s="2"/>
      <c r="C454" s="5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>
      <c r="A455" s="12"/>
      <c r="B455" s="2"/>
      <c r="C455" s="5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>
      <c r="A456" s="12"/>
      <c r="B456" s="2"/>
      <c r="C456" s="5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>
      <c r="A457" s="12"/>
      <c r="B457" s="2"/>
      <c r="C457" s="5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>
      <c r="A458" s="12"/>
      <c r="B458" s="2"/>
      <c r="C458" s="5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>
      <c r="A459" s="12"/>
      <c r="B459" s="2"/>
      <c r="C459" s="5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>
      <c r="A460" s="12"/>
      <c r="B460" s="2"/>
      <c r="C460" s="5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>
      <c r="A461" s="12"/>
      <c r="B461" s="2"/>
      <c r="C461" s="5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>
      <c r="A462" s="12"/>
      <c r="B462" s="2"/>
      <c r="C462" s="5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>
      <c r="A463" s="12"/>
      <c r="B463" s="2"/>
      <c r="C463" s="5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>
      <c r="A464" s="12"/>
      <c r="B464" s="2"/>
      <c r="C464" s="5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>
      <c r="A465" s="12"/>
      <c r="B465" s="2"/>
      <c r="C465" s="5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>
      <c r="A466" s="12"/>
      <c r="B466" s="2"/>
      <c r="C466" s="5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>
      <c r="A467" s="12"/>
      <c r="B467" s="2"/>
      <c r="C467" s="5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>
      <c r="A468" s="12"/>
      <c r="B468" s="2"/>
      <c r="C468" s="5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>
      <c r="A469" s="12"/>
      <c r="B469" s="2"/>
      <c r="C469" s="5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>
      <c r="A470" s="12"/>
      <c r="B470" s="2"/>
      <c r="C470" s="5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>
      <c r="A471" s="12"/>
      <c r="B471" s="2"/>
      <c r="C471" s="5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>
      <c r="A472" s="12"/>
      <c r="B472" s="2"/>
      <c r="C472" s="5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>
      <c r="A473" s="12"/>
      <c r="B473" s="2"/>
      <c r="C473" s="5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>
      <c r="A474" s="12"/>
      <c r="B474" s="2"/>
      <c r="C474" s="5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>
      <c r="A475" s="12"/>
      <c r="B475" s="2"/>
      <c r="C475" s="5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>
      <c r="A476" s="12"/>
      <c r="B476" s="2"/>
      <c r="C476" s="5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>
      <c r="A477" s="12"/>
      <c r="B477" s="2"/>
      <c r="C477" s="5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>
      <c r="A478" s="12"/>
      <c r="B478" s="2"/>
      <c r="C478" s="5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>
      <c r="A479" s="12"/>
      <c r="B479" s="2"/>
      <c r="C479" s="5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>
      <c r="A480" s="12"/>
      <c r="B480" s="2"/>
      <c r="C480" s="5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>
      <c r="A481" s="12"/>
      <c r="B481" s="2"/>
      <c r="C481" s="5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>
      <c r="A482" s="12"/>
      <c r="B482" s="2"/>
      <c r="C482" s="5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>
      <c r="A483" s="12"/>
      <c r="B483" s="2"/>
      <c r="C483" s="5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>
      <c r="A484" s="12"/>
      <c r="B484" s="2"/>
      <c r="C484" s="5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>
      <c r="A485" s="12"/>
      <c r="B485" s="2"/>
      <c r="C485" s="5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>
      <c r="A486" s="12"/>
      <c r="B486" s="2"/>
      <c r="C486" s="5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>
      <c r="A487" s="12"/>
      <c r="B487" s="2"/>
      <c r="C487" s="5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>
      <c r="A488" s="12"/>
      <c r="B488" s="2"/>
      <c r="C488" s="5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>
      <c r="A489" s="12"/>
      <c r="B489" s="2"/>
      <c r="C489" s="5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>
      <c r="A490" s="12"/>
      <c r="B490" s="2"/>
      <c r="C490" s="5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>
      <c r="A491" s="12"/>
      <c r="B491" s="2"/>
      <c r="C491" s="5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>
      <c r="A492" s="12"/>
      <c r="B492" s="2"/>
      <c r="C492" s="5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>
      <c r="A493" s="12"/>
      <c r="B493" s="2"/>
      <c r="C493" s="5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>
      <c r="A494" s="12"/>
      <c r="B494" s="2"/>
      <c r="C494" s="5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>
      <c r="A495" s="12"/>
      <c r="B495" s="2"/>
      <c r="C495" s="5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>
      <c r="A496" s="12"/>
      <c r="B496" s="2"/>
      <c r="C496" s="5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>
      <c r="A497" s="12"/>
      <c r="B497" s="2"/>
      <c r="C497" s="5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>
      <c r="A498" s="12"/>
      <c r="B498" s="2"/>
      <c r="C498" s="5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>
      <c r="A499" s="12"/>
      <c r="B499" s="2"/>
      <c r="C499" s="5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>
      <c r="A500" s="12"/>
      <c r="B500" s="2"/>
      <c r="C500" s="5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>
      <c r="A501" s="2"/>
      <c r="B501" s="2"/>
      <c r="C501" s="5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>
      <c r="A502" s="2"/>
      <c r="B502" s="2"/>
      <c r="C502" s="5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>
      <c r="A503" s="2"/>
      <c r="B503" s="2"/>
      <c r="C503" s="5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>
      <c r="A504" s="2"/>
      <c r="B504" s="2"/>
      <c r="C504" s="5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>
      <c r="A505" s="2"/>
      <c r="B505" s="2"/>
      <c r="C505" s="5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>
      <c r="A506" s="2"/>
      <c r="B506" s="2"/>
      <c r="C506" s="5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>
      <c r="A507" s="2"/>
      <c r="B507" s="2"/>
      <c r="C507" s="5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>
      <c r="A508" s="2"/>
      <c r="B508" s="2"/>
      <c r="C508" s="5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>
      <c r="A509" s="2"/>
      <c r="B509" s="2"/>
      <c r="C509" s="5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>
      <c r="A510" s="2"/>
      <c r="B510" s="2"/>
      <c r="C510" s="5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>
      <c r="A511" s="2"/>
      <c r="B511" s="2"/>
      <c r="C511" s="5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>
      <c r="A512" s="2"/>
      <c r="B512" s="2"/>
      <c r="C512" s="5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>
      <c r="A513" s="2"/>
      <c r="B513" s="2"/>
      <c r="C513" s="5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>
      <c r="A514" s="2"/>
      <c r="B514" s="2"/>
      <c r="C514" s="5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>
      <c r="A515" s="2"/>
      <c r="B515" s="2"/>
      <c r="C515" s="5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>
      <c r="A516" s="2"/>
      <c r="B516" s="2"/>
      <c r="C516" s="5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>
      <c r="A517" s="2"/>
      <c r="B517" s="2"/>
      <c r="C517" s="5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>
      <c r="A518" s="2"/>
      <c r="B518" s="2"/>
      <c r="C518" s="5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>
      <c r="A519" s="2"/>
      <c r="B519" s="2"/>
      <c r="C519" s="5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>
      <c r="A520" s="2"/>
      <c r="B520" s="2"/>
      <c r="C520" s="5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>
      <c r="A521" s="2"/>
      <c r="B521" s="2"/>
      <c r="C521" s="5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>
      <c r="A522" s="2"/>
      <c r="B522" s="2"/>
      <c r="C522" s="5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>
      <c r="A523" s="2"/>
      <c r="B523" s="2"/>
      <c r="C523" s="5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>
      <c r="A524" s="2"/>
      <c r="B524" s="2"/>
      <c r="C524" s="5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>
      <c r="A525" s="2"/>
      <c r="B525" s="2"/>
      <c r="C525" s="5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>
      <c r="A526" s="2"/>
      <c r="B526" s="2"/>
      <c r="C526" s="5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>
      <c r="A527" s="2"/>
      <c r="B527" s="2"/>
      <c r="C527" s="5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>
      <c r="A528" s="2"/>
      <c r="B528" s="2"/>
      <c r="C528" s="5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>
      <c r="A529" s="2"/>
      <c r="B529" s="2"/>
      <c r="C529" s="5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>
      <c r="A530" s="2"/>
      <c r="B530" s="2"/>
      <c r="C530" s="5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>
      <c r="A531" s="2"/>
      <c r="B531" s="2"/>
      <c r="C531" s="5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>
      <c r="A532" s="2"/>
      <c r="B532" s="2"/>
      <c r="C532" s="5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>
      <c r="A533" s="2"/>
      <c r="B533" s="2"/>
      <c r="C533" s="5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>
      <c r="A534" s="2"/>
      <c r="B534" s="2"/>
      <c r="C534" s="5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>
      <c r="A535" s="2"/>
      <c r="B535" s="2"/>
      <c r="C535" s="5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>
      <c r="A536" s="2"/>
      <c r="B536" s="2"/>
      <c r="C536" s="5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>
      <c r="A537" s="2"/>
      <c r="B537" s="2"/>
      <c r="C537" s="5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>
      <c r="A538" s="2"/>
      <c r="B538" s="2"/>
      <c r="C538" s="5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>
      <c r="A539" s="2"/>
      <c r="B539" s="2"/>
      <c r="C539" s="5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>
      <c r="A540" s="2"/>
      <c r="B540" s="2"/>
      <c r="C540" s="5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>
      <c r="A541" s="2"/>
      <c r="B541" s="2"/>
      <c r="C541" s="5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>
      <c r="A542" s="2"/>
      <c r="B542" s="2"/>
      <c r="C542" s="5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>
      <c r="A543" s="2"/>
      <c r="B543" s="2"/>
      <c r="C543" s="5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>
      <c r="A544" s="2"/>
      <c r="B544" s="2"/>
      <c r="C544" s="5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>
      <c r="A545" s="2"/>
      <c r="B545" s="2"/>
      <c r="C545" s="5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>
      <c r="A546" s="2"/>
      <c r="B546" s="2"/>
      <c r="C546" s="5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>
      <c r="A547" s="2"/>
      <c r="B547" s="2"/>
      <c r="C547" s="5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>
      <c r="A548" s="2"/>
      <c r="B548" s="2"/>
      <c r="C548" s="5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>
      <c r="A549" s="2"/>
      <c r="B549" s="2"/>
      <c r="C549" s="5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>
      <c r="A550" s="2"/>
      <c r="B550" s="2"/>
      <c r="C550" s="5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>
      <c r="A551" s="2"/>
      <c r="B551" s="2"/>
      <c r="C551" s="5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>
      <c r="A552" s="2"/>
      <c r="B552" s="2"/>
      <c r="C552" s="5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>
      <c r="A553" s="2"/>
      <c r="B553" s="2"/>
      <c r="C553" s="5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>
      <c r="A554" s="2"/>
      <c r="B554" s="2"/>
      <c r="C554" s="5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>
      <c r="A555" s="2"/>
      <c r="B555" s="2"/>
      <c r="C555" s="5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>
      <c r="A556" s="2"/>
      <c r="B556" s="2"/>
      <c r="C556" s="5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>
      <c r="A557" s="2"/>
      <c r="B557" s="2"/>
      <c r="C557" s="5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>
      <c r="A558" s="2"/>
      <c r="B558" s="2"/>
      <c r="C558" s="5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>
      <c r="A559" s="2"/>
      <c r="B559" s="2"/>
      <c r="C559" s="5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>
      <c r="A560" s="2"/>
      <c r="B560" s="2"/>
      <c r="C560" s="5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>
      <c r="A561" s="2"/>
      <c r="B561" s="2"/>
      <c r="C561" s="5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>
      <c r="A562" s="2"/>
      <c r="B562" s="2"/>
      <c r="C562" s="5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>
      <c r="A563" s="2"/>
      <c r="B563" s="2"/>
      <c r="C563" s="5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>
      <c r="A564" s="2"/>
      <c r="B564" s="2"/>
      <c r="C564" s="5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>
      <c r="A565" s="2"/>
      <c r="B565" s="2"/>
      <c r="C565" s="5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>
      <c r="A566" s="2"/>
      <c r="B566" s="2"/>
      <c r="C566" s="5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>
      <c r="A567" s="2"/>
      <c r="B567" s="2"/>
      <c r="C567" s="5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>
      <c r="A568" s="2"/>
      <c r="B568" s="2"/>
      <c r="C568" s="5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>
      <c r="A569" s="2"/>
      <c r="B569" s="2"/>
      <c r="C569" s="5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>
      <c r="A570" s="2"/>
      <c r="B570" s="2"/>
      <c r="C570" s="5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>
      <c r="A571" s="2"/>
      <c r="B571" s="2"/>
      <c r="C571" s="5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>
      <c r="A572" s="2"/>
      <c r="B572" s="2"/>
      <c r="C572" s="5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>
      <c r="A573" s="2"/>
      <c r="B573" s="2"/>
      <c r="C573" s="5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>
      <c r="A574" s="2"/>
      <c r="B574" s="2"/>
      <c r="C574" s="5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>
      <c r="A575" s="2"/>
      <c r="B575" s="2"/>
      <c r="C575" s="5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>
      <c r="A576" s="2"/>
      <c r="B576" s="2"/>
      <c r="C576" s="5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>
      <c r="A577" s="2"/>
      <c r="B577" s="2"/>
      <c r="C577" s="5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>
      <c r="A578" s="2"/>
      <c r="B578" s="2"/>
      <c r="C578" s="5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>
      <c r="A579" s="2"/>
      <c r="B579" s="2"/>
      <c r="C579" s="5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>
      <c r="A580" s="2"/>
      <c r="B580" s="2"/>
      <c r="C580" s="5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>
      <c r="A581" s="2"/>
      <c r="B581" s="2"/>
      <c r="C581" s="5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>
      <c r="A582" s="2"/>
      <c r="B582" s="2"/>
      <c r="C582" s="5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>
      <c r="A583" s="2"/>
      <c r="B583" s="2"/>
      <c r="C583" s="5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>
      <c r="A584" s="2"/>
      <c r="B584" s="2"/>
      <c r="C584" s="5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>
      <c r="A585" s="2"/>
      <c r="B585" s="2"/>
      <c r="C585" s="5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>
      <c r="A586" s="2"/>
      <c r="B586" s="2"/>
      <c r="C586" s="5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>
      <c r="A587" s="2"/>
      <c r="B587" s="2"/>
      <c r="C587" s="5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>
      <c r="A588" s="2"/>
      <c r="B588" s="2"/>
      <c r="C588" s="5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>
      <c r="A589" s="2"/>
      <c r="B589" s="2"/>
      <c r="C589" s="5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>
      <c r="A590" s="2"/>
      <c r="B590" s="2"/>
      <c r="C590" s="5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>
      <c r="A591" s="2"/>
      <c r="B591" s="2"/>
      <c r="C591" s="5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>
      <c r="A592" s="2"/>
      <c r="B592" s="2"/>
      <c r="C592" s="5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>
      <c r="A593" s="2"/>
      <c r="B593" s="2"/>
      <c r="C593" s="5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>
      <c r="A594" s="2"/>
      <c r="B594" s="2"/>
      <c r="C594" s="5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>
      <c r="A595" s="2"/>
      <c r="B595" s="2"/>
      <c r="C595" s="5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>
      <c r="A596" s="2"/>
      <c r="B596" s="2"/>
      <c r="C596" s="5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>
      <c r="A597" s="2"/>
      <c r="B597" s="2"/>
      <c r="C597" s="5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>
      <c r="A598" s="2"/>
      <c r="B598" s="2"/>
      <c r="C598" s="5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>
      <c r="A599" s="2"/>
      <c r="B599" s="2"/>
      <c r="C599" s="5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>
      <c r="A600" s="2"/>
      <c r="B600" s="2"/>
      <c r="C600" s="5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>
      <c r="A601" s="2"/>
      <c r="B601" s="2"/>
      <c r="C601" s="5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>
      <c r="A602" s="2"/>
      <c r="B602" s="2"/>
      <c r="C602" s="5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>
      <c r="A603" s="2"/>
      <c r="B603" s="2"/>
      <c r="C603" s="5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>
      <c r="A604" s="2"/>
      <c r="B604" s="2"/>
      <c r="C604" s="5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>
      <c r="A605" s="2"/>
      <c r="B605" s="2"/>
      <c r="C605" s="5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>
      <c r="A606" s="2"/>
      <c r="B606" s="2"/>
      <c r="C606" s="5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>
      <c r="A607" s="2"/>
      <c r="B607" s="2"/>
      <c r="C607" s="5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>
      <c r="A608" s="2"/>
      <c r="B608" s="2"/>
      <c r="C608" s="5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>
      <c r="A609" s="2"/>
      <c r="B609" s="2"/>
      <c r="C609" s="5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>
      <c r="A610" s="2"/>
      <c r="B610" s="2"/>
      <c r="C610" s="5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>
      <c r="A611" s="2"/>
      <c r="B611" s="2"/>
      <c r="C611" s="5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>
      <c r="A612" s="2"/>
      <c r="B612" s="2"/>
      <c r="C612" s="5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>
      <c r="A613" s="2"/>
      <c r="B613" s="2"/>
      <c r="C613" s="5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>
      <c r="A614" s="2"/>
      <c r="B614" s="2"/>
      <c r="C614" s="5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>
      <c r="A615" s="2"/>
      <c r="B615" s="2"/>
      <c r="C615" s="5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>
      <c r="A616" s="2"/>
      <c r="B616" s="2"/>
      <c r="C616" s="5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>
      <c r="A617" s="2"/>
      <c r="B617" s="2"/>
      <c r="C617" s="5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>
      <c r="A618" s="2"/>
      <c r="B618" s="2"/>
      <c r="C618" s="5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>
      <c r="A619" s="2"/>
      <c r="B619" s="2"/>
      <c r="C619" s="5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>
      <c r="A620" s="2"/>
      <c r="B620" s="2"/>
      <c r="C620" s="5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>
      <c r="A621" s="2"/>
      <c r="B621" s="2"/>
      <c r="C621" s="5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>
      <c r="A622" s="2"/>
      <c r="B622" s="2"/>
      <c r="C622" s="5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>
      <c r="A623" s="2"/>
      <c r="B623" s="2"/>
      <c r="C623" s="5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>
      <c r="A624" s="2"/>
      <c r="B624" s="2"/>
      <c r="C624" s="5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>
      <c r="A625" s="2"/>
      <c r="B625" s="2"/>
      <c r="C625" s="5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>
      <c r="A626" s="2"/>
      <c r="B626" s="2"/>
      <c r="C626" s="5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>
      <c r="A627" s="2"/>
      <c r="B627" s="2"/>
      <c r="C627" s="5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>
      <c r="A628" s="2"/>
      <c r="B628" s="2"/>
      <c r="C628" s="5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>
      <c r="A629" s="2"/>
      <c r="B629" s="2"/>
      <c r="C629" s="5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>
      <c r="A630" s="2"/>
      <c r="B630" s="2"/>
      <c r="C630" s="5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>
      <c r="A631" s="2"/>
      <c r="B631" s="2"/>
      <c r="C631" s="5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>
      <c r="A632" s="2"/>
      <c r="B632" s="2"/>
      <c r="C632" s="5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>
      <c r="A633" s="2"/>
      <c r="B633" s="2"/>
      <c r="C633" s="5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>
      <c r="A634" s="2"/>
      <c r="B634" s="2"/>
      <c r="C634" s="5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>
      <c r="A635" s="2"/>
      <c r="B635" s="2"/>
      <c r="C635" s="5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>
      <c r="A636" s="2"/>
      <c r="B636" s="2"/>
      <c r="C636" s="5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>
      <c r="A637" s="2"/>
      <c r="B637" s="2"/>
      <c r="C637" s="5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>
      <c r="A638" s="2"/>
      <c r="B638" s="2"/>
      <c r="C638" s="5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>
      <c r="A639" s="2"/>
      <c r="B639" s="2"/>
      <c r="C639" s="5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>
      <c r="A640" s="2"/>
      <c r="B640" s="2"/>
      <c r="C640" s="5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>
      <c r="A641" s="2"/>
      <c r="B641" s="2"/>
      <c r="C641" s="5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>
      <c r="A642" s="2"/>
      <c r="B642" s="2"/>
      <c r="C642" s="5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>
      <c r="A643" s="2"/>
      <c r="B643" s="2"/>
      <c r="C643" s="5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>
      <c r="A644" s="2"/>
      <c r="B644" s="2"/>
      <c r="C644" s="5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>
      <c r="A645" s="2"/>
      <c r="B645" s="2"/>
      <c r="C645" s="5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>
      <c r="A646" s="2"/>
      <c r="B646" s="2"/>
      <c r="C646" s="5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>
      <c r="A647" s="2"/>
      <c r="B647" s="2"/>
      <c r="C647" s="5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>
      <c r="A648" s="2"/>
      <c r="B648" s="2"/>
      <c r="C648" s="5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>
      <c r="A649" s="2"/>
      <c r="B649" s="2"/>
      <c r="C649" s="5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>
      <c r="A650" s="2"/>
      <c r="B650" s="2"/>
      <c r="C650" s="5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>
      <c r="A651" s="2"/>
      <c r="B651" s="2"/>
      <c r="C651" s="5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>
      <c r="A652" s="2"/>
      <c r="B652" s="2"/>
      <c r="C652" s="5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>
      <c r="A653" s="2"/>
      <c r="B653" s="2"/>
      <c r="C653" s="5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>
      <c r="A654" s="2"/>
      <c r="B654" s="2"/>
      <c r="C654" s="5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>
      <c r="A655" s="2"/>
      <c r="B655" s="2"/>
      <c r="C655" s="5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>
      <c r="A656" s="2"/>
      <c r="B656" s="2"/>
      <c r="C656" s="5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>
      <c r="A657" s="2"/>
      <c r="B657" s="2"/>
      <c r="C657" s="5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>
      <c r="A658" s="2"/>
      <c r="B658" s="2"/>
      <c r="C658" s="5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>
      <c r="A659" s="2"/>
      <c r="B659" s="2"/>
      <c r="C659" s="5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>
      <c r="A660" s="2"/>
      <c r="B660" s="2"/>
      <c r="C660" s="5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>
      <c r="A661" s="2"/>
      <c r="B661" s="2"/>
      <c r="C661" s="5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>
      <c r="A662" s="2"/>
      <c r="B662" s="2"/>
      <c r="C662" s="5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>
      <c r="A663" s="2"/>
      <c r="B663" s="2"/>
      <c r="C663" s="5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>
      <c r="A664" s="2"/>
      <c r="B664" s="2"/>
      <c r="C664" s="5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>
      <c r="A665" s="2"/>
      <c r="B665" s="2"/>
      <c r="C665" s="5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>
      <c r="A666" s="2"/>
      <c r="B666" s="2"/>
      <c r="C666" s="5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>
      <c r="A667" s="2"/>
      <c r="B667" s="2"/>
      <c r="C667" s="5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>
      <c r="A668" s="2"/>
      <c r="B668" s="2"/>
      <c r="C668" s="5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>
      <c r="A669" s="2"/>
      <c r="B669" s="2"/>
      <c r="C669" s="5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>
      <c r="A670" s="2"/>
      <c r="B670" s="2"/>
      <c r="C670" s="5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>
      <c r="A671" s="2"/>
      <c r="B671" s="2"/>
      <c r="C671" s="5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>
      <c r="A672" s="2"/>
      <c r="B672" s="2"/>
      <c r="C672" s="5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>
      <c r="A673" s="2"/>
      <c r="B673" s="2"/>
      <c r="C673" s="5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>
      <c r="A674" s="2"/>
      <c r="B674" s="2"/>
      <c r="C674" s="5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>
      <c r="A675" s="2"/>
      <c r="B675" s="2"/>
      <c r="C675" s="5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>
      <c r="A676" s="2"/>
      <c r="B676" s="2"/>
      <c r="C676" s="5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>
      <c r="A677" s="2"/>
      <c r="B677" s="2"/>
      <c r="C677" s="5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>
      <c r="A678" s="2"/>
      <c r="B678" s="2"/>
      <c r="C678" s="5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>
      <c r="A679" s="2"/>
      <c r="B679" s="2"/>
      <c r="C679" s="5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>
      <c r="A680" s="2"/>
      <c r="B680" s="2"/>
      <c r="C680" s="5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>
      <c r="A681" s="2"/>
      <c r="B681" s="2"/>
      <c r="C681" s="5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>
      <c r="A682" s="2"/>
      <c r="B682" s="2"/>
      <c r="C682" s="5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>
      <c r="A683" s="2"/>
      <c r="B683" s="2"/>
      <c r="C683" s="5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>
      <c r="A684" s="2"/>
      <c r="B684" s="2"/>
      <c r="C684" s="5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>
      <c r="A685" s="2"/>
      <c r="B685" s="2"/>
      <c r="C685" s="5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>
      <c r="A686" s="2"/>
      <c r="B686" s="2"/>
      <c r="C686" s="5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>
      <c r="A687" s="2"/>
      <c r="B687" s="2"/>
      <c r="C687" s="5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>
      <c r="A688" s="2"/>
      <c r="B688" s="2"/>
      <c r="C688" s="5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>
      <c r="A689" s="2"/>
      <c r="B689" s="2"/>
      <c r="C689" s="5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>
      <c r="A690" s="2"/>
      <c r="B690" s="2"/>
      <c r="C690" s="5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>
      <c r="A691" s="2"/>
      <c r="B691" s="2"/>
      <c r="C691" s="5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>
      <c r="A692" s="2"/>
      <c r="B692" s="2"/>
      <c r="C692" s="5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>
      <c r="A693" s="2"/>
      <c r="B693" s="2"/>
      <c r="C693" s="5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>
      <c r="A694" s="2"/>
      <c r="B694" s="2"/>
      <c r="C694" s="5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>
      <c r="A695" s="2"/>
      <c r="B695" s="2"/>
      <c r="C695" s="5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>
      <c r="A696" s="2"/>
      <c r="B696" s="2"/>
      <c r="C696" s="5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>
      <c r="A697" s="2"/>
      <c r="B697" s="2"/>
      <c r="C697" s="5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>
      <c r="A698" s="2"/>
      <c r="B698" s="2"/>
      <c r="C698" s="5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>
      <c r="A699" s="2"/>
      <c r="B699" s="2"/>
      <c r="C699" s="5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>
      <c r="A700" s="2"/>
      <c r="B700" s="2"/>
      <c r="C700" s="5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>
      <c r="A701" s="2"/>
      <c r="B701" s="2"/>
      <c r="C701" s="5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>
      <c r="A702" s="2"/>
      <c r="B702" s="2"/>
      <c r="C702" s="5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>
      <c r="A703" s="2"/>
      <c r="B703" s="2"/>
      <c r="C703" s="5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>
      <c r="A704" s="2"/>
      <c r="B704" s="2"/>
      <c r="C704" s="5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>
      <c r="A705" s="2"/>
      <c r="B705" s="2"/>
      <c r="C705" s="5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>
      <c r="A706" s="2"/>
      <c r="B706" s="2"/>
      <c r="C706" s="5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>
      <c r="A707" s="2"/>
      <c r="B707" s="2"/>
      <c r="C707" s="5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>
      <c r="A708" s="2"/>
      <c r="B708" s="2"/>
      <c r="C708" s="5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>
      <c r="A709" s="2"/>
      <c r="B709" s="2"/>
      <c r="C709" s="5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>
      <c r="A710" s="2"/>
      <c r="B710" s="2"/>
      <c r="C710" s="5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>
      <c r="A711" s="2"/>
      <c r="B711" s="2"/>
      <c r="C711" s="5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>
      <c r="A712" s="2"/>
      <c r="B712" s="2"/>
      <c r="C712" s="5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>
      <c r="A713" s="2"/>
      <c r="B713" s="2"/>
      <c r="C713" s="5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>
      <c r="A714" s="2"/>
      <c r="B714" s="2"/>
      <c r="C714" s="5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>
      <c r="A715" s="2"/>
      <c r="B715" s="2"/>
      <c r="C715" s="5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>
      <c r="A716" s="2"/>
      <c r="B716" s="2"/>
      <c r="C716" s="5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>
      <c r="A717" s="2"/>
      <c r="B717" s="2"/>
      <c r="C717" s="5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>
      <c r="A718" s="2"/>
      <c r="B718" s="2"/>
      <c r="C718" s="5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>
      <c r="A719" s="2"/>
      <c r="B719" s="2"/>
      <c r="C719" s="5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>
      <c r="A720" s="2"/>
      <c r="B720" s="2"/>
      <c r="C720" s="5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>
      <c r="A721" s="2"/>
      <c r="B721" s="2"/>
      <c r="C721" s="5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>
      <c r="A722" s="2"/>
      <c r="B722" s="2"/>
      <c r="C722" s="5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>
      <c r="A723" s="2"/>
      <c r="B723" s="2"/>
      <c r="C723" s="5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>
      <c r="A724" s="2"/>
      <c r="B724" s="2"/>
      <c r="C724" s="5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>
      <c r="A725" s="2"/>
      <c r="B725" s="2"/>
      <c r="C725" s="5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>
      <c r="A726" s="2"/>
      <c r="B726" s="2"/>
      <c r="C726" s="5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>
      <c r="A727" s="2"/>
      <c r="B727" s="2"/>
      <c r="C727" s="5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>
      <c r="A728" s="2"/>
      <c r="B728" s="2"/>
      <c r="C728" s="5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>
      <c r="A729" s="2"/>
      <c r="B729" s="2"/>
      <c r="C729" s="5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>
      <c r="A730" s="2"/>
      <c r="B730" s="2"/>
      <c r="C730" s="5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>
      <c r="A731" s="2"/>
      <c r="B731" s="2"/>
      <c r="C731" s="5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>
      <c r="A732" s="2"/>
      <c r="B732" s="2"/>
      <c r="C732" s="5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>
      <c r="A733" s="2"/>
      <c r="B733" s="2"/>
      <c r="C733" s="5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>
      <c r="A734" s="2"/>
      <c r="B734" s="2"/>
      <c r="C734" s="5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>
      <c r="A735" s="2"/>
      <c r="B735" s="2"/>
      <c r="C735" s="5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>
      <c r="A736" s="2"/>
      <c r="B736" s="2"/>
      <c r="C736" s="5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>
      <c r="A737" s="2"/>
      <c r="B737" s="2"/>
      <c r="C737" s="5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>
      <c r="A738" s="2"/>
      <c r="B738" s="2"/>
      <c r="C738" s="5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>
      <c r="A739" s="2"/>
      <c r="B739" s="2"/>
      <c r="C739" s="5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>
      <c r="A740" s="2"/>
      <c r="B740" s="2"/>
      <c r="C740" s="5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>
      <c r="A741" s="2"/>
      <c r="B741" s="2"/>
      <c r="C741" s="5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>
      <c r="A742" s="2"/>
      <c r="B742" s="2"/>
      <c r="C742" s="5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>
      <c r="A743" s="2"/>
      <c r="B743" s="2"/>
      <c r="C743" s="5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>
      <c r="A744" s="2"/>
      <c r="B744" s="2"/>
      <c r="C744" s="5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>
      <c r="A745" s="2"/>
      <c r="B745" s="2"/>
      <c r="C745" s="5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>
      <c r="A746" s="2"/>
      <c r="B746" s="2"/>
      <c r="C746" s="5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>
      <c r="A747" s="2"/>
      <c r="B747" s="2"/>
      <c r="C747" s="5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>
      <c r="A748" s="2"/>
      <c r="B748" s="2"/>
      <c r="C748" s="5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>
      <c r="A749" s="2"/>
      <c r="B749" s="2"/>
      <c r="C749" s="5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>
      <c r="A750" s="2"/>
      <c r="B750" s="2"/>
      <c r="C750" s="5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>
      <c r="A751" s="2"/>
      <c r="B751" s="2"/>
      <c r="C751" s="5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>
      <c r="A752" s="2"/>
      <c r="B752" s="2"/>
      <c r="C752" s="5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>
      <c r="A753" s="2"/>
      <c r="B753" s="2"/>
      <c r="C753" s="5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>
      <c r="A754" s="2"/>
      <c r="B754" s="2"/>
      <c r="C754" s="5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>
      <c r="A755" s="2"/>
      <c r="B755" s="2"/>
      <c r="C755" s="5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>
      <c r="A756" s="2"/>
      <c r="B756" s="2"/>
      <c r="C756" s="5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>
      <c r="A757" s="2"/>
      <c r="B757" s="2"/>
      <c r="C757" s="5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>
      <c r="A758" s="2"/>
      <c r="B758" s="2"/>
      <c r="C758" s="5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>
      <c r="A759" s="2"/>
      <c r="B759" s="2"/>
      <c r="C759" s="5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>
      <c r="A760" s="2"/>
      <c r="B760" s="2"/>
      <c r="C760" s="5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>
      <c r="A761" s="2"/>
      <c r="B761" s="2"/>
      <c r="C761" s="5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>
      <c r="A762" s="2"/>
      <c r="B762" s="2"/>
      <c r="C762" s="5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>
      <c r="A763" s="2"/>
      <c r="B763" s="2"/>
      <c r="C763" s="5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>
      <c r="A764" s="2"/>
      <c r="B764" s="2"/>
      <c r="C764" s="5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>
      <c r="A765" s="2"/>
      <c r="B765" s="2"/>
      <c r="C765" s="5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>
      <c r="A766" s="2"/>
      <c r="B766" s="2"/>
      <c r="C766" s="5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>
      <c r="A767" s="2"/>
      <c r="B767" s="2"/>
      <c r="C767" s="5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>
      <c r="A768" s="2"/>
      <c r="B768" s="2"/>
      <c r="C768" s="5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>
      <c r="A769" s="2"/>
      <c r="B769" s="2"/>
      <c r="C769" s="5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>
      <c r="A770" s="2"/>
      <c r="B770" s="2"/>
      <c r="C770" s="5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>
      <c r="A771" s="2"/>
      <c r="B771" s="2"/>
      <c r="C771" s="5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>
      <c r="A772" s="2"/>
      <c r="B772" s="2"/>
      <c r="C772" s="5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>
      <c r="A773" s="2"/>
      <c r="B773" s="2"/>
      <c r="C773" s="5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>
      <c r="A774" s="2"/>
      <c r="B774" s="2"/>
      <c r="C774" s="5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>
      <c r="A775" s="2"/>
      <c r="B775" s="2"/>
      <c r="C775" s="5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>
      <c r="A776" s="2"/>
      <c r="B776" s="2"/>
      <c r="C776" s="5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>
      <c r="A777" s="2"/>
      <c r="B777" s="2"/>
      <c r="C777" s="5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>
      <c r="A778" s="2"/>
      <c r="B778" s="2"/>
      <c r="C778" s="5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>
      <c r="A779" s="2"/>
      <c r="B779" s="2"/>
      <c r="C779" s="5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>
      <c r="A780" s="2"/>
      <c r="B780" s="2"/>
      <c r="C780" s="5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>
      <c r="A781" s="2"/>
      <c r="B781" s="2"/>
      <c r="C781" s="5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>
      <c r="A782" s="2"/>
      <c r="B782" s="2"/>
      <c r="C782" s="5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>
      <c r="A783" s="2"/>
      <c r="B783" s="2"/>
      <c r="C783" s="5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>
      <c r="A784" s="2"/>
      <c r="B784" s="2"/>
      <c r="C784" s="5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>
      <c r="A785" s="2"/>
      <c r="B785" s="2"/>
      <c r="C785" s="5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>
      <c r="A786" s="2"/>
      <c r="B786" s="2"/>
      <c r="C786" s="5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>
      <c r="A787" s="2"/>
      <c r="B787" s="2"/>
      <c r="C787" s="5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>
      <c r="A788" s="2"/>
      <c r="B788" s="2"/>
      <c r="C788" s="5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>
      <c r="A789" s="2"/>
      <c r="B789" s="2"/>
      <c r="C789" s="5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>
      <c r="A790" s="2"/>
      <c r="B790" s="2"/>
      <c r="C790" s="5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>
      <c r="A791" s="2"/>
      <c r="B791" s="2"/>
      <c r="C791" s="5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>
      <c r="A792" s="2"/>
      <c r="B792" s="2"/>
      <c r="C792" s="5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>
      <c r="A793" s="2"/>
      <c r="B793" s="2"/>
      <c r="C793" s="5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>
      <c r="A794" s="2"/>
      <c r="B794" s="2"/>
      <c r="C794" s="5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>
      <c r="A795" s="2"/>
      <c r="B795" s="2"/>
      <c r="C795" s="5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>
      <c r="A796" s="2"/>
      <c r="B796" s="2"/>
      <c r="C796" s="5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>
      <c r="A797" s="2"/>
      <c r="B797" s="2"/>
      <c r="C797" s="5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>
      <c r="A798" s="2"/>
      <c r="B798" s="2"/>
      <c r="C798" s="5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>
      <c r="A799" s="2"/>
      <c r="B799" s="2"/>
      <c r="C799" s="5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>
      <c r="A800" s="2"/>
      <c r="B800" s="2"/>
      <c r="C800" s="5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>
      <c r="A801" s="2"/>
      <c r="B801" s="2"/>
      <c r="C801" s="5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>
      <c r="A802" s="2"/>
      <c r="B802" s="2"/>
      <c r="C802" s="5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>
      <c r="A803" s="2"/>
      <c r="B803" s="2"/>
      <c r="C803" s="5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>
      <c r="A804" s="2"/>
      <c r="B804" s="2"/>
      <c r="C804" s="5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>
      <c r="A805" s="2"/>
      <c r="B805" s="2"/>
      <c r="C805" s="5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>
      <c r="A806" s="2"/>
      <c r="B806" s="2"/>
      <c r="C806" s="5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>
      <c r="A807" s="2"/>
      <c r="B807" s="2"/>
      <c r="C807" s="5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>
      <c r="A808" s="2"/>
      <c r="B808" s="2"/>
      <c r="C808" s="5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>
      <c r="A809" s="2"/>
      <c r="B809" s="2"/>
      <c r="C809" s="5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>
      <c r="A810" s="2"/>
      <c r="B810" s="2"/>
      <c r="C810" s="5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>
      <c r="A811" s="2"/>
      <c r="B811" s="2"/>
      <c r="C811" s="5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>
      <c r="A812" s="2"/>
      <c r="B812" s="2"/>
      <c r="C812" s="5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>
      <c r="A813" s="2"/>
      <c r="B813" s="2"/>
      <c r="C813" s="5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>
      <c r="A814" s="2"/>
      <c r="B814" s="2"/>
      <c r="C814" s="5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>
      <c r="A815" s="2"/>
      <c r="B815" s="2"/>
      <c r="C815" s="5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>
      <c r="A816" s="2"/>
      <c r="B816" s="2"/>
      <c r="C816" s="5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>
      <c r="A817" s="2"/>
      <c r="B817" s="2"/>
      <c r="C817" s="5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>
      <c r="A818" s="2"/>
      <c r="B818" s="2"/>
      <c r="C818" s="5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>
      <c r="A819" s="2"/>
      <c r="B819" s="2"/>
      <c r="C819" s="5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>
      <c r="A820" s="2"/>
      <c r="B820" s="2"/>
      <c r="C820" s="5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>
      <c r="A821" s="2"/>
      <c r="B821" s="2"/>
      <c r="C821" s="5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>
      <c r="A822" s="2"/>
      <c r="B822" s="2"/>
      <c r="C822" s="5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>
      <c r="A823" s="2"/>
      <c r="B823" s="2"/>
      <c r="C823" s="5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>
      <c r="A824" s="2"/>
      <c r="B824" s="2"/>
      <c r="C824" s="5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>
      <c r="A825" s="2"/>
      <c r="B825" s="2"/>
      <c r="C825" s="5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>
      <c r="A826" s="2"/>
      <c r="B826" s="2"/>
      <c r="C826" s="5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>
      <c r="A827" s="2"/>
      <c r="B827" s="2"/>
      <c r="C827" s="5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>
      <c r="A828" s="2"/>
      <c r="B828" s="2"/>
      <c r="C828" s="5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>
      <c r="A829" s="2"/>
      <c r="B829" s="2"/>
      <c r="C829" s="5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>
      <c r="A830" s="2"/>
      <c r="B830" s="2"/>
      <c r="C830" s="5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>
      <c r="A831" s="2"/>
      <c r="B831" s="2"/>
      <c r="C831" s="5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>
      <c r="A832" s="2"/>
      <c r="B832" s="2"/>
      <c r="C832" s="5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>
      <c r="A833" s="2"/>
      <c r="B833" s="2"/>
      <c r="C833" s="5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>
      <c r="A834" s="2"/>
      <c r="B834" s="2"/>
      <c r="C834" s="5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>
      <c r="A835" s="2"/>
      <c r="B835" s="2"/>
      <c r="C835" s="5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>
      <c r="A836" s="2"/>
      <c r="B836" s="2"/>
      <c r="C836" s="5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>
      <c r="A837" s="2"/>
      <c r="B837" s="2"/>
      <c r="C837" s="5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>
      <c r="A838" s="2"/>
      <c r="B838" s="2"/>
      <c r="C838" s="5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>
      <c r="A839" s="2"/>
      <c r="B839" s="2"/>
      <c r="C839" s="5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>
      <c r="A840" s="2"/>
      <c r="B840" s="2"/>
      <c r="C840" s="5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>
      <c r="A841" s="2"/>
      <c r="B841" s="2"/>
      <c r="C841" s="5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>
      <c r="A842" s="2"/>
      <c r="B842" s="2"/>
      <c r="C842" s="5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>
      <c r="A843" s="2"/>
      <c r="B843" s="2"/>
      <c r="C843" s="5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>
      <c r="A844" s="2"/>
      <c r="B844" s="2"/>
      <c r="C844" s="5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>
      <c r="A845" s="2"/>
      <c r="B845" s="2"/>
      <c r="C845" s="5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>
      <c r="A846" s="2"/>
      <c r="B846" s="2"/>
      <c r="C846" s="5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>
      <c r="A847" s="2"/>
      <c r="B847" s="2"/>
      <c r="C847" s="5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>
      <c r="A848" s="2"/>
      <c r="B848" s="2"/>
      <c r="C848" s="5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>
      <c r="A849" s="2"/>
      <c r="B849" s="2"/>
      <c r="C849" s="5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>
      <c r="A850" s="2"/>
      <c r="B850" s="2"/>
      <c r="C850" s="5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>
      <c r="A851" s="2"/>
      <c r="B851" s="2"/>
      <c r="C851" s="5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>
      <c r="A852" s="2"/>
      <c r="B852" s="2"/>
      <c r="C852" s="5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>
      <c r="A853" s="2"/>
      <c r="B853" s="2"/>
      <c r="C853" s="5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>
      <c r="A854" s="2"/>
      <c r="B854" s="2"/>
      <c r="C854" s="5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>
      <c r="A855" s="2"/>
      <c r="B855" s="2"/>
      <c r="C855" s="5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>
      <c r="A856" s="2"/>
      <c r="B856" s="2"/>
      <c r="C856" s="5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>
      <c r="A857" s="2"/>
      <c r="B857" s="2"/>
      <c r="C857" s="5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>
      <c r="A858" s="2"/>
      <c r="B858" s="2"/>
      <c r="C858" s="5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>
      <c r="A859" s="2"/>
      <c r="B859" s="2"/>
      <c r="C859" s="5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>
      <c r="A860" s="2"/>
      <c r="B860" s="2"/>
      <c r="C860" s="5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>
      <c r="A861" s="2"/>
      <c r="B861" s="2"/>
      <c r="C861" s="5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>
      <c r="A862" s="2"/>
      <c r="B862" s="2"/>
      <c r="C862" s="5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>
      <c r="A863" s="2"/>
      <c r="B863" s="2"/>
      <c r="C863" s="5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>
      <c r="A864" s="2"/>
      <c r="B864" s="2"/>
      <c r="C864" s="5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>
      <c r="A865" s="2"/>
      <c r="B865" s="2"/>
      <c r="C865" s="5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>
      <c r="A866" s="2"/>
      <c r="B866" s="2"/>
      <c r="C866" s="5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>
      <c r="A867" s="2"/>
      <c r="B867" s="2"/>
      <c r="C867" s="5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>
      <c r="A868" s="2"/>
      <c r="B868" s="2"/>
      <c r="C868" s="5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>
      <c r="A869" s="2"/>
      <c r="B869" s="2"/>
      <c r="C869" s="5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>
      <c r="A870" s="2"/>
      <c r="B870" s="2"/>
      <c r="C870" s="5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>
      <c r="A871" s="2"/>
      <c r="B871" s="2"/>
      <c r="C871" s="5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>
      <c r="A872" s="2"/>
      <c r="B872" s="2"/>
      <c r="C872" s="5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>
      <c r="A873" s="2"/>
      <c r="B873" s="2"/>
      <c r="C873" s="5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>
      <c r="A874" s="2"/>
      <c r="B874" s="2"/>
      <c r="C874" s="5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>
      <c r="A875" s="2"/>
      <c r="B875" s="2"/>
      <c r="C875" s="5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>
      <c r="A876" s="2"/>
      <c r="B876" s="2"/>
      <c r="C876" s="5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>
      <c r="A877" s="2"/>
      <c r="B877" s="2"/>
      <c r="C877" s="5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>
      <c r="A878" s="2"/>
      <c r="B878" s="2"/>
      <c r="C878" s="5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>
      <c r="A879" s="2"/>
      <c r="B879" s="2"/>
      <c r="C879" s="5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>
      <c r="A880" s="2"/>
      <c r="B880" s="2"/>
      <c r="C880" s="5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>
      <c r="A881" s="2"/>
      <c r="B881" s="2"/>
      <c r="C881" s="5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>
      <c r="A882" s="2"/>
      <c r="B882" s="2"/>
      <c r="C882" s="5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>
      <c r="A883" s="2"/>
      <c r="B883" s="2"/>
      <c r="C883" s="5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>
      <c r="A884" s="2"/>
      <c r="B884" s="2"/>
      <c r="C884" s="5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>
      <c r="A885" s="2"/>
      <c r="B885" s="2"/>
      <c r="C885" s="5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>
      <c r="A886" s="2"/>
      <c r="B886" s="2"/>
      <c r="C886" s="5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>
      <c r="A887" s="2"/>
      <c r="B887" s="2"/>
      <c r="C887" s="5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>
      <c r="A888" s="2"/>
      <c r="B888" s="2"/>
      <c r="C888" s="5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>
      <c r="A889" s="2"/>
      <c r="B889" s="2"/>
      <c r="C889" s="5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>
      <c r="A890" s="2"/>
      <c r="B890" s="2"/>
      <c r="C890" s="5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>
      <c r="A891" s="2"/>
      <c r="B891" s="2"/>
      <c r="C891" s="5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>
      <c r="A892" s="2"/>
      <c r="B892" s="2"/>
      <c r="C892" s="5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>
      <c r="A893" s="2"/>
      <c r="B893" s="2"/>
      <c r="C893" s="5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>
      <c r="A894" s="2"/>
      <c r="B894" s="2"/>
      <c r="C894" s="5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>
      <c r="A895" s="2"/>
      <c r="B895" s="2"/>
      <c r="C895" s="5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>
      <c r="A896" s="2"/>
      <c r="B896" s="2"/>
      <c r="C896" s="5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>
      <c r="A897" s="2"/>
      <c r="B897" s="2"/>
      <c r="C897" s="5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>
      <c r="A898" s="2"/>
      <c r="B898" s="2"/>
      <c r="C898" s="5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>
      <c r="A899" s="2"/>
      <c r="B899" s="2"/>
      <c r="C899" s="5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>
      <c r="A900" s="2"/>
      <c r="B900" s="2"/>
      <c r="C900" s="5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>
      <c r="A901" s="2"/>
      <c r="B901" s="2"/>
      <c r="C901" s="5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>
      <c r="A902" s="2"/>
      <c r="B902" s="2"/>
      <c r="C902" s="5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>
      <c r="A903" s="2"/>
      <c r="B903" s="2"/>
      <c r="C903" s="5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>
      <c r="A904" s="2"/>
      <c r="B904" s="2"/>
      <c r="C904" s="5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>
      <c r="A905" s="2"/>
      <c r="B905" s="2"/>
      <c r="C905" s="5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>
      <c r="A906" s="2"/>
      <c r="B906" s="2"/>
      <c r="C906" s="5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>
      <c r="A907" s="2"/>
      <c r="B907" s="2"/>
      <c r="C907" s="5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>
      <c r="A908" s="2"/>
      <c r="B908" s="2"/>
      <c r="C908" s="5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>
      <c r="A909" s="2"/>
      <c r="B909" s="2"/>
      <c r="C909" s="5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>
      <c r="A910" s="2"/>
      <c r="B910" s="2"/>
      <c r="C910" s="5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>
      <c r="A911" s="2"/>
      <c r="B911" s="2"/>
      <c r="C911" s="5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>
      <c r="A912" s="2"/>
      <c r="B912" s="2"/>
      <c r="C912" s="5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>
      <c r="A913" s="2"/>
      <c r="B913" s="2"/>
      <c r="C913" s="5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>
      <c r="A914" s="2"/>
      <c r="B914" s="2"/>
      <c r="C914" s="5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>
      <c r="A915" s="2"/>
      <c r="B915" s="2"/>
      <c r="C915" s="5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>
      <c r="A916" s="2"/>
      <c r="B916" s="2"/>
      <c r="C916" s="5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>
      <c r="A917" s="2"/>
      <c r="B917" s="2"/>
      <c r="C917" s="5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>
      <c r="A918" s="2"/>
      <c r="B918" s="2"/>
      <c r="C918" s="5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>
      <c r="A919" s="2"/>
      <c r="B919" s="2"/>
      <c r="C919" s="5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>
      <c r="A920" s="2"/>
      <c r="B920" s="2"/>
      <c r="C920" s="5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>
      <c r="A921" s="2"/>
      <c r="B921" s="2"/>
      <c r="C921" s="5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>
      <c r="A922" s="2"/>
      <c r="B922" s="2"/>
      <c r="C922" s="5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>
      <c r="A923" s="2"/>
      <c r="B923" s="2"/>
      <c r="C923" s="5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>
      <c r="A924" s="2"/>
      <c r="B924" s="2"/>
      <c r="C924" s="5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>
      <c r="A925" s="2"/>
      <c r="B925" s="2"/>
      <c r="C925" s="5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>
      <c r="A926" s="2"/>
      <c r="B926" s="2"/>
      <c r="C926" s="5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>
      <c r="A927" s="2"/>
      <c r="B927" s="2"/>
      <c r="C927" s="5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>
      <c r="A928" s="2"/>
      <c r="B928" s="2"/>
      <c r="C928" s="5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>
      <c r="A929" s="2"/>
      <c r="B929" s="2"/>
      <c r="C929" s="5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>
      <c r="A930" s="2"/>
      <c r="B930" s="2"/>
      <c r="C930" s="5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>
      <c r="A931" s="2"/>
      <c r="B931" s="2"/>
      <c r="C931" s="5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>
      <c r="A932" s="2"/>
      <c r="B932" s="2"/>
      <c r="C932" s="5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>
      <c r="A933" s="2"/>
      <c r="B933" s="2"/>
      <c r="C933" s="5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>
      <c r="A934" s="2"/>
      <c r="B934" s="2"/>
      <c r="C934" s="5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>
      <c r="A935" s="2"/>
      <c r="B935" s="2"/>
      <c r="C935" s="5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>
      <c r="A936" s="2"/>
      <c r="B936" s="2"/>
      <c r="C936" s="5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>
      <c r="A937" s="2"/>
      <c r="B937" s="2"/>
      <c r="C937" s="5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>
      <c r="A938" s="2"/>
      <c r="B938" s="2"/>
      <c r="C938" s="5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>
      <c r="A939" s="2"/>
      <c r="B939" s="2"/>
      <c r="C939" s="5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>
      <c r="A940" s="2"/>
      <c r="B940" s="2"/>
      <c r="C940" s="5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>
      <c r="A941" s="2"/>
      <c r="B941" s="2"/>
      <c r="C941" s="5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>
      <c r="A942" s="2"/>
      <c r="B942" s="2"/>
      <c r="C942" s="5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>
      <c r="A943" s="2"/>
      <c r="B943" s="2"/>
      <c r="C943" s="5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>
      <c r="A944" s="2"/>
      <c r="B944" s="2"/>
      <c r="C944" s="5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>
      <c r="A945" s="2"/>
      <c r="B945" s="2"/>
      <c r="C945" s="5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>
      <c r="A946" s="2"/>
      <c r="B946" s="2"/>
      <c r="C946" s="5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>
      <c r="A947" s="2"/>
      <c r="B947" s="2"/>
      <c r="C947" s="5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>
      <c r="A948" s="2"/>
      <c r="B948" s="2"/>
      <c r="C948" s="5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>
      <c r="A949" s="2"/>
      <c r="B949" s="2"/>
      <c r="C949" s="5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>
      <c r="A950" s="2"/>
      <c r="B950" s="2"/>
      <c r="C950" s="5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>
      <c r="A951" s="2"/>
      <c r="B951" s="2"/>
      <c r="C951" s="5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>
      <c r="A952" s="2"/>
      <c r="B952" s="2"/>
      <c r="C952" s="5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>
      <c r="A953" s="2"/>
      <c r="B953" s="2"/>
      <c r="C953" s="5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>
      <c r="A954" s="2"/>
      <c r="B954" s="2"/>
      <c r="C954" s="5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>
      <c r="A955" s="2"/>
      <c r="B955" s="2"/>
      <c r="C955" s="5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>
      <c r="A956" s="2"/>
      <c r="B956" s="2"/>
      <c r="C956" s="5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>
      <c r="A957" s="2"/>
      <c r="B957" s="2"/>
      <c r="C957" s="5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>
      <c r="A958" s="2"/>
      <c r="B958" s="2"/>
      <c r="C958" s="5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>
      <c r="A959" s="2"/>
      <c r="B959" s="2"/>
      <c r="C959" s="5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>
      <c r="A960" s="2"/>
      <c r="B960" s="2"/>
      <c r="C960" s="5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>
      <c r="A961" s="2"/>
      <c r="B961" s="2"/>
      <c r="C961" s="5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>
      <c r="A962" s="2"/>
      <c r="B962" s="2"/>
      <c r="C962" s="5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>
      <c r="A963" s="2"/>
      <c r="B963" s="2"/>
      <c r="C963" s="5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>
      <c r="A964" s="2"/>
      <c r="B964" s="2"/>
      <c r="C964" s="5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>
      <c r="A965" s="2"/>
      <c r="B965" s="2"/>
      <c r="C965" s="5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>
      <c r="A966" s="2"/>
      <c r="B966" s="2"/>
      <c r="C966" s="5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>
      <c r="A967" s="2"/>
      <c r="B967" s="2"/>
      <c r="C967" s="5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>
      <c r="A968" s="2"/>
      <c r="B968" s="2"/>
      <c r="C968" s="5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>
      <c r="A969" s="2"/>
      <c r="B969" s="2"/>
      <c r="C969" s="5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>
      <c r="A970" s="2"/>
      <c r="B970" s="2"/>
      <c r="C970" s="5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>
      <c r="A971" s="2"/>
      <c r="B971" s="2"/>
      <c r="C971" s="5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>
      <c r="A972" s="2"/>
      <c r="B972" s="2"/>
      <c r="C972" s="5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>
      <c r="A973" s="2"/>
      <c r="B973" s="2"/>
      <c r="C973" s="5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>
      <c r="A974" s="2"/>
      <c r="B974" s="2"/>
      <c r="C974" s="5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>
      <c r="A975" s="2"/>
      <c r="B975" s="2"/>
      <c r="C975" s="5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>
      <c r="A976" s="2"/>
      <c r="B976" s="2"/>
      <c r="C976" s="5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>
      <c r="A977" s="2"/>
      <c r="B977" s="2"/>
      <c r="C977" s="5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>
      <c r="A978" s="2"/>
      <c r="B978" s="2"/>
      <c r="C978" s="5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>
      <c r="A979" s="2"/>
      <c r="B979" s="2"/>
      <c r="C979" s="5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>
      <c r="A980" s="2"/>
      <c r="B980" s="2"/>
      <c r="C980" s="5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1:15">
      <c r="A981" s="2"/>
      <c r="B981" s="2"/>
      <c r="C981" s="5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1:15">
      <c r="A982" s="2"/>
      <c r="B982" s="2"/>
      <c r="C982" s="5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1:15">
      <c r="A983" s="2"/>
      <c r="B983" s="2"/>
      <c r="C983" s="5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spans="1:15">
      <c r="A984" s="2"/>
      <c r="B984" s="2"/>
      <c r="C984" s="5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1:15">
      <c r="A985" s="2"/>
      <c r="B985" s="2"/>
      <c r="C985" s="5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1:15">
      <c r="A986" s="2"/>
      <c r="B986" s="2"/>
      <c r="C986" s="5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1:15">
      <c r="A987" s="2"/>
      <c r="B987" s="2"/>
      <c r="C987" s="5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spans="1:15">
      <c r="A988" s="2"/>
      <c r="B988" s="2"/>
      <c r="C988" s="5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1:15">
      <c r="A989" s="2"/>
      <c r="B989" s="2"/>
      <c r="C989" s="5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spans="1:15">
      <c r="A990" s="2"/>
      <c r="B990" s="2"/>
      <c r="C990" s="5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spans="1:15">
      <c r="A991" s="2"/>
      <c r="B991" s="2"/>
      <c r="C991" s="5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spans="1:15">
      <c r="A992" s="2"/>
      <c r="B992" s="2"/>
      <c r="C992" s="5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spans="1:15">
      <c r="A993" s="2"/>
      <c r="B993" s="2"/>
      <c r="C993" s="5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spans="1:15">
      <c r="A994" s="2"/>
      <c r="B994" s="2"/>
      <c r="C994" s="5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spans="1:15">
      <c r="A995" s="2"/>
      <c r="B995" s="2"/>
      <c r="C995" s="5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spans="1:15">
      <c r="A996" s="2"/>
      <c r="B996" s="2"/>
      <c r="C996" s="5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spans="1:15">
      <c r="A997" s="2"/>
      <c r="B997" s="2"/>
      <c r="C997" s="5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spans="1:15">
      <c r="A998" s="2"/>
      <c r="B998" s="2"/>
      <c r="C998" s="5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spans="1:15">
      <c r="A999" s="2"/>
      <c r="B999" s="2"/>
      <c r="C999" s="5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spans="1:15">
      <c r="A1000" s="2"/>
      <c r="B1000" s="2"/>
      <c r="C1000" s="5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">
    <mergeCell ref="A1:O1"/>
  </mergeCells>
  <dataValidations count="1">
    <dataValidation type="list" sqref="L4:M1000" xr:uid="{00000000-0002-0000-0C00-000000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500"/>
  <sheetViews>
    <sheetView workbookViewId="0">
      <selection sqref="A1:O1"/>
    </sheetView>
  </sheetViews>
  <sheetFormatPr baseColWidth="10" defaultColWidth="8.6640625" defaultRowHeight="14"/>
  <cols>
    <col min="1" max="1" width="6.9140625" customWidth="1"/>
    <col min="2" max="2" width="4.1640625" customWidth="1"/>
    <col min="3" max="3" width="4.6640625" customWidth="1"/>
    <col min="4" max="4" width="6.1640625" customWidth="1"/>
    <col min="5" max="5" width="15.58203125" customWidth="1"/>
    <col min="6" max="6" width="9.25" customWidth="1"/>
    <col min="7" max="7" width="9.1640625" customWidth="1"/>
    <col min="8" max="8" width="14.25" customWidth="1"/>
    <col min="9" max="9" width="16.9140625" customWidth="1"/>
    <col min="10" max="10" width="6.1640625" customWidth="1"/>
    <col min="11" max="11" width="9.1640625" customWidth="1"/>
    <col min="12" max="12" width="16.08203125" customWidth="1"/>
    <col min="13" max="13" width="16.58203125" customWidth="1"/>
    <col min="14" max="14" width="15" customWidth="1"/>
    <col min="15" max="15" width="12.25" customWidth="1"/>
  </cols>
  <sheetData>
    <row r="1" spans="1:15" ht="15.15" customHeight="1">
      <c r="A1" s="43" t="s">
        <v>263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>
      <c r="A2" s="10"/>
    </row>
    <row r="3" spans="1:15" ht="13.4" customHeight="1">
      <c r="A3" s="11" t="s">
        <v>247</v>
      </c>
      <c r="B3" s="1" t="s">
        <v>152</v>
      </c>
      <c r="C3" s="1" t="s">
        <v>178</v>
      </c>
      <c r="D3" s="1" t="s">
        <v>258</v>
      </c>
      <c r="E3" s="1" t="s">
        <v>264</v>
      </c>
      <c r="F3" s="1" t="s">
        <v>265</v>
      </c>
      <c r="G3" s="1" t="s">
        <v>211</v>
      </c>
      <c r="H3" s="1" t="s">
        <v>266</v>
      </c>
      <c r="I3" s="1" t="s">
        <v>267</v>
      </c>
      <c r="J3" s="1" t="s">
        <v>165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198</v>
      </c>
    </row>
    <row r="4" spans="1:15">
      <c r="A4" s="12"/>
      <c r="B4" s="2"/>
      <c r="C4" s="2"/>
      <c r="D4" s="2"/>
      <c r="E4" s="6"/>
      <c r="F4" s="2"/>
      <c r="G4" s="2"/>
      <c r="H4" s="5"/>
      <c r="I4" s="2"/>
      <c r="J4" s="2"/>
      <c r="K4" s="2"/>
      <c r="L4" s="2"/>
      <c r="M4" s="5"/>
      <c r="N4" s="2"/>
      <c r="O4" s="2"/>
    </row>
    <row r="5" spans="1:15">
      <c r="A5" s="12"/>
      <c r="B5" s="2"/>
      <c r="C5" s="2"/>
      <c r="D5" s="2"/>
      <c r="E5" s="6"/>
      <c r="F5" s="2"/>
      <c r="G5" s="2"/>
      <c r="H5" s="5"/>
      <c r="I5" s="2"/>
      <c r="J5" s="2"/>
      <c r="K5" s="2"/>
      <c r="L5" s="2"/>
      <c r="M5" s="5"/>
      <c r="N5" s="2"/>
      <c r="O5" s="2"/>
    </row>
    <row r="6" spans="1:15">
      <c r="A6" s="12"/>
      <c r="B6" s="2"/>
      <c r="C6" s="2"/>
      <c r="D6" s="2"/>
      <c r="E6" s="6"/>
      <c r="F6" s="2"/>
      <c r="G6" s="2"/>
      <c r="H6" s="5"/>
      <c r="I6" s="2"/>
      <c r="J6" s="2"/>
      <c r="K6" s="2"/>
      <c r="L6" s="2"/>
      <c r="M6" s="5"/>
      <c r="N6" s="2"/>
      <c r="O6" s="2"/>
    </row>
    <row r="7" spans="1:15">
      <c r="A7" s="12"/>
      <c r="B7" s="2"/>
      <c r="C7" s="2"/>
      <c r="D7" s="2"/>
      <c r="E7" s="6"/>
      <c r="F7" s="2"/>
      <c r="G7" s="2"/>
      <c r="H7" s="5"/>
      <c r="I7" s="2"/>
      <c r="J7" s="2"/>
      <c r="K7" s="2"/>
      <c r="L7" s="2"/>
      <c r="M7" s="5"/>
      <c r="N7" s="2"/>
      <c r="O7" s="2"/>
    </row>
    <row r="8" spans="1:15">
      <c r="A8" s="12"/>
      <c r="B8" s="2"/>
      <c r="C8" s="2"/>
      <c r="D8" s="2"/>
      <c r="E8" s="6"/>
      <c r="F8" s="2"/>
      <c r="G8" s="2"/>
      <c r="H8" s="5"/>
      <c r="I8" s="2"/>
      <c r="J8" s="2"/>
      <c r="K8" s="2"/>
      <c r="L8" s="2"/>
      <c r="M8" s="5"/>
      <c r="N8" s="2"/>
      <c r="O8" s="2"/>
    </row>
    <row r="9" spans="1:15">
      <c r="A9" s="12"/>
      <c r="B9" s="2"/>
      <c r="C9" s="2"/>
      <c r="D9" s="2"/>
      <c r="E9" s="6"/>
      <c r="F9" s="2"/>
      <c r="G9" s="2"/>
      <c r="H9" s="5"/>
      <c r="I9" s="2"/>
      <c r="J9" s="2"/>
      <c r="K9" s="2"/>
      <c r="L9" s="2"/>
      <c r="M9" s="5"/>
      <c r="N9" s="2"/>
      <c r="O9" s="2"/>
    </row>
    <row r="10" spans="1:15">
      <c r="A10" s="12"/>
      <c r="B10" s="2"/>
      <c r="C10" s="2"/>
      <c r="D10" s="2"/>
      <c r="E10" s="6"/>
      <c r="F10" s="2"/>
      <c r="G10" s="2"/>
      <c r="H10" s="5"/>
      <c r="I10" s="2"/>
      <c r="J10" s="2"/>
      <c r="K10" s="2"/>
      <c r="L10" s="2"/>
      <c r="M10" s="5"/>
      <c r="N10" s="2"/>
      <c r="O10" s="2"/>
    </row>
    <row r="11" spans="1:15">
      <c r="A11" s="12"/>
      <c r="B11" s="2"/>
      <c r="C11" s="2"/>
      <c r="D11" s="2"/>
      <c r="E11" s="6"/>
      <c r="F11" s="2"/>
      <c r="G11" s="2"/>
      <c r="H11" s="5"/>
      <c r="I11" s="2"/>
      <c r="J11" s="2"/>
      <c r="K11" s="2"/>
      <c r="L11" s="2"/>
      <c r="M11" s="5"/>
      <c r="N11" s="2"/>
      <c r="O11" s="2"/>
    </row>
    <row r="12" spans="1:15">
      <c r="A12" s="12"/>
      <c r="B12" s="2"/>
      <c r="C12" s="2"/>
      <c r="D12" s="2"/>
      <c r="E12" s="6"/>
      <c r="F12" s="2"/>
      <c r="G12" s="2"/>
      <c r="H12" s="5"/>
      <c r="I12" s="2"/>
      <c r="J12" s="2"/>
      <c r="K12" s="2"/>
      <c r="L12" s="2"/>
      <c r="M12" s="5"/>
      <c r="N12" s="2"/>
      <c r="O12" s="2"/>
    </row>
    <row r="13" spans="1:15">
      <c r="A13" s="12"/>
      <c r="B13" s="2"/>
      <c r="C13" s="2"/>
      <c r="D13" s="2"/>
      <c r="E13" s="6"/>
      <c r="F13" s="2"/>
      <c r="G13" s="2"/>
      <c r="H13" s="5"/>
      <c r="I13" s="2"/>
      <c r="J13" s="2"/>
      <c r="K13" s="2"/>
      <c r="L13" s="2"/>
      <c r="M13" s="5"/>
      <c r="N13" s="2"/>
      <c r="O13" s="2"/>
    </row>
    <row r="14" spans="1:15">
      <c r="A14" s="12"/>
      <c r="B14" s="2"/>
      <c r="C14" s="2"/>
      <c r="D14" s="2"/>
      <c r="E14" s="6"/>
      <c r="F14" s="2"/>
      <c r="G14" s="2"/>
      <c r="H14" s="5"/>
      <c r="I14" s="2"/>
      <c r="J14" s="2"/>
      <c r="K14" s="2"/>
      <c r="L14" s="2"/>
      <c r="M14" s="5"/>
      <c r="N14" s="2"/>
      <c r="O14" s="2"/>
    </row>
    <row r="15" spans="1:15">
      <c r="A15" s="12"/>
      <c r="B15" s="2"/>
      <c r="C15" s="2"/>
      <c r="D15" s="2"/>
      <c r="E15" s="6"/>
      <c r="F15" s="2"/>
      <c r="G15" s="2"/>
      <c r="H15" s="5"/>
      <c r="I15" s="2"/>
      <c r="J15" s="2"/>
      <c r="K15" s="2"/>
      <c r="L15" s="2"/>
      <c r="M15" s="5"/>
      <c r="N15" s="2"/>
      <c r="O15" s="2"/>
    </row>
    <row r="16" spans="1:15">
      <c r="A16" s="12"/>
      <c r="B16" s="2"/>
      <c r="C16" s="2"/>
      <c r="D16" s="2"/>
      <c r="E16" s="6"/>
      <c r="F16" s="2"/>
      <c r="G16" s="2"/>
      <c r="H16" s="5"/>
      <c r="I16" s="2"/>
      <c r="J16" s="2"/>
      <c r="K16" s="2"/>
      <c r="L16" s="2"/>
      <c r="M16" s="5"/>
      <c r="N16" s="2"/>
      <c r="O16" s="2"/>
    </row>
    <row r="17" spans="1:15">
      <c r="A17" s="12"/>
      <c r="B17" s="2"/>
      <c r="C17" s="2"/>
      <c r="D17" s="2"/>
      <c r="E17" s="6"/>
      <c r="F17" s="2"/>
      <c r="G17" s="2"/>
      <c r="H17" s="5"/>
      <c r="I17" s="2"/>
      <c r="J17" s="2"/>
      <c r="K17" s="2"/>
      <c r="L17" s="2"/>
      <c r="M17" s="5"/>
      <c r="N17" s="2"/>
      <c r="O17" s="2"/>
    </row>
    <row r="18" spans="1:15">
      <c r="A18" s="12"/>
      <c r="B18" s="2"/>
      <c r="C18" s="2"/>
      <c r="D18" s="2"/>
      <c r="E18" s="6"/>
      <c r="F18" s="2"/>
      <c r="G18" s="2"/>
      <c r="H18" s="5"/>
      <c r="I18" s="2"/>
      <c r="J18" s="2"/>
      <c r="K18" s="2"/>
      <c r="L18" s="2"/>
      <c r="M18" s="5"/>
      <c r="N18" s="2"/>
      <c r="O18" s="2"/>
    </row>
    <row r="19" spans="1:15">
      <c r="A19" s="12"/>
      <c r="B19" s="2"/>
      <c r="C19" s="2"/>
      <c r="D19" s="2"/>
      <c r="E19" s="6"/>
      <c r="F19" s="2"/>
      <c r="G19" s="2"/>
      <c r="H19" s="5"/>
      <c r="I19" s="2"/>
      <c r="J19" s="2"/>
      <c r="K19" s="2"/>
      <c r="L19" s="2"/>
      <c r="M19" s="5"/>
      <c r="N19" s="2"/>
      <c r="O19" s="2"/>
    </row>
    <row r="20" spans="1:15">
      <c r="A20" s="12"/>
      <c r="B20" s="2"/>
      <c r="C20" s="2"/>
      <c r="D20" s="2"/>
      <c r="E20" s="6"/>
      <c r="F20" s="2"/>
      <c r="G20" s="2"/>
      <c r="H20" s="5"/>
      <c r="I20" s="2"/>
      <c r="J20" s="2"/>
      <c r="K20" s="2"/>
      <c r="L20" s="2"/>
      <c r="M20" s="5"/>
      <c r="N20" s="2"/>
      <c r="O20" s="2"/>
    </row>
    <row r="21" spans="1:15">
      <c r="A21" s="12"/>
      <c r="B21" s="2"/>
      <c r="C21" s="2"/>
      <c r="D21" s="2"/>
      <c r="E21" s="6"/>
      <c r="F21" s="2"/>
      <c r="G21" s="2"/>
      <c r="H21" s="5"/>
      <c r="I21" s="2"/>
      <c r="J21" s="2"/>
      <c r="K21" s="2"/>
      <c r="L21" s="2"/>
      <c r="M21" s="5"/>
      <c r="N21" s="2"/>
      <c r="O21" s="2"/>
    </row>
    <row r="22" spans="1:15">
      <c r="A22" s="12"/>
      <c r="B22" s="2"/>
      <c r="C22" s="2"/>
      <c r="D22" s="2"/>
      <c r="E22" s="6"/>
      <c r="F22" s="2"/>
      <c r="G22" s="2"/>
      <c r="H22" s="5"/>
      <c r="I22" s="2"/>
      <c r="J22" s="2"/>
      <c r="K22" s="2"/>
      <c r="L22" s="2"/>
      <c r="M22" s="5"/>
      <c r="N22" s="2"/>
      <c r="O22" s="2"/>
    </row>
    <row r="23" spans="1:15">
      <c r="A23" s="12"/>
      <c r="B23" s="2"/>
      <c r="C23" s="2"/>
      <c r="D23" s="2"/>
      <c r="E23" s="6"/>
      <c r="F23" s="2"/>
      <c r="G23" s="2"/>
      <c r="H23" s="5"/>
      <c r="I23" s="2"/>
      <c r="J23" s="2"/>
      <c r="K23" s="2"/>
      <c r="L23" s="2"/>
      <c r="M23" s="5"/>
      <c r="N23" s="2"/>
      <c r="O23" s="2"/>
    </row>
    <row r="24" spans="1:15">
      <c r="A24" s="12"/>
      <c r="B24" s="2"/>
      <c r="C24" s="2"/>
      <c r="D24" s="2"/>
      <c r="E24" s="6"/>
      <c r="F24" s="2"/>
      <c r="G24" s="2"/>
      <c r="H24" s="5"/>
      <c r="I24" s="2"/>
      <c r="J24" s="2"/>
      <c r="K24" s="2"/>
      <c r="L24" s="2"/>
      <c r="M24" s="5"/>
      <c r="N24" s="2"/>
      <c r="O24" s="2"/>
    </row>
    <row r="25" spans="1:15">
      <c r="A25" s="12"/>
      <c r="B25" s="2"/>
      <c r="C25" s="2"/>
      <c r="D25" s="2"/>
      <c r="E25" s="6"/>
      <c r="F25" s="2"/>
      <c r="G25" s="2"/>
      <c r="H25" s="5"/>
      <c r="I25" s="2"/>
      <c r="J25" s="2"/>
      <c r="K25" s="2"/>
      <c r="L25" s="2"/>
      <c r="M25" s="5"/>
      <c r="N25" s="2"/>
      <c r="O25" s="2"/>
    </row>
    <row r="26" spans="1:15">
      <c r="A26" s="12"/>
      <c r="B26" s="2"/>
      <c r="C26" s="2"/>
      <c r="D26" s="2"/>
      <c r="E26" s="6"/>
      <c r="F26" s="2"/>
      <c r="G26" s="2"/>
      <c r="H26" s="5"/>
      <c r="I26" s="2"/>
      <c r="J26" s="2"/>
      <c r="K26" s="2"/>
      <c r="L26" s="2"/>
      <c r="M26" s="5"/>
      <c r="N26" s="2"/>
      <c r="O26" s="2"/>
    </row>
    <row r="27" spans="1:15">
      <c r="A27" s="12"/>
      <c r="B27" s="2"/>
      <c r="C27" s="2"/>
      <c r="D27" s="2"/>
      <c r="E27" s="6"/>
      <c r="F27" s="2"/>
      <c r="G27" s="2"/>
      <c r="H27" s="5"/>
      <c r="I27" s="2"/>
      <c r="J27" s="2"/>
      <c r="K27" s="2"/>
      <c r="L27" s="2"/>
      <c r="M27" s="5"/>
      <c r="N27" s="2"/>
      <c r="O27" s="2"/>
    </row>
    <row r="28" spans="1:15">
      <c r="A28" s="12"/>
      <c r="B28" s="2"/>
      <c r="C28" s="2"/>
      <c r="D28" s="2"/>
      <c r="E28" s="6"/>
      <c r="F28" s="2"/>
      <c r="G28" s="2"/>
      <c r="H28" s="5"/>
      <c r="I28" s="2"/>
      <c r="J28" s="2"/>
      <c r="K28" s="2"/>
      <c r="L28" s="2"/>
      <c r="M28" s="5"/>
      <c r="N28" s="2"/>
      <c r="O28" s="2"/>
    </row>
    <row r="29" spans="1:15">
      <c r="A29" s="12"/>
      <c r="B29" s="2"/>
      <c r="C29" s="2"/>
      <c r="D29" s="2"/>
      <c r="E29" s="6"/>
      <c r="F29" s="2"/>
      <c r="G29" s="2"/>
      <c r="H29" s="5"/>
      <c r="I29" s="2"/>
      <c r="J29" s="2"/>
      <c r="K29" s="2"/>
      <c r="L29" s="2"/>
      <c r="M29" s="5"/>
      <c r="N29" s="2"/>
      <c r="O29" s="2"/>
    </row>
    <row r="30" spans="1:15">
      <c r="A30" s="12"/>
      <c r="B30" s="2"/>
      <c r="C30" s="2"/>
      <c r="D30" s="2"/>
      <c r="E30" s="6"/>
      <c r="F30" s="2"/>
      <c r="G30" s="2"/>
      <c r="H30" s="5"/>
      <c r="I30" s="2"/>
      <c r="J30" s="2"/>
      <c r="K30" s="2"/>
      <c r="L30" s="2"/>
      <c r="M30" s="5"/>
      <c r="N30" s="2"/>
      <c r="O30" s="2"/>
    </row>
    <row r="31" spans="1:15">
      <c r="A31" s="12"/>
      <c r="B31" s="2"/>
      <c r="C31" s="2"/>
      <c r="D31" s="2"/>
      <c r="E31" s="6"/>
      <c r="F31" s="2"/>
      <c r="G31" s="2"/>
      <c r="H31" s="5"/>
      <c r="I31" s="2"/>
      <c r="J31" s="2"/>
      <c r="K31" s="2"/>
      <c r="L31" s="2"/>
      <c r="M31" s="5"/>
      <c r="N31" s="2"/>
      <c r="O31" s="2"/>
    </row>
    <row r="32" spans="1:15">
      <c r="A32" s="12"/>
      <c r="B32" s="2"/>
      <c r="C32" s="2"/>
      <c r="D32" s="2"/>
      <c r="E32" s="6"/>
      <c r="F32" s="2"/>
      <c r="G32" s="2"/>
      <c r="H32" s="5"/>
      <c r="I32" s="2"/>
      <c r="J32" s="2"/>
      <c r="K32" s="2"/>
      <c r="L32" s="2"/>
      <c r="M32" s="5"/>
      <c r="N32" s="2"/>
      <c r="O32" s="2"/>
    </row>
    <row r="33" spans="1:15">
      <c r="A33" s="12"/>
      <c r="B33" s="2"/>
      <c r="C33" s="2"/>
      <c r="D33" s="2"/>
      <c r="E33" s="6"/>
      <c r="F33" s="2"/>
      <c r="G33" s="2"/>
      <c r="H33" s="5"/>
      <c r="I33" s="2"/>
      <c r="J33" s="2"/>
      <c r="K33" s="2"/>
      <c r="L33" s="2"/>
      <c r="M33" s="5"/>
      <c r="N33" s="2"/>
      <c r="O33" s="2"/>
    </row>
    <row r="34" spans="1:15">
      <c r="A34" s="12"/>
      <c r="B34" s="2"/>
      <c r="C34" s="2"/>
      <c r="D34" s="2"/>
      <c r="E34" s="6"/>
      <c r="F34" s="2"/>
      <c r="G34" s="2"/>
      <c r="H34" s="5"/>
      <c r="I34" s="2"/>
      <c r="J34" s="2"/>
      <c r="K34" s="2"/>
      <c r="L34" s="2"/>
      <c r="M34" s="5"/>
      <c r="N34" s="2"/>
      <c r="O34" s="2"/>
    </row>
    <row r="35" spans="1:15">
      <c r="A35" s="12"/>
      <c r="B35" s="2"/>
      <c r="C35" s="2"/>
      <c r="D35" s="2"/>
      <c r="E35" s="6"/>
      <c r="F35" s="2"/>
      <c r="G35" s="2"/>
      <c r="H35" s="5"/>
      <c r="I35" s="2"/>
      <c r="J35" s="2"/>
      <c r="K35" s="2"/>
      <c r="L35" s="2"/>
      <c r="M35" s="5"/>
      <c r="N35" s="2"/>
      <c r="O35" s="2"/>
    </row>
    <row r="36" spans="1:15">
      <c r="A36" s="12"/>
      <c r="B36" s="2"/>
      <c r="C36" s="2"/>
      <c r="D36" s="2"/>
      <c r="E36" s="6"/>
      <c r="F36" s="2"/>
      <c r="G36" s="2"/>
      <c r="H36" s="5"/>
      <c r="I36" s="2"/>
      <c r="J36" s="2"/>
      <c r="K36" s="2"/>
      <c r="L36" s="2"/>
      <c r="M36" s="5"/>
      <c r="N36" s="2"/>
      <c r="O36" s="2"/>
    </row>
    <row r="37" spans="1:15">
      <c r="A37" s="12"/>
      <c r="B37" s="2"/>
      <c r="C37" s="2"/>
      <c r="D37" s="2"/>
      <c r="E37" s="6"/>
      <c r="F37" s="2"/>
      <c r="G37" s="2"/>
      <c r="H37" s="5"/>
      <c r="I37" s="2"/>
      <c r="J37" s="2"/>
      <c r="K37" s="2"/>
      <c r="L37" s="2"/>
      <c r="M37" s="5"/>
      <c r="N37" s="2"/>
      <c r="O37" s="2"/>
    </row>
    <row r="38" spans="1:15">
      <c r="A38" s="12"/>
      <c r="B38" s="2"/>
      <c r="C38" s="2"/>
      <c r="D38" s="2"/>
      <c r="E38" s="6"/>
      <c r="F38" s="2"/>
      <c r="G38" s="2"/>
      <c r="H38" s="5"/>
      <c r="I38" s="2"/>
      <c r="J38" s="2"/>
      <c r="K38" s="2"/>
      <c r="L38" s="2"/>
      <c r="M38" s="5"/>
      <c r="N38" s="2"/>
      <c r="O38" s="2"/>
    </row>
    <row r="39" spans="1:15">
      <c r="A39" s="12"/>
      <c r="B39" s="2"/>
      <c r="C39" s="2"/>
      <c r="D39" s="2"/>
      <c r="E39" s="6"/>
      <c r="F39" s="2"/>
      <c r="G39" s="2"/>
      <c r="H39" s="5"/>
      <c r="I39" s="2"/>
      <c r="J39" s="2"/>
      <c r="K39" s="2"/>
      <c r="L39" s="2"/>
      <c r="M39" s="5"/>
      <c r="N39" s="2"/>
      <c r="O39" s="2"/>
    </row>
    <row r="40" spans="1:15">
      <c r="A40" s="12"/>
      <c r="B40" s="2"/>
      <c r="C40" s="2"/>
      <c r="D40" s="2"/>
      <c r="E40" s="6"/>
      <c r="F40" s="2"/>
      <c r="G40" s="2"/>
      <c r="H40" s="5"/>
      <c r="I40" s="2"/>
      <c r="J40" s="2"/>
      <c r="K40" s="2"/>
      <c r="L40" s="2"/>
      <c r="M40" s="5"/>
      <c r="N40" s="2"/>
      <c r="O40" s="2"/>
    </row>
    <row r="41" spans="1:15">
      <c r="A41" s="12"/>
      <c r="B41" s="2"/>
      <c r="C41" s="2"/>
      <c r="D41" s="2"/>
      <c r="E41" s="6"/>
      <c r="F41" s="2"/>
      <c r="G41" s="2"/>
      <c r="H41" s="5"/>
      <c r="I41" s="2"/>
      <c r="J41" s="2"/>
      <c r="K41" s="2"/>
      <c r="L41" s="2"/>
      <c r="M41" s="5"/>
      <c r="N41" s="2"/>
      <c r="O41" s="2"/>
    </row>
    <row r="42" spans="1:15">
      <c r="A42" s="12"/>
      <c r="B42" s="2"/>
      <c r="C42" s="2"/>
      <c r="D42" s="2"/>
      <c r="E42" s="6"/>
      <c r="F42" s="2"/>
      <c r="G42" s="2"/>
      <c r="H42" s="5"/>
      <c r="I42" s="2"/>
      <c r="J42" s="2"/>
      <c r="K42" s="2"/>
      <c r="L42" s="2"/>
      <c r="M42" s="5"/>
      <c r="N42" s="2"/>
      <c r="O42" s="2"/>
    </row>
    <row r="43" spans="1:15">
      <c r="A43" s="12"/>
      <c r="B43" s="2"/>
      <c r="C43" s="2"/>
      <c r="D43" s="2"/>
      <c r="E43" s="6"/>
      <c r="F43" s="2"/>
      <c r="G43" s="2"/>
      <c r="H43" s="5"/>
      <c r="I43" s="2"/>
      <c r="J43" s="2"/>
      <c r="K43" s="2"/>
      <c r="L43" s="2"/>
      <c r="M43" s="5"/>
      <c r="N43" s="2"/>
      <c r="O43" s="2"/>
    </row>
    <row r="44" spans="1:15">
      <c r="A44" s="12"/>
      <c r="B44" s="2"/>
      <c r="C44" s="2"/>
      <c r="D44" s="2"/>
      <c r="E44" s="6"/>
      <c r="F44" s="2"/>
      <c r="G44" s="2"/>
      <c r="H44" s="5"/>
      <c r="I44" s="2"/>
      <c r="J44" s="2"/>
      <c r="K44" s="2"/>
      <c r="L44" s="2"/>
      <c r="M44" s="5"/>
      <c r="N44" s="2"/>
      <c r="O44" s="2"/>
    </row>
    <row r="45" spans="1:15">
      <c r="A45" s="12"/>
      <c r="B45" s="2"/>
      <c r="C45" s="2"/>
      <c r="D45" s="2"/>
      <c r="E45" s="6"/>
      <c r="F45" s="2"/>
      <c r="G45" s="2"/>
      <c r="H45" s="5"/>
      <c r="I45" s="2"/>
      <c r="J45" s="2"/>
      <c r="K45" s="2"/>
      <c r="L45" s="2"/>
      <c r="M45" s="5"/>
      <c r="N45" s="2"/>
      <c r="O45" s="2"/>
    </row>
    <row r="46" spans="1:15">
      <c r="A46" s="12"/>
      <c r="B46" s="2"/>
      <c r="C46" s="2"/>
      <c r="D46" s="2"/>
      <c r="E46" s="6"/>
      <c r="F46" s="2"/>
      <c r="G46" s="2"/>
      <c r="H46" s="5"/>
      <c r="I46" s="2"/>
      <c r="J46" s="2"/>
      <c r="K46" s="2"/>
      <c r="L46" s="2"/>
      <c r="M46" s="5"/>
      <c r="N46" s="2"/>
      <c r="O46" s="2"/>
    </row>
    <row r="47" spans="1:15">
      <c r="A47" s="12"/>
      <c r="B47" s="2"/>
      <c r="C47" s="2"/>
      <c r="D47" s="2"/>
      <c r="E47" s="6"/>
      <c r="F47" s="2"/>
      <c r="G47" s="2"/>
      <c r="H47" s="5"/>
      <c r="I47" s="2"/>
      <c r="J47" s="2"/>
      <c r="K47" s="2"/>
      <c r="L47" s="2"/>
      <c r="M47" s="5"/>
      <c r="N47" s="2"/>
      <c r="O47" s="2"/>
    </row>
    <row r="48" spans="1:15">
      <c r="A48" s="12"/>
      <c r="B48" s="2"/>
      <c r="C48" s="2"/>
      <c r="D48" s="2"/>
      <c r="E48" s="6"/>
      <c r="F48" s="2"/>
      <c r="G48" s="2"/>
      <c r="H48" s="5"/>
      <c r="I48" s="2"/>
      <c r="J48" s="2"/>
      <c r="K48" s="2"/>
      <c r="L48" s="2"/>
      <c r="M48" s="5"/>
      <c r="N48" s="2"/>
      <c r="O48" s="2"/>
    </row>
    <row r="49" spans="1:15">
      <c r="A49" s="12"/>
      <c r="B49" s="2"/>
      <c r="C49" s="2"/>
      <c r="D49" s="2"/>
      <c r="E49" s="6"/>
      <c r="F49" s="2"/>
      <c r="G49" s="2"/>
      <c r="H49" s="5"/>
      <c r="I49" s="2"/>
      <c r="J49" s="2"/>
      <c r="K49" s="2"/>
      <c r="L49" s="2"/>
      <c r="M49" s="5"/>
      <c r="N49" s="2"/>
      <c r="O49" s="2"/>
    </row>
    <row r="50" spans="1:15">
      <c r="A50" s="12"/>
      <c r="B50" s="2"/>
      <c r="C50" s="2"/>
      <c r="D50" s="2"/>
      <c r="E50" s="6"/>
      <c r="F50" s="2"/>
      <c r="G50" s="2"/>
      <c r="H50" s="5"/>
      <c r="I50" s="2"/>
      <c r="J50" s="2"/>
      <c r="K50" s="2"/>
      <c r="L50" s="2"/>
      <c r="M50" s="5"/>
      <c r="N50" s="2"/>
      <c r="O50" s="2"/>
    </row>
    <row r="51" spans="1:15">
      <c r="A51" s="12"/>
      <c r="B51" s="2"/>
      <c r="C51" s="2"/>
      <c r="D51" s="2"/>
      <c r="E51" s="6"/>
      <c r="F51" s="2"/>
      <c r="G51" s="2"/>
      <c r="H51" s="5"/>
      <c r="I51" s="2"/>
      <c r="J51" s="2"/>
      <c r="K51" s="2"/>
      <c r="L51" s="2"/>
      <c r="M51" s="5"/>
      <c r="N51" s="2"/>
      <c r="O51" s="2"/>
    </row>
    <row r="52" spans="1:15">
      <c r="A52" s="12"/>
      <c r="B52" s="2"/>
      <c r="C52" s="2"/>
      <c r="D52" s="2"/>
      <c r="E52" s="6"/>
      <c r="F52" s="2"/>
      <c r="G52" s="2"/>
      <c r="H52" s="5"/>
      <c r="I52" s="2"/>
      <c r="J52" s="2"/>
      <c r="K52" s="2"/>
      <c r="L52" s="2"/>
      <c r="M52" s="5"/>
      <c r="N52" s="2"/>
      <c r="O52" s="2"/>
    </row>
    <row r="53" spans="1:15">
      <c r="A53" s="12"/>
      <c r="B53" s="2"/>
      <c r="C53" s="2"/>
      <c r="D53" s="2"/>
      <c r="E53" s="6"/>
      <c r="F53" s="2"/>
      <c r="G53" s="2"/>
      <c r="H53" s="5"/>
      <c r="I53" s="2"/>
      <c r="J53" s="2"/>
      <c r="K53" s="2"/>
      <c r="L53" s="2"/>
      <c r="M53" s="5"/>
      <c r="N53" s="2"/>
      <c r="O53" s="2"/>
    </row>
    <row r="54" spans="1:15">
      <c r="A54" s="12"/>
      <c r="B54" s="2"/>
      <c r="C54" s="2"/>
      <c r="D54" s="2"/>
      <c r="E54" s="6"/>
      <c r="F54" s="2"/>
      <c r="G54" s="2"/>
      <c r="H54" s="5"/>
      <c r="I54" s="2"/>
      <c r="J54" s="2"/>
      <c r="K54" s="2"/>
      <c r="L54" s="2"/>
      <c r="M54" s="5"/>
      <c r="N54" s="2"/>
      <c r="O54" s="2"/>
    </row>
    <row r="55" spans="1:15">
      <c r="A55" s="12"/>
      <c r="B55" s="2"/>
      <c r="C55" s="2"/>
      <c r="D55" s="2"/>
      <c r="E55" s="6"/>
      <c r="F55" s="2"/>
      <c r="G55" s="2"/>
      <c r="H55" s="5"/>
      <c r="I55" s="2"/>
      <c r="J55" s="2"/>
      <c r="K55" s="2"/>
      <c r="L55" s="2"/>
      <c r="M55" s="5"/>
      <c r="N55" s="2"/>
      <c r="O55" s="2"/>
    </row>
    <row r="56" spans="1:15">
      <c r="A56" s="12"/>
      <c r="B56" s="2"/>
      <c r="C56" s="2"/>
      <c r="D56" s="2"/>
      <c r="E56" s="6"/>
      <c r="F56" s="2"/>
      <c r="G56" s="2"/>
      <c r="H56" s="5"/>
      <c r="I56" s="2"/>
      <c r="J56" s="2"/>
      <c r="K56" s="2"/>
      <c r="L56" s="2"/>
      <c r="M56" s="5"/>
      <c r="N56" s="2"/>
      <c r="O56" s="2"/>
    </row>
    <row r="57" spans="1:15">
      <c r="A57" s="12"/>
      <c r="B57" s="2"/>
      <c r="C57" s="2"/>
      <c r="D57" s="2"/>
      <c r="E57" s="6"/>
      <c r="F57" s="2"/>
      <c r="G57" s="2"/>
      <c r="H57" s="5"/>
      <c r="I57" s="2"/>
      <c r="J57" s="2"/>
      <c r="K57" s="2"/>
      <c r="L57" s="2"/>
      <c r="M57" s="5"/>
      <c r="N57" s="2"/>
      <c r="O57" s="2"/>
    </row>
    <row r="58" spans="1:15">
      <c r="A58" s="12"/>
      <c r="B58" s="2"/>
      <c r="C58" s="2"/>
      <c r="D58" s="2"/>
      <c r="E58" s="6"/>
      <c r="F58" s="2"/>
      <c r="G58" s="2"/>
      <c r="H58" s="5"/>
      <c r="I58" s="2"/>
      <c r="J58" s="2"/>
      <c r="K58" s="2"/>
      <c r="L58" s="2"/>
      <c r="M58" s="5"/>
      <c r="N58" s="2"/>
      <c r="O58" s="2"/>
    </row>
    <row r="59" spans="1:15">
      <c r="A59" s="12"/>
      <c r="B59" s="2"/>
      <c r="C59" s="2"/>
      <c r="D59" s="2"/>
      <c r="E59" s="6"/>
      <c r="F59" s="2"/>
      <c r="G59" s="2"/>
      <c r="H59" s="5"/>
      <c r="I59" s="2"/>
      <c r="J59" s="2"/>
      <c r="K59" s="2"/>
      <c r="L59" s="2"/>
      <c r="M59" s="5"/>
      <c r="N59" s="2"/>
      <c r="O59" s="2"/>
    </row>
    <row r="60" spans="1:15">
      <c r="A60" s="12"/>
      <c r="B60" s="2"/>
      <c r="C60" s="2"/>
      <c r="D60" s="2"/>
      <c r="E60" s="6"/>
      <c r="F60" s="2"/>
      <c r="G60" s="2"/>
      <c r="H60" s="5"/>
      <c r="I60" s="2"/>
      <c r="J60" s="2"/>
      <c r="K60" s="2"/>
      <c r="L60" s="2"/>
      <c r="M60" s="5"/>
      <c r="N60" s="2"/>
      <c r="O60" s="2"/>
    </row>
    <row r="61" spans="1:15">
      <c r="A61" s="12"/>
      <c r="B61" s="2"/>
      <c r="C61" s="2"/>
      <c r="D61" s="2"/>
      <c r="E61" s="6"/>
      <c r="F61" s="2"/>
      <c r="G61" s="2"/>
      <c r="H61" s="5"/>
      <c r="I61" s="2"/>
      <c r="J61" s="2"/>
      <c r="K61" s="2"/>
      <c r="L61" s="2"/>
      <c r="M61" s="5"/>
      <c r="N61" s="2"/>
      <c r="O61" s="2"/>
    </row>
    <row r="62" spans="1:15">
      <c r="A62" s="12"/>
      <c r="B62" s="2"/>
      <c r="C62" s="2"/>
      <c r="D62" s="2"/>
      <c r="E62" s="6"/>
      <c r="F62" s="2"/>
      <c r="G62" s="2"/>
      <c r="H62" s="5"/>
      <c r="I62" s="2"/>
      <c r="J62" s="2"/>
      <c r="K62" s="2"/>
      <c r="L62" s="2"/>
      <c r="M62" s="5"/>
      <c r="N62" s="2"/>
      <c r="O62" s="2"/>
    </row>
    <row r="63" spans="1:15">
      <c r="A63" s="12"/>
      <c r="B63" s="2"/>
      <c r="C63" s="2"/>
      <c r="D63" s="2"/>
      <c r="E63" s="6"/>
      <c r="F63" s="2"/>
      <c r="G63" s="2"/>
      <c r="H63" s="5"/>
      <c r="I63" s="2"/>
      <c r="J63" s="2"/>
      <c r="K63" s="2"/>
      <c r="L63" s="2"/>
      <c r="M63" s="5"/>
      <c r="N63" s="2"/>
      <c r="O63" s="2"/>
    </row>
    <row r="64" spans="1:15">
      <c r="A64" s="12"/>
      <c r="B64" s="2"/>
      <c r="C64" s="2"/>
      <c r="D64" s="2"/>
      <c r="E64" s="6"/>
      <c r="F64" s="2"/>
      <c r="G64" s="2"/>
      <c r="H64" s="5"/>
      <c r="I64" s="2"/>
      <c r="J64" s="2"/>
      <c r="K64" s="2"/>
      <c r="L64" s="2"/>
      <c r="M64" s="5"/>
      <c r="N64" s="2"/>
      <c r="O64" s="2"/>
    </row>
    <row r="65" spans="1:15">
      <c r="A65" s="12"/>
      <c r="B65" s="2"/>
      <c r="C65" s="2"/>
      <c r="D65" s="2"/>
      <c r="E65" s="6"/>
      <c r="F65" s="2"/>
      <c r="G65" s="2"/>
      <c r="H65" s="5"/>
      <c r="I65" s="2"/>
      <c r="J65" s="2"/>
      <c r="K65" s="2"/>
      <c r="L65" s="2"/>
      <c r="M65" s="5"/>
      <c r="N65" s="2"/>
      <c r="O65" s="2"/>
    </row>
    <row r="66" spans="1:15">
      <c r="A66" s="12"/>
      <c r="B66" s="2"/>
      <c r="C66" s="2"/>
      <c r="D66" s="2"/>
      <c r="E66" s="6"/>
      <c r="F66" s="2"/>
      <c r="G66" s="2"/>
      <c r="H66" s="5"/>
      <c r="I66" s="2"/>
      <c r="J66" s="2"/>
      <c r="K66" s="2"/>
      <c r="L66" s="2"/>
      <c r="M66" s="5"/>
      <c r="N66" s="2"/>
      <c r="O66" s="2"/>
    </row>
    <row r="67" spans="1:15">
      <c r="A67" s="12"/>
      <c r="B67" s="2"/>
      <c r="C67" s="2"/>
      <c r="D67" s="2"/>
      <c r="E67" s="6"/>
      <c r="F67" s="2"/>
      <c r="G67" s="2"/>
      <c r="H67" s="5"/>
      <c r="I67" s="2"/>
      <c r="J67" s="2"/>
      <c r="K67" s="2"/>
      <c r="L67" s="2"/>
      <c r="M67" s="5"/>
      <c r="N67" s="2"/>
      <c r="O67" s="2"/>
    </row>
    <row r="68" spans="1:15">
      <c r="A68" s="12"/>
      <c r="B68" s="2"/>
      <c r="C68" s="2"/>
      <c r="D68" s="2"/>
      <c r="E68" s="6"/>
      <c r="F68" s="2"/>
      <c r="G68" s="2"/>
      <c r="H68" s="5"/>
      <c r="I68" s="2"/>
      <c r="J68" s="2"/>
      <c r="K68" s="2"/>
      <c r="L68" s="2"/>
      <c r="M68" s="5"/>
      <c r="N68" s="2"/>
      <c r="O68" s="2"/>
    </row>
    <row r="69" spans="1:15">
      <c r="A69" s="12"/>
      <c r="B69" s="2"/>
      <c r="C69" s="2"/>
      <c r="D69" s="2"/>
      <c r="E69" s="6"/>
      <c r="F69" s="2"/>
      <c r="G69" s="2"/>
      <c r="H69" s="5"/>
      <c r="I69" s="2"/>
      <c r="J69" s="2"/>
      <c r="K69" s="2"/>
      <c r="L69" s="2"/>
      <c r="M69" s="5"/>
      <c r="N69" s="2"/>
      <c r="O69" s="2"/>
    </row>
    <row r="70" spans="1:15">
      <c r="A70" s="12"/>
      <c r="B70" s="2"/>
      <c r="C70" s="2"/>
      <c r="D70" s="2"/>
      <c r="E70" s="6"/>
      <c r="F70" s="2"/>
      <c r="G70" s="2"/>
      <c r="H70" s="5"/>
      <c r="I70" s="2"/>
      <c r="J70" s="2"/>
      <c r="K70" s="2"/>
      <c r="L70" s="2"/>
      <c r="M70" s="5"/>
      <c r="N70" s="2"/>
      <c r="O70" s="2"/>
    </row>
    <row r="71" spans="1:15">
      <c r="A71" s="12"/>
      <c r="B71" s="2"/>
      <c r="C71" s="2"/>
      <c r="D71" s="2"/>
      <c r="E71" s="6"/>
      <c r="F71" s="2"/>
      <c r="G71" s="2"/>
      <c r="H71" s="5"/>
      <c r="I71" s="2"/>
      <c r="J71" s="2"/>
      <c r="K71" s="2"/>
      <c r="L71" s="2"/>
      <c r="M71" s="5"/>
      <c r="N71" s="2"/>
      <c r="O71" s="2"/>
    </row>
    <row r="72" spans="1:15">
      <c r="A72" s="12"/>
      <c r="B72" s="2"/>
      <c r="C72" s="2"/>
      <c r="D72" s="2"/>
      <c r="E72" s="6"/>
      <c r="F72" s="2"/>
      <c r="G72" s="2"/>
      <c r="H72" s="5"/>
      <c r="I72" s="2"/>
      <c r="J72" s="2"/>
      <c r="K72" s="2"/>
      <c r="L72" s="2"/>
      <c r="M72" s="5"/>
      <c r="N72" s="2"/>
      <c r="O72" s="2"/>
    </row>
    <row r="73" spans="1:15">
      <c r="A73" s="12"/>
      <c r="B73" s="2"/>
      <c r="C73" s="2"/>
      <c r="D73" s="2"/>
      <c r="E73" s="6"/>
      <c r="F73" s="2"/>
      <c r="G73" s="2"/>
      <c r="H73" s="5"/>
      <c r="I73" s="2"/>
      <c r="J73" s="2"/>
      <c r="K73" s="2"/>
      <c r="L73" s="2"/>
      <c r="M73" s="5"/>
      <c r="N73" s="2"/>
      <c r="O73" s="2"/>
    </row>
    <row r="74" spans="1:15">
      <c r="A74" s="12"/>
      <c r="B74" s="2"/>
      <c r="C74" s="2"/>
      <c r="D74" s="2"/>
      <c r="E74" s="6"/>
      <c r="F74" s="2"/>
      <c r="G74" s="2"/>
      <c r="H74" s="5"/>
      <c r="I74" s="2"/>
      <c r="J74" s="2"/>
      <c r="K74" s="2"/>
      <c r="L74" s="2"/>
      <c r="M74" s="5"/>
      <c r="N74" s="2"/>
      <c r="O74" s="2"/>
    </row>
    <row r="75" spans="1:15">
      <c r="A75" s="12"/>
      <c r="B75" s="2"/>
      <c r="C75" s="2"/>
      <c r="D75" s="2"/>
      <c r="E75" s="6"/>
      <c r="F75" s="2"/>
      <c r="G75" s="2"/>
      <c r="H75" s="5"/>
      <c r="I75" s="2"/>
      <c r="J75" s="2"/>
      <c r="K75" s="2"/>
      <c r="L75" s="2"/>
      <c r="M75" s="5"/>
      <c r="N75" s="2"/>
      <c r="O75" s="2"/>
    </row>
    <row r="76" spans="1:15">
      <c r="A76" s="12"/>
      <c r="B76" s="2"/>
      <c r="C76" s="2"/>
      <c r="D76" s="2"/>
      <c r="E76" s="6"/>
      <c r="F76" s="2"/>
      <c r="G76" s="2"/>
      <c r="H76" s="5"/>
      <c r="I76" s="2"/>
      <c r="J76" s="2"/>
      <c r="K76" s="2"/>
      <c r="L76" s="2"/>
      <c r="M76" s="5"/>
      <c r="N76" s="2"/>
      <c r="O76" s="2"/>
    </row>
    <row r="77" spans="1:15">
      <c r="A77" s="12"/>
      <c r="B77" s="2"/>
      <c r="C77" s="2"/>
      <c r="D77" s="2"/>
      <c r="E77" s="6"/>
      <c r="F77" s="2"/>
      <c r="G77" s="2"/>
      <c r="H77" s="5"/>
      <c r="I77" s="2"/>
      <c r="J77" s="2"/>
      <c r="K77" s="2"/>
      <c r="L77" s="2"/>
      <c r="M77" s="5"/>
      <c r="N77" s="2"/>
      <c r="O77" s="2"/>
    </row>
    <row r="78" spans="1:15">
      <c r="A78" s="12"/>
      <c r="B78" s="2"/>
      <c r="C78" s="2"/>
      <c r="D78" s="2"/>
      <c r="E78" s="6"/>
      <c r="F78" s="2"/>
      <c r="G78" s="2"/>
      <c r="H78" s="5"/>
      <c r="I78" s="2"/>
      <c r="J78" s="2"/>
      <c r="K78" s="2"/>
      <c r="L78" s="2"/>
      <c r="M78" s="5"/>
      <c r="N78" s="2"/>
      <c r="O78" s="2"/>
    </row>
    <row r="79" spans="1:15">
      <c r="A79" s="12"/>
      <c r="B79" s="2"/>
      <c r="C79" s="2"/>
      <c r="D79" s="2"/>
      <c r="E79" s="6"/>
      <c r="F79" s="2"/>
      <c r="G79" s="2"/>
      <c r="H79" s="5"/>
      <c r="I79" s="2"/>
      <c r="J79" s="2"/>
      <c r="K79" s="2"/>
      <c r="L79" s="2"/>
      <c r="M79" s="5"/>
      <c r="N79" s="2"/>
      <c r="O79" s="2"/>
    </row>
    <row r="80" spans="1:15">
      <c r="A80" s="12"/>
      <c r="B80" s="2"/>
      <c r="C80" s="2"/>
      <c r="D80" s="2"/>
      <c r="E80" s="6"/>
      <c r="F80" s="2"/>
      <c r="G80" s="2"/>
      <c r="H80" s="5"/>
      <c r="I80" s="2"/>
      <c r="J80" s="2"/>
      <c r="K80" s="2"/>
      <c r="L80" s="2"/>
      <c r="M80" s="5"/>
      <c r="N80" s="2"/>
      <c r="O80" s="2"/>
    </row>
    <row r="81" spans="1:15">
      <c r="A81" s="12"/>
      <c r="B81" s="2"/>
      <c r="C81" s="2"/>
      <c r="D81" s="2"/>
      <c r="E81" s="6"/>
      <c r="F81" s="2"/>
      <c r="G81" s="2"/>
      <c r="H81" s="5"/>
      <c r="I81" s="2"/>
      <c r="J81" s="2"/>
      <c r="K81" s="2"/>
      <c r="L81" s="2"/>
      <c r="M81" s="5"/>
      <c r="N81" s="2"/>
      <c r="O81" s="2"/>
    </row>
    <row r="82" spans="1:15">
      <c r="A82" s="12"/>
      <c r="B82" s="2"/>
      <c r="C82" s="2"/>
      <c r="D82" s="2"/>
      <c r="E82" s="6"/>
      <c r="F82" s="2"/>
      <c r="G82" s="2"/>
      <c r="H82" s="5"/>
      <c r="I82" s="2"/>
      <c r="J82" s="2"/>
      <c r="K82" s="2"/>
      <c r="L82" s="2"/>
      <c r="M82" s="5"/>
      <c r="N82" s="2"/>
      <c r="O82" s="2"/>
    </row>
    <row r="83" spans="1:15">
      <c r="A83" s="12"/>
      <c r="B83" s="2"/>
      <c r="C83" s="2"/>
      <c r="D83" s="2"/>
      <c r="E83" s="6"/>
      <c r="F83" s="2"/>
      <c r="G83" s="2"/>
      <c r="H83" s="5"/>
      <c r="I83" s="2"/>
      <c r="J83" s="2"/>
      <c r="K83" s="2"/>
      <c r="L83" s="2"/>
      <c r="M83" s="5"/>
      <c r="N83" s="2"/>
      <c r="O83" s="2"/>
    </row>
    <row r="84" spans="1:15">
      <c r="A84" s="12"/>
      <c r="B84" s="2"/>
      <c r="C84" s="2"/>
      <c r="D84" s="2"/>
      <c r="E84" s="6"/>
      <c r="F84" s="2"/>
      <c r="G84" s="2"/>
      <c r="H84" s="5"/>
      <c r="I84" s="2"/>
      <c r="J84" s="2"/>
      <c r="K84" s="2"/>
      <c r="L84" s="2"/>
      <c r="M84" s="5"/>
      <c r="N84" s="2"/>
      <c r="O84" s="2"/>
    </row>
    <row r="85" spans="1:15">
      <c r="A85" s="12"/>
      <c r="B85" s="2"/>
      <c r="C85" s="2"/>
      <c r="D85" s="2"/>
      <c r="E85" s="6"/>
      <c r="F85" s="2"/>
      <c r="G85" s="2"/>
      <c r="H85" s="5"/>
      <c r="I85" s="2"/>
      <c r="J85" s="2"/>
      <c r="K85" s="2"/>
      <c r="L85" s="2"/>
      <c r="M85" s="5"/>
      <c r="N85" s="2"/>
      <c r="O85" s="2"/>
    </row>
    <row r="86" spans="1:15">
      <c r="A86" s="12"/>
      <c r="B86" s="2"/>
      <c r="C86" s="2"/>
      <c r="D86" s="2"/>
      <c r="E86" s="6"/>
      <c r="F86" s="2"/>
      <c r="G86" s="2"/>
      <c r="H86" s="5"/>
      <c r="I86" s="2"/>
      <c r="J86" s="2"/>
      <c r="K86" s="2"/>
      <c r="L86" s="2"/>
      <c r="M86" s="5"/>
      <c r="N86" s="2"/>
      <c r="O86" s="2"/>
    </row>
    <row r="87" spans="1:15">
      <c r="A87" s="12"/>
      <c r="B87" s="2"/>
      <c r="C87" s="2"/>
      <c r="D87" s="2"/>
      <c r="E87" s="6"/>
      <c r="F87" s="2"/>
      <c r="G87" s="2"/>
      <c r="H87" s="5"/>
      <c r="I87" s="2"/>
      <c r="J87" s="2"/>
      <c r="K87" s="2"/>
      <c r="L87" s="2"/>
      <c r="M87" s="5"/>
      <c r="N87" s="2"/>
      <c r="O87" s="2"/>
    </row>
    <row r="88" spans="1:15">
      <c r="A88" s="12"/>
      <c r="B88" s="2"/>
      <c r="C88" s="2"/>
      <c r="D88" s="2"/>
      <c r="E88" s="6"/>
      <c r="F88" s="2"/>
      <c r="G88" s="2"/>
      <c r="H88" s="5"/>
      <c r="I88" s="2"/>
      <c r="J88" s="2"/>
      <c r="K88" s="2"/>
      <c r="L88" s="2"/>
      <c r="M88" s="5"/>
      <c r="N88" s="2"/>
      <c r="O88" s="2"/>
    </row>
    <row r="89" spans="1:15">
      <c r="A89" s="12"/>
      <c r="B89" s="2"/>
      <c r="C89" s="2"/>
      <c r="D89" s="2"/>
      <c r="E89" s="6"/>
      <c r="F89" s="2"/>
      <c r="G89" s="2"/>
      <c r="H89" s="5"/>
      <c r="I89" s="2"/>
      <c r="J89" s="2"/>
      <c r="K89" s="2"/>
      <c r="L89" s="2"/>
      <c r="M89" s="5"/>
      <c r="N89" s="2"/>
      <c r="O89" s="2"/>
    </row>
    <row r="90" spans="1:15">
      <c r="A90" s="12"/>
      <c r="B90" s="2"/>
      <c r="C90" s="2"/>
      <c r="D90" s="2"/>
      <c r="E90" s="6"/>
      <c r="F90" s="2"/>
      <c r="G90" s="2"/>
      <c r="H90" s="5"/>
      <c r="I90" s="2"/>
      <c r="J90" s="2"/>
      <c r="K90" s="2"/>
      <c r="L90" s="2"/>
      <c r="M90" s="5"/>
      <c r="N90" s="2"/>
      <c r="O90" s="2"/>
    </row>
    <row r="91" spans="1:15">
      <c r="A91" s="12"/>
      <c r="B91" s="2"/>
      <c r="C91" s="2"/>
      <c r="D91" s="2"/>
      <c r="E91" s="6"/>
      <c r="F91" s="2"/>
      <c r="G91" s="2"/>
      <c r="H91" s="5"/>
      <c r="I91" s="2"/>
      <c r="J91" s="2"/>
      <c r="K91" s="2"/>
      <c r="L91" s="2"/>
      <c r="M91" s="5"/>
      <c r="N91" s="2"/>
      <c r="O91" s="2"/>
    </row>
    <row r="92" spans="1:15">
      <c r="A92" s="12"/>
      <c r="B92" s="2"/>
      <c r="C92" s="2"/>
      <c r="D92" s="2"/>
      <c r="E92" s="6"/>
      <c r="F92" s="2"/>
      <c r="G92" s="2"/>
      <c r="H92" s="5"/>
      <c r="I92" s="2"/>
      <c r="J92" s="2"/>
      <c r="K92" s="2"/>
      <c r="L92" s="2"/>
      <c r="M92" s="5"/>
      <c r="N92" s="2"/>
      <c r="O92" s="2"/>
    </row>
    <row r="93" spans="1:15">
      <c r="A93" s="12"/>
      <c r="B93" s="2"/>
      <c r="C93" s="2"/>
      <c r="D93" s="2"/>
      <c r="E93" s="6"/>
      <c r="F93" s="2"/>
      <c r="G93" s="2"/>
      <c r="H93" s="5"/>
      <c r="I93" s="2"/>
      <c r="J93" s="2"/>
      <c r="K93" s="2"/>
      <c r="L93" s="2"/>
      <c r="M93" s="5"/>
      <c r="N93" s="2"/>
      <c r="O93" s="2"/>
    </row>
    <row r="94" spans="1:15">
      <c r="A94" s="12"/>
      <c r="B94" s="2"/>
      <c r="C94" s="2"/>
      <c r="D94" s="2"/>
      <c r="E94" s="6"/>
      <c r="F94" s="2"/>
      <c r="G94" s="2"/>
      <c r="H94" s="5"/>
      <c r="I94" s="2"/>
      <c r="J94" s="2"/>
      <c r="K94" s="2"/>
      <c r="L94" s="2"/>
      <c r="M94" s="5"/>
      <c r="N94" s="2"/>
      <c r="O94" s="2"/>
    </row>
    <row r="95" spans="1:15">
      <c r="A95" s="12"/>
      <c r="B95" s="2"/>
      <c r="C95" s="2"/>
      <c r="D95" s="2"/>
      <c r="E95" s="6"/>
      <c r="F95" s="2"/>
      <c r="G95" s="2"/>
      <c r="H95" s="5"/>
      <c r="I95" s="2"/>
      <c r="J95" s="2"/>
      <c r="K95" s="2"/>
      <c r="L95" s="2"/>
      <c r="M95" s="5"/>
      <c r="N95" s="2"/>
      <c r="O95" s="2"/>
    </row>
    <row r="96" spans="1:15">
      <c r="A96" s="12"/>
      <c r="B96" s="2"/>
      <c r="C96" s="2"/>
      <c r="D96" s="2"/>
      <c r="E96" s="6"/>
      <c r="F96" s="2"/>
      <c r="G96" s="2"/>
      <c r="H96" s="5"/>
      <c r="I96" s="2"/>
      <c r="J96" s="2"/>
      <c r="K96" s="2"/>
      <c r="L96" s="2"/>
      <c r="M96" s="5"/>
      <c r="N96" s="2"/>
      <c r="O96" s="2"/>
    </row>
    <row r="97" spans="1:15">
      <c r="A97" s="12"/>
      <c r="B97" s="2"/>
      <c r="C97" s="2"/>
      <c r="D97" s="2"/>
      <c r="E97" s="6"/>
      <c r="F97" s="2"/>
      <c r="G97" s="2"/>
      <c r="H97" s="5"/>
      <c r="I97" s="2"/>
      <c r="J97" s="2"/>
      <c r="K97" s="2"/>
      <c r="L97" s="2"/>
      <c r="M97" s="5"/>
      <c r="N97" s="2"/>
      <c r="O97" s="2"/>
    </row>
    <row r="98" spans="1:15">
      <c r="A98" s="12"/>
      <c r="B98" s="2"/>
      <c r="C98" s="2"/>
      <c r="D98" s="2"/>
      <c r="E98" s="6"/>
      <c r="F98" s="2"/>
      <c r="G98" s="2"/>
      <c r="H98" s="5"/>
      <c r="I98" s="2"/>
      <c r="J98" s="2"/>
      <c r="K98" s="2"/>
      <c r="L98" s="2"/>
      <c r="M98" s="5"/>
      <c r="N98" s="2"/>
      <c r="O98" s="2"/>
    </row>
    <row r="99" spans="1:15">
      <c r="A99" s="12"/>
      <c r="B99" s="2"/>
      <c r="C99" s="2"/>
      <c r="D99" s="2"/>
      <c r="E99" s="6"/>
      <c r="F99" s="2"/>
      <c r="G99" s="2"/>
      <c r="H99" s="5"/>
      <c r="I99" s="2"/>
      <c r="J99" s="2"/>
      <c r="K99" s="2"/>
      <c r="L99" s="2"/>
      <c r="M99" s="5"/>
      <c r="N99" s="2"/>
      <c r="O99" s="2"/>
    </row>
    <row r="100" spans="1:15">
      <c r="A100" s="12"/>
      <c r="B100" s="2"/>
      <c r="C100" s="2"/>
      <c r="D100" s="2"/>
      <c r="E100" s="6"/>
      <c r="F100" s="2"/>
      <c r="G100" s="2"/>
      <c r="H100" s="5"/>
      <c r="I100" s="2"/>
      <c r="J100" s="2"/>
      <c r="K100" s="2"/>
      <c r="L100" s="2"/>
      <c r="M100" s="5"/>
      <c r="N100" s="2"/>
      <c r="O100" s="2"/>
    </row>
    <row r="101" spans="1:15">
      <c r="A101" s="12"/>
      <c r="B101" s="2"/>
      <c r="C101" s="2"/>
      <c r="D101" s="2"/>
      <c r="E101" s="6"/>
      <c r="F101" s="2"/>
      <c r="G101" s="2"/>
      <c r="H101" s="5"/>
      <c r="I101" s="2"/>
      <c r="J101" s="2"/>
      <c r="K101" s="2"/>
      <c r="L101" s="2"/>
      <c r="M101" s="5"/>
      <c r="N101" s="2"/>
      <c r="O101" s="2"/>
    </row>
    <row r="102" spans="1:15">
      <c r="A102" s="12"/>
      <c r="B102" s="2"/>
      <c r="C102" s="2"/>
      <c r="D102" s="2"/>
      <c r="E102" s="6"/>
      <c r="F102" s="2"/>
      <c r="G102" s="2"/>
      <c r="H102" s="5"/>
      <c r="I102" s="2"/>
      <c r="J102" s="2"/>
      <c r="K102" s="2"/>
      <c r="L102" s="2"/>
      <c r="M102" s="5"/>
      <c r="N102" s="2"/>
      <c r="O102" s="2"/>
    </row>
    <row r="103" spans="1:15">
      <c r="A103" s="12"/>
      <c r="B103" s="2"/>
      <c r="C103" s="2"/>
      <c r="D103" s="2"/>
      <c r="E103" s="6"/>
      <c r="F103" s="2"/>
      <c r="G103" s="2"/>
      <c r="H103" s="5"/>
      <c r="I103" s="2"/>
      <c r="J103" s="2"/>
      <c r="K103" s="2"/>
      <c r="L103" s="2"/>
      <c r="M103" s="5"/>
      <c r="N103" s="2"/>
      <c r="O103" s="2"/>
    </row>
    <row r="104" spans="1:15">
      <c r="A104" s="12"/>
      <c r="B104" s="2"/>
      <c r="C104" s="2"/>
      <c r="D104" s="2"/>
      <c r="E104" s="6"/>
      <c r="F104" s="2"/>
      <c r="G104" s="2"/>
      <c r="H104" s="5"/>
      <c r="I104" s="2"/>
      <c r="J104" s="2"/>
      <c r="K104" s="2"/>
      <c r="L104" s="2"/>
      <c r="M104" s="5"/>
      <c r="N104" s="2"/>
      <c r="O104" s="2"/>
    </row>
    <row r="105" spans="1:15">
      <c r="A105" s="12"/>
      <c r="B105" s="2"/>
      <c r="C105" s="2"/>
      <c r="D105" s="2"/>
      <c r="E105" s="6"/>
      <c r="F105" s="2"/>
      <c r="G105" s="2"/>
      <c r="H105" s="5"/>
      <c r="I105" s="2"/>
      <c r="J105" s="2"/>
      <c r="K105" s="2"/>
      <c r="L105" s="2"/>
      <c r="M105" s="5"/>
      <c r="N105" s="2"/>
      <c r="O105" s="2"/>
    </row>
    <row r="106" spans="1:15">
      <c r="A106" s="12"/>
      <c r="B106" s="2"/>
      <c r="C106" s="2"/>
      <c r="D106" s="2"/>
      <c r="E106" s="6"/>
      <c r="F106" s="2"/>
      <c r="G106" s="2"/>
      <c r="H106" s="5"/>
      <c r="I106" s="2"/>
      <c r="J106" s="2"/>
      <c r="K106" s="2"/>
      <c r="L106" s="2"/>
      <c r="M106" s="5"/>
      <c r="N106" s="2"/>
      <c r="O106" s="2"/>
    </row>
    <row r="107" spans="1:15">
      <c r="A107" s="12"/>
      <c r="B107" s="2"/>
      <c r="C107" s="2"/>
      <c r="D107" s="2"/>
      <c r="E107" s="6"/>
      <c r="F107" s="2"/>
      <c r="G107" s="2"/>
      <c r="H107" s="5"/>
      <c r="I107" s="2"/>
      <c r="J107" s="2"/>
      <c r="K107" s="2"/>
      <c r="L107" s="2"/>
      <c r="M107" s="5"/>
      <c r="N107" s="2"/>
      <c r="O107" s="2"/>
    </row>
    <row r="108" spans="1:15">
      <c r="A108" s="12"/>
      <c r="B108" s="2"/>
      <c r="C108" s="2"/>
      <c r="D108" s="2"/>
      <c r="E108" s="6"/>
      <c r="F108" s="2"/>
      <c r="G108" s="2"/>
      <c r="H108" s="5"/>
      <c r="I108" s="2"/>
      <c r="J108" s="2"/>
      <c r="K108" s="2"/>
      <c r="L108" s="2"/>
      <c r="M108" s="5"/>
      <c r="N108" s="2"/>
      <c r="O108" s="2"/>
    </row>
    <row r="109" spans="1:15">
      <c r="A109" s="12"/>
      <c r="B109" s="2"/>
      <c r="C109" s="2"/>
      <c r="D109" s="2"/>
      <c r="E109" s="6"/>
      <c r="F109" s="2"/>
      <c r="G109" s="2"/>
      <c r="H109" s="5"/>
      <c r="I109" s="2"/>
      <c r="J109" s="2"/>
      <c r="K109" s="2"/>
      <c r="L109" s="2"/>
      <c r="M109" s="5"/>
      <c r="N109" s="2"/>
      <c r="O109" s="2"/>
    </row>
    <row r="110" spans="1:15">
      <c r="A110" s="12"/>
      <c r="B110" s="2"/>
      <c r="C110" s="2"/>
      <c r="D110" s="2"/>
      <c r="E110" s="6"/>
      <c r="F110" s="2"/>
      <c r="G110" s="2"/>
      <c r="H110" s="5"/>
      <c r="I110" s="2"/>
      <c r="J110" s="2"/>
      <c r="K110" s="2"/>
      <c r="L110" s="2"/>
      <c r="M110" s="5"/>
      <c r="N110" s="2"/>
      <c r="O110" s="2"/>
    </row>
    <row r="111" spans="1:15">
      <c r="A111" s="12"/>
      <c r="B111" s="2"/>
      <c r="C111" s="2"/>
      <c r="D111" s="2"/>
      <c r="E111" s="6"/>
      <c r="F111" s="2"/>
      <c r="G111" s="2"/>
      <c r="H111" s="5"/>
      <c r="I111" s="2"/>
      <c r="J111" s="2"/>
      <c r="K111" s="2"/>
      <c r="L111" s="2"/>
      <c r="M111" s="5"/>
      <c r="N111" s="2"/>
      <c r="O111" s="2"/>
    </row>
    <row r="112" spans="1:15">
      <c r="A112" s="12"/>
      <c r="B112" s="2"/>
      <c r="C112" s="2"/>
      <c r="D112" s="2"/>
      <c r="E112" s="6"/>
      <c r="F112" s="2"/>
      <c r="G112" s="2"/>
      <c r="H112" s="5"/>
      <c r="I112" s="2"/>
      <c r="J112" s="2"/>
      <c r="K112" s="2"/>
      <c r="L112" s="2"/>
      <c r="M112" s="5"/>
      <c r="N112" s="2"/>
      <c r="O112" s="2"/>
    </row>
    <row r="113" spans="1:15">
      <c r="A113" s="12"/>
      <c r="B113" s="2"/>
      <c r="C113" s="2"/>
      <c r="D113" s="2"/>
      <c r="E113" s="6"/>
      <c r="F113" s="2"/>
      <c r="G113" s="2"/>
      <c r="H113" s="5"/>
      <c r="I113" s="2"/>
      <c r="J113" s="2"/>
      <c r="K113" s="2"/>
      <c r="L113" s="2"/>
      <c r="M113" s="5"/>
      <c r="N113" s="2"/>
      <c r="O113" s="2"/>
    </row>
    <row r="114" spans="1:15">
      <c r="A114" s="12"/>
      <c r="B114" s="2"/>
      <c r="C114" s="2"/>
      <c r="D114" s="2"/>
      <c r="E114" s="6"/>
      <c r="F114" s="2"/>
      <c r="G114" s="2"/>
      <c r="H114" s="5"/>
      <c r="I114" s="2"/>
      <c r="J114" s="2"/>
      <c r="K114" s="2"/>
      <c r="L114" s="2"/>
      <c r="M114" s="5"/>
      <c r="N114" s="2"/>
      <c r="O114" s="2"/>
    </row>
    <row r="115" spans="1:15">
      <c r="A115" s="12"/>
      <c r="B115" s="2"/>
      <c r="C115" s="2"/>
      <c r="D115" s="2"/>
      <c r="E115" s="6"/>
      <c r="F115" s="2"/>
      <c r="G115" s="2"/>
      <c r="H115" s="5"/>
      <c r="I115" s="2"/>
      <c r="J115" s="2"/>
      <c r="K115" s="2"/>
      <c r="L115" s="2"/>
      <c r="M115" s="5"/>
      <c r="N115" s="2"/>
      <c r="O115" s="2"/>
    </row>
    <row r="116" spans="1:15">
      <c r="A116" s="12"/>
      <c r="B116" s="2"/>
      <c r="C116" s="2"/>
      <c r="D116" s="2"/>
      <c r="E116" s="6"/>
      <c r="F116" s="2"/>
      <c r="G116" s="2"/>
      <c r="H116" s="5"/>
      <c r="I116" s="2"/>
      <c r="J116" s="2"/>
      <c r="K116" s="2"/>
      <c r="L116" s="2"/>
      <c r="M116" s="5"/>
      <c r="N116" s="2"/>
      <c r="O116" s="2"/>
    </row>
    <row r="117" spans="1:15">
      <c r="A117" s="12"/>
      <c r="B117" s="2"/>
      <c r="C117" s="2"/>
      <c r="D117" s="2"/>
      <c r="E117" s="6"/>
      <c r="F117" s="2"/>
      <c r="G117" s="2"/>
      <c r="H117" s="5"/>
      <c r="I117" s="2"/>
      <c r="J117" s="2"/>
      <c r="K117" s="2"/>
      <c r="L117" s="2"/>
      <c r="M117" s="5"/>
      <c r="N117" s="2"/>
      <c r="O117" s="2"/>
    </row>
    <row r="118" spans="1:15">
      <c r="A118" s="12"/>
      <c r="B118" s="2"/>
      <c r="C118" s="2"/>
      <c r="D118" s="2"/>
      <c r="E118" s="6"/>
      <c r="F118" s="2"/>
      <c r="G118" s="2"/>
      <c r="H118" s="5"/>
      <c r="I118" s="2"/>
      <c r="J118" s="2"/>
      <c r="K118" s="2"/>
      <c r="L118" s="2"/>
      <c r="M118" s="5"/>
      <c r="N118" s="2"/>
      <c r="O118" s="2"/>
    </row>
    <row r="119" spans="1:15">
      <c r="A119" s="12"/>
      <c r="B119" s="2"/>
      <c r="C119" s="2"/>
      <c r="D119" s="2"/>
      <c r="E119" s="6"/>
      <c r="F119" s="2"/>
      <c r="G119" s="2"/>
      <c r="H119" s="5"/>
      <c r="I119" s="2"/>
      <c r="J119" s="2"/>
      <c r="K119" s="2"/>
      <c r="L119" s="2"/>
      <c r="M119" s="5"/>
      <c r="N119" s="2"/>
      <c r="O119" s="2"/>
    </row>
    <row r="120" spans="1:15">
      <c r="A120" s="12"/>
      <c r="B120" s="2"/>
      <c r="C120" s="2"/>
      <c r="D120" s="2"/>
      <c r="E120" s="6"/>
      <c r="F120" s="2"/>
      <c r="G120" s="2"/>
      <c r="H120" s="5"/>
      <c r="I120" s="2"/>
      <c r="J120" s="2"/>
      <c r="K120" s="2"/>
      <c r="L120" s="2"/>
      <c r="M120" s="5"/>
      <c r="N120" s="2"/>
      <c r="O120" s="2"/>
    </row>
    <row r="121" spans="1:15">
      <c r="A121" s="12"/>
      <c r="B121" s="2"/>
      <c r="C121" s="2"/>
      <c r="D121" s="2"/>
      <c r="E121" s="6"/>
      <c r="F121" s="2"/>
      <c r="G121" s="2"/>
      <c r="H121" s="5"/>
      <c r="I121" s="2"/>
      <c r="J121" s="2"/>
      <c r="K121" s="2"/>
      <c r="L121" s="2"/>
      <c r="M121" s="5"/>
      <c r="N121" s="2"/>
      <c r="O121" s="2"/>
    </row>
    <row r="122" spans="1:15">
      <c r="A122" s="12"/>
      <c r="B122" s="2"/>
      <c r="C122" s="2"/>
      <c r="D122" s="2"/>
      <c r="E122" s="6"/>
      <c r="F122" s="2"/>
      <c r="G122" s="2"/>
      <c r="H122" s="5"/>
      <c r="I122" s="2"/>
      <c r="J122" s="2"/>
      <c r="K122" s="2"/>
      <c r="L122" s="2"/>
      <c r="M122" s="5"/>
      <c r="N122" s="2"/>
      <c r="O122" s="2"/>
    </row>
    <row r="123" spans="1:15">
      <c r="A123" s="12"/>
      <c r="B123" s="2"/>
      <c r="C123" s="2"/>
      <c r="D123" s="2"/>
      <c r="E123" s="6"/>
      <c r="F123" s="2"/>
      <c r="G123" s="2"/>
      <c r="H123" s="5"/>
      <c r="I123" s="2"/>
      <c r="J123" s="2"/>
      <c r="K123" s="2"/>
      <c r="L123" s="2"/>
      <c r="M123" s="5"/>
      <c r="N123" s="2"/>
      <c r="O123" s="2"/>
    </row>
    <row r="124" spans="1:15">
      <c r="A124" s="12"/>
      <c r="B124" s="2"/>
      <c r="C124" s="2"/>
      <c r="D124" s="2"/>
      <c r="E124" s="6"/>
      <c r="F124" s="2"/>
      <c r="G124" s="2"/>
      <c r="H124" s="5"/>
      <c r="I124" s="2"/>
      <c r="J124" s="2"/>
      <c r="K124" s="2"/>
      <c r="L124" s="2"/>
      <c r="M124" s="5"/>
      <c r="N124" s="2"/>
      <c r="O124" s="2"/>
    </row>
    <row r="125" spans="1:15">
      <c r="A125" s="12"/>
      <c r="B125" s="2"/>
      <c r="C125" s="2"/>
      <c r="D125" s="2"/>
      <c r="E125" s="6"/>
      <c r="F125" s="2"/>
      <c r="G125" s="2"/>
      <c r="H125" s="5"/>
      <c r="I125" s="2"/>
      <c r="J125" s="2"/>
      <c r="K125" s="2"/>
      <c r="L125" s="2"/>
      <c r="M125" s="5"/>
      <c r="N125" s="2"/>
      <c r="O125" s="2"/>
    </row>
    <row r="126" spans="1:15">
      <c r="A126" s="12"/>
      <c r="B126" s="2"/>
      <c r="C126" s="2"/>
      <c r="D126" s="2"/>
      <c r="E126" s="6"/>
      <c r="F126" s="2"/>
      <c r="G126" s="2"/>
      <c r="H126" s="5"/>
      <c r="I126" s="2"/>
      <c r="J126" s="2"/>
      <c r="K126" s="2"/>
      <c r="L126" s="2"/>
      <c r="M126" s="5"/>
      <c r="N126" s="2"/>
      <c r="O126" s="2"/>
    </row>
    <row r="127" spans="1:15">
      <c r="A127" s="12"/>
      <c r="B127" s="2"/>
      <c r="C127" s="2"/>
      <c r="D127" s="2"/>
      <c r="E127" s="6"/>
      <c r="F127" s="2"/>
      <c r="G127" s="2"/>
      <c r="H127" s="5"/>
      <c r="I127" s="2"/>
      <c r="J127" s="2"/>
      <c r="K127" s="2"/>
      <c r="L127" s="2"/>
      <c r="M127" s="5"/>
      <c r="N127" s="2"/>
      <c r="O127" s="2"/>
    </row>
    <row r="128" spans="1:15">
      <c r="A128" s="12"/>
      <c r="B128" s="2"/>
      <c r="C128" s="2"/>
      <c r="D128" s="2"/>
      <c r="E128" s="6"/>
      <c r="F128" s="2"/>
      <c r="G128" s="2"/>
      <c r="H128" s="5"/>
      <c r="I128" s="2"/>
      <c r="J128" s="2"/>
      <c r="K128" s="2"/>
      <c r="L128" s="2"/>
      <c r="M128" s="5"/>
      <c r="N128" s="2"/>
      <c r="O128" s="2"/>
    </row>
    <row r="129" spans="1:15">
      <c r="A129" s="12"/>
      <c r="B129" s="2"/>
      <c r="C129" s="2"/>
      <c r="D129" s="2"/>
      <c r="E129" s="6"/>
      <c r="F129" s="2"/>
      <c r="G129" s="2"/>
      <c r="H129" s="5"/>
      <c r="I129" s="2"/>
      <c r="J129" s="2"/>
      <c r="K129" s="2"/>
      <c r="L129" s="2"/>
      <c r="M129" s="5"/>
      <c r="N129" s="2"/>
      <c r="O129" s="2"/>
    </row>
    <row r="130" spans="1:15">
      <c r="A130" s="12"/>
      <c r="B130" s="2"/>
      <c r="C130" s="2"/>
      <c r="D130" s="2"/>
      <c r="E130" s="6"/>
      <c r="F130" s="2"/>
      <c r="G130" s="2"/>
      <c r="H130" s="5"/>
      <c r="I130" s="2"/>
      <c r="J130" s="2"/>
      <c r="K130" s="2"/>
      <c r="L130" s="2"/>
      <c r="M130" s="5"/>
      <c r="N130" s="2"/>
      <c r="O130" s="2"/>
    </row>
    <row r="131" spans="1:15">
      <c r="A131" s="12"/>
      <c r="B131" s="2"/>
      <c r="C131" s="2"/>
      <c r="D131" s="2"/>
      <c r="E131" s="6"/>
      <c r="F131" s="2"/>
      <c r="G131" s="2"/>
      <c r="H131" s="5"/>
      <c r="I131" s="2"/>
      <c r="J131" s="2"/>
      <c r="K131" s="2"/>
      <c r="L131" s="2"/>
      <c r="M131" s="5"/>
      <c r="N131" s="2"/>
      <c r="O131" s="2"/>
    </row>
    <row r="132" spans="1:15">
      <c r="A132" s="12"/>
      <c r="B132" s="2"/>
      <c r="C132" s="2"/>
      <c r="D132" s="2"/>
      <c r="E132" s="6"/>
      <c r="F132" s="2"/>
      <c r="G132" s="2"/>
      <c r="H132" s="5"/>
      <c r="I132" s="2"/>
      <c r="J132" s="2"/>
      <c r="K132" s="2"/>
      <c r="L132" s="2"/>
      <c r="M132" s="5"/>
      <c r="N132" s="2"/>
      <c r="O132" s="2"/>
    </row>
    <row r="133" spans="1:15">
      <c r="A133" s="12"/>
      <c r="B133" s="2"/>
      <c r="C133" s="2"/>
      <c r="D133" s="2"/>
      <c r="E133" s="6"/>
      <c r="F133" s="2"/>
      <c r="G133" s="2"/>
      <c r="H133" s="5"/>
      <c r="I133" s="2"/>
      <c r="J133" s="2"/>
      <c r="K133" s="2"/>
      <c r="L133" s="2"/>
      <c r="M133" s="5"/>
      <c r="N133" s="2"/>
      <c r="O133" s="2"/>
    </row>
    <row r="134" spans="1:15">
      <c r="A134" s="12"/>
      <c r="B134" s="2"/>
      <c r="C134" s="2"/>
      <c r="D134" s="2"/>
      <c r="E134" s="6"/>
      <c r="F134" s="2"/>
      <c r="G134" s="2"/>
      <c r="H134" s="5"/>
      <c r="I134" s="2"/>
      <c r="J134" s="2"/>
      <c r="K134" s="2"/>
      <c r="L134" s="2"/>
      <c r="M134" s="5"/>
      <c r="N134" s="2"/>
      <c r="O134" s="2"/>
    </row>
    <row r="135" spans="1:15">
      <c r="A135" s="12"/>
      <c r="B135" s="2"/>
      <c r="C135" s="2"/>
      <c r="D135" s="2"/>
      <c r="E135" s="6"/>
      <c r="F135" s="2"/>
      <c r="G135" s="2"/>
      <c r="H135" s="5"/>
      <c r="I135" s="2"/>
      <c r="J135" s="2"/>
      <c r="K135" s="2"/>
      <c r="L135" s="2"/>
      <c r="M135" s="5"/>
      <c r="N135" s="2"/>
      <c r="O135" s="2"/>
    </row>
    <row r="136" spans="1:15">
      <c r="A136" s="12"/>
      <c r="B136" s="2"/>
      <c r="C136" s="2"/>
      <c r="D136" s="2"/>
      <c r="E136" s="6"/>
      <c r="F136" s="2"/>
      <c r="G136" s="2"/>
      <c r="H136" s="5"/>
      <c r="I136" s="2"/>
      <c r="J136" s="2"/>
      <c r="K136" s="2"/>
      <c r="L136" s="2"/>
      <c r="M136" s="5"/>
      <c r="N136" s="2"/>
      <c r="O136" s="2"/>
    </row>
    <row r="137" spans="1:15">
      <c r="A137" s="12"/>
      <c r="B137" s="2"/>
      <c r="C137" s="2"/>
      <c r="D137" s="2"/>
      <c r="E137" s="6"/>
      <c r="F137" s="2"/>
      <c r="G137" s="2"/>
      <c r="H137" s="5"/>
      <c r="I137" s="2"/>
      <c r="J137" s="2"/>
      <c r="K137" s="2"/>
      <c r="L137" s="2"/>
      <c r="M137" s="5"/>
      <c r="N137" s="2"/>
      <c r="O137" s="2"/>
    </row>
    <row r="138" spans="1:15">
      <c r="A138" s="12"/>
      <c r="B138" s="2"/>
      <c r="C138" s="2"/>
      <c r="D138" s="2"/>
      <c r="E138" s="6"/>
      <c r="F138" s="2"/>
      <c r="G138" s="2"/>
      <c r="H138" s="5"/>
      <c r="I138" s="2"/>
      <c r="J138" s="2"/>
      <c r="K138" s="2"/>
      <c r="L138" s="2"/>
      <c r="M138" s="5"/>
      <c r="N138" s="2"/>
      <c r="O138" s="2"/>
    </row>
    <row r="139" spans="1:15">
      <c r="A139" s="12"/>
      <c r="B139" s="2"/>
      <c r="C139" s="2"/>
      <c r="D139" s="2"/>
      <c r="E139" s="6"/>
      <c r="F139" s="2"/>
      <c r="G139" s="2"/>
      <c r="H139" s="5"/>
      <c r="I139" s="2"/>
      <c r="J139" s="2"/>
      <c r="K139" s="2"/>
      <c r="L139" s="2"/>
      <c r="M139" s="5"/>
      <c r="N139" s="2"/>
      <c r="O139" s="2"/>
    </row>
    <row r="140" spans="1:15">
      <c r="A140" s="12"/>
      <c r="B140" s="2"/>
      <c r="C140" s="2"/>
      <c r="D140" s="2"/>
      <c r="E140" s="6"/>
      <c r="F140" s="2"/>
      <c r="G140" s="2"/>
      <c r="H140" s="5"/>
      <c r="I140" s="2"/>
      <c r="J140" s="2"/>
      <c r="K140" s="2"/>
      <c r="L140" s="2"/>
      <c r="M140" s="5"/>
      <c r="N140" s="2"/>
      <c r="O140" s="2"/>
    </row>
    <row r="141" spans="1:15">
      <c r="A141" s="12"/>
      <c r="B141" s="2"/>
      <c r="C141" s="2"/>
      <c r="D141" s="2"/>
      <c r="E141" s="6"/>
      <c r="F141" s="2"/>
      <c r="G141" s="2"/>
      <c r="H141" s="5"/>
      <c r="I141" s="2"/>
      <c r="J141" s="2"/>
      <c r="K141" s="2"/>
      <c r="L141" s="2"/>
      <c r="M141" s="5"/>
      <c r="N141" s="2"/>
      <c r="O141" s="2"/>
    </row>
    <row r="142" spans="1:15">
      <c r="A142" s="12"/>
      <c r="B142" s="2"/>
      <c r="C142" s="2"/>
      <c r="D142" s="2"/>
      <c r="E142" s="6"/>
      <c r="F142" s="2"/>
      <c r="G142" s="2"/>
      <c r="H142" s="5"/>
      <c r="I142" s="2"/>
      <c r="J142" s="2"/>
      <c r="K142" s="2"/>
      <c r="L142" s="2"/>
      <c r="M142" s="5"/>
      <c r="N142" s="2"/>
      <c r="O142" s="2"/>
    </row>
    <row r="143" spans="1:15">
      <c r="A143" s="12"/>
      <c r="B143" s="2"/>
      <c r="C143" s="2"/>
      <c r="D143" s="2"/>
      <c r="E143" s="6"/>
      <c r="F143" s="2"/>
      <c r="G143" s="2"/>
      <c r="H143" s="5"/>
      <c r="I143" s="2"/>
      <c r="J143" s="2"/>
      <c r="K143" s="2"/>
      <c r="L143" s="2"/>
      <c r="M143" s="5"/>
      <c r="N143" s="2"/>
      <c r="O143" s="2"/>
    </row>
    <row r="144" spans="1:15">
      <c r="A144" s="12"/>
      <c r="B144" s="2"/>
      <c r="C144" s="2"/>
      <c r="D144" s="2"/>
      <c r="E144" s="6"/>
      <c r="F144" s="2"/>
      <c r="G144" s="2"/>
      <c r="H144" s="5"/>
      <c r="I144" s="2"/>
      <c r="J144" s="2"/>
      <c r="K144" s="2"/>
      <c r="L144" s="2"/>
      <c r="M144" s="5"/>
      <c r="N144" s="2"/>
      <c r="O144" s="2"/>
    </row>
    <row r="145" spans="1:15">
      <c r="A145" s="12"/>
      <c r="B145" s="2"/>
      <c r="C145" s="2"/>
      <c r="D145" s="2"/>
      <c r="E145" s="6"/>
      <c r="F145" s="2"/>
      <c r="G145" s="2"/>
      <c r="H145" s="5"/>
      <c r="I145" s="2"/>
      <c r="J145" s="2"/>
      <c r="K145" s="2"/>
      <c r="L145" s="2"/>
      <c r="M145" s="5"/>
      <c r="N145" s="2"/>
      <c r="O145" s="2"/>
    </row>
    <row r="146" spans="1:15">
      <c r="A146" s="12"/>
      <c r="B146" s="2"/>
      <c r="C146" s="2"/>
      <c r="D146" s="2"/>
      <c r="E146" s="6"/>
      <c r="F146" s="2"/>
      <c r="G146" s="2"/>
      <c r="H146" s="5"/>
      <c r="I146" s="2"/>
      <c r="J146" s="2"/>
      <c r="K146" s="2"/>
      <c r="L146" s="2"/>
      <c r="M146" s="5"/>
      <c r="N146" s="2"/>
      <c r="O146" s="2"/>
    </row>
    <row r="147" spans="1:15">
      <c r="A147" s="12"/>
      <c r="B147" s="2"/>
      <c r="C147" s="2"/>
      <c r="D147" s="2"/>
      <c r="E147" s="6"/>
      <c r="F147" s="2"/>
      <c r="G147" s="2"/>
      <c r="H147" s="5"/>
      <c r="I147" s="2"/>
      <c r="J147" s="2"/>
      <c r="K147" s="2"/>
      <c r="L147" s="2"/>
      <c r="M147" s="5"/>
      <c r="N147" s="2"/>
      <c r="O147" s="2"/>
    </row>
    <row r="148" spans="1:15">
      <c r="A148" s="12"/>
      <c r="B148" s="2"/>
      <c r="C148" s="2"/>
      <c r="D148" s="2"/>
      <c r="E148" s="6"/>
      <c r="F148" s="2"/>
      <c r="G148" s="2"/>
      <c r="H148" s="5"/>
      <c r="I148" s="2"/>
      <c r="J148" s="2"/>
      <c r="K148" s="2"/>
      <c r="L148" s="2"/>
      <c r="M148" s="5"/>
      <c r="N148" s="2"/>
      <c r="O148" s="2"/>
    </row>
    <row r="149" spans="1:15">
      <c r="A149" s="12"/>
      <c r="B149" s="2"/>
      <c r="C149" s="2"/>
      <c r="D149" s="2"/>
      <c r="E149" s="6"/>
      <c r="F149" s="2"/>
      <c r="G149" s="2"/>
      <c r="H149" s="5"/>
      <c r="I149" s="2"/>
      <c r="J149" s="2"/>
      <c r="K149" s="2"/>
      <c r="L149" s="2"/>
      <c r="M149" s="5"/>
      <c r="N149" s="2"/>
      <c r="O149" s="2"/>
    </row>
    <row r="150" spans="1:15">
      <c r="A150" s="12"/>
      <c r="B150" s="2"/>
      <c r="C150" s="2"/>
      <c r="D150" s="2"/>
      <c r="E150" s="6"/>
      <c r="F150" s="2"/>
      <c r="G150" s="2"/>
      <c r="H150" s="5"/>
      <c r="I150" s="2"/>
      <c r="J150" s="2"/>
      <c r="K150" s="2"/>
      <c r="L150" s="2"/>
      <c r="M150" s="5"/>
      <c r="N150" s="2"/>
      <c r="O150" s="2"/>
    </row>
    <row r="151" spans="1:15">
      <c r="A151" s="12"/>
      <c r="B151" s="2"/>
      <c r="C151" s="2"/>
      <c r="D151" s="2"/>
      <c r="E151" s="6"/>
      <c r="F151" s="2"/>
      <c r="G151" s="2"/>
      <c r="H151" s="5"/>
      <c r="I151" s="2"/>
      <c r="J151" s="2"/>
      <c r="K151" s="2"/>
      <c r="L151" s="2"/>
      <c r="M151" s="5"/>
      <c r="N151" s="2"/>
      <c r="O151" s="2"/>
    </row>
    <row r="152" spans="1:15">
      <c r="A152" s="12"/>
      <c r="B152" s="2"/>
      <c r="C152" s="2"/>
      <c r="D152" s="2"/>
      <c r="E152" s="6"/>
      <c r="F152" s="2"/>
      <c r="G152" s="2"/>
      <c r="H152" s="5"/>
      <c r="I152" s="2"/>
      <c r="J152" s="2"/>
      <c r="K152" s="2"/>
      <c r="L152" s="2"/>
      <c r="M152" s="5"/>
      <c r="N152" s="2"/>
      <c r="O152" s="2"/>
    </row>
    <row r="153" spans="1:15">
      <c r="A153" s="12"/>
      <c r="B153" s="2"/>
      <c r="C153" s="2"/>
      <c r="D153" s="2"/>
      <c r="E153" s="6"/>
      <c r="F153" s="2"/>
      <c r="G153" s="2"/>
      <c r="H153" s="5"/>
      <c r="I153" s="2"/>
      <c r="J153" s="2"/>
      <c r="K153" s="2"/>
      <c r="L153" s="2"/>
      <c r="M153" s="5"/>
      <c r="N153" s="2"/>
      <c r="O153" s="2"/>
    </row>
    <row r="154" spans="1:15">
      <c r="A154" s="12"/>
      <c r="B154" s="2"/>
      <c r="C154" s="2"/>
      <c r="D154" s="2"/>
      <c r="E154" s="6"/>
      <c r="F154" s="2"/>
      <c r="G154" s="2"/>
      <c r="H154" s="5"/>
      <c r="I154" s="2"/>
      <c r="J154" s="2"/>
      <c r="K154" s="2"/>
      <c r="L154" s="2"/>
      <c r="M154" s="5"/>
      <c r="N154" s="2"/>
      <c r="O154" s="2"/>
    </row>
    <row r="155" spans="1:15">
      <c r="A155" s="12"/>
      <c r="B155" s="2"/>
      <c r="C155" s="2"/>
      <c r="D155" s="2"/>
      <c r="E155" s="6"/>
      <c r="F155" s="2"/>
      <c r="G155" s="2"/>
      <c r="H155" s="5"/>
      <c r="I155" s="2"/>
      <c r="J155" s="2"/>
      <c r="K155" s="2"/>
      <c r="L155" s="2"/>
      <c r="M155" s="5"/>
      <c r="N155" s="2"/>
      <c r="O155" s="2"/>
    </row>
    <row r="156" spans="1:15">
      <c r="A156" s="12"/>
      <c r="B156" s="2"/>
      <c r="C156" s="2"/>
      <c r="D156" s="2"/>
      <c r="E156" s="6"/>
      <c r="F156" s="2"/>
      <c r="G156" s="2"/>
      <c r="H156" s="5"/>
      <c r="I156" s="2"/>
      <c r="J156" s="2"/>
      <c r="K156" s="2"/>
      <c r="L156" s="2"/>
      <c r="M156" s="5"/>
      <c r="N156" s="2"/>
      <c r="O156" s="2"/>
    </row>
    <row r="157" spans="1:15">
      <c r="A157" s="12"/>
      <c r="B157" s="2"/>
      <c r="C157" s="2"/>
      <c r="D157" s="2"/>
      <c r="E157" s="6"/>
      <c r="F157" s="2"/>
      <c r="G157" s="2"/>
      <c r="H157" s="5"/>
      <c r="I157" s="2"/>
      <c r="J157" s="2"/>
      <c r="K157" s="2"/>
      <c r="L157" s="2"/>
      <c r="M157" s="5"/>
      <c r="N157" s="2"/>
      <c r="O157" s="2"/>
    </row>
    <row r="158" spans="1:15">
      <c r="A158" s="12"/>
      <c r="B158" s="2"/>
      <c r="C158" s="2"/>
      <c r="D158" s="2"/>
      <c r="E158" s="6"/>
      <c r="F158" s="2"/>
      <c r="G158" s="2"/>
      <c r="H158" s="5"/>
      <c r="I158" s="2"/>
      <c r="J158" s="2"/>
      <c r="K158" s="2"/>
      <c r="L158" s="2"/>
      <c r="M158" s="5"/>
      <c r="N158" s="2"/>
      <c r="O158" s="2"/>
    </row>
    <row r="159" spans="1:15">
      <c r="A159" s="12"/>
      <c r="B159" s="2"/>
      <c r="C159" s="2"/>
      <c r="D159" s="2"/>
      <c r="E159" s="6"/>
      <c r="F159" s="2"/>
      <c r="G159" s="2"/>
      <c r="H159" s="5"/>
      <c r="I159" s="2"/>
      <c r="J159" s="2"/>
      <c r="K159" s="2"/>
      <c r="L159" s="2"/>
      <c r="M159" s="5"/>
      <c r="N159" s="2"/>
      <c r="O159" s="2"/>
    </row>
    <row r="160" spans="1:15">
      <c r="A160" s="12"/>
      <c r="B160" s="2"/>
      <c r="C160" s="2"/>
      <c r="D160" s="2"/>
      <c r="E160" s="6"/>
      <c r="F160" s="2"/>
      <c r="G160" s="2"/>
      <c r="H160" s="5"/>
      <c r="I160" s="2"/>
      <c r="J160" s="2"/>
      <c r="K160" s="2"/>
      <c r="L160" s="2"/>
      <c r="M160" s="5"/>
      <c r="N160" s="2"/>
      <c r="O160" s="2"/>
    </row>
    <row r="161" spans="1:15">
      <c r="A161" s="12"/>
      <c r="B161" s="2"/>
      <c r="C161" s="2"/>
      <c r="D161" s="2"/>
      <c r="E161" s="6"/>
      <c r="F161" s="2"/>
      <c r="G161" s="2"/>
      <c r="H161" s="5"/>
      <c r="I161" s="2"/>
      <c r="J161" s="2"/>
      <c r="K161" s="2"/>
      <c r="L161" s="2"/>
      <c r="M161" s="5"/>
      <c r="N161" s="2"/>
      <c r="O161" s="2"/>
    </row>
    <row r="162" spans="1:15">
      <c r="A162" s="12"/>
      <c r="B162" s="2"/>
      <c r="C162" s="2"/>
      <c r="D162" s="2"/>
      <c r="E162" s="6"/>
      <c r="F162" s="2"/>
      <c r="G162" s="2"/>
      <c r="H162" s="5"/>
      <c r="I162" s="2"/>
      <c r="J162" s="2"/>
      <c r="K162" s="2"/>
      <c r="L162" s="2"/>
      <c r="M162" s="5"/>
      <c r="N162" s="2"/>
      <c r="O162" s="2"/>
    </row>
    <row r="163" spans="1:15">
      <c r="A163" s="12"/>
      <c r="B163" s="2"/>
      <c r="C163" s="2"/>
      <c r="D163" s="2"/>
      <c r="E163" s="6"/>
      <c r="F163" s="2"/>
      <c r="G163" s="2"/>
      <c r="H163" s="5"/>
      <c r="I163" s="2"/>
      <c r="J163" s="2"/>
      <c r="K163" s="2"/>
      <c r="L163" s="2"/>
      <c r="M163" s="5"/>
      <c r="N163" s="2"/>
      <c r="O163" s="2"/>
    </row>
    <row r="164" spans="1:15">
      <c r="A164" s="12"/>
      <c r="B164" s="2"/>
      <c r="C164" s="2"/>
      <c r="D164" s="2"/>
      <c r="E164" s="6"/>
      <c r="F164" s="2"/>
      <c r="G164" s="2"/>
      <c r="H164" s="5"/>
      <c r="I164" s="2"/>
      <c r="J164" s="2"/>
      <c r="K164" s="2"/>
      <c r="L164" s="2"/>
      <c r="M164" s="5"/>
      <c r="N164" s="2"/>
      <c r="O164" s="2"/>
    </row>
    <row r="165" spans="1:15">
      <c r="A165" s="12"/>
      <c r="B165" s="2"/>
      <c r="C165" s="2"/>
      <c r="D165" s="2"/>
      <c r="E165" s="6"/>
      <c r="F165" s="2"/>
      <c r="G165" s="2"/>
      <c r="H165" s="5"/>
      <c r="I165" s="2"/>
      <c r="J165" s="2"/>
      <c r="K165" s="2"/>
      <c r="L165" s="2"/>
      <c r="M165" s="5"/>
      <c r="N165" s="2"/>
      <c r="O165" s="2"/>
    </row>
    <row r="166" spans="1:15">
      <c r="A166" s="12"/>
      <c r="B166" s="2"/>
      <c r="C166" s="2"/>
      <c r="D166" s="2"/>
      <c r="E166" s="6"/>
      <c r="F166" s="2"/>
      <c r="G166" s="2"/>
      <c r="H166" s="5"/>
      <c r="I166" s="2"/>
      <c r="J166" s="2"/>
      <c r="K166" s="2"/>
      <c r="L166" s="2"/>
      <c r="M166" s="5"/>
      <c r="N166" s="2"/>
      <c r="O166" s="2"/>
    </row>
    <row r="167" spans="1:15">
      <c r="A167" s="12"/>
      <c r="B167" s="2"/>
      <c r="C167" s="2"/>
      <c r="D167" s="2"/>
      <c r="E167" s="6"/>
      <c r="F167" s="2"/>
      <c r="G167" s="2"/>
      <c r="H167" s="5"/>
      <c r="I167" s="2"/>
      <c r="J167" s="2"/>
      <c r="K167" s="2"/>
      <c r="L167" s="2"/>
      <c r="M167" s="5"/>
      <c r="N167" s="2"/>
      <c r="O167" s="2"/>
    </row>
    <row r="168" spans="1:15">
      <c r="A168" s="12"/>
      <c r="B168" s="2"/>
      <c r="C168" s="2"/>
      <c r="D168" s="2"/>
      <c r="E168" s="6"/>
      <c r="F168" s="2"/>
      <c r="G168" s="2"/>
      <c r="H168" s="5"/>
      <c r="I168" s="2"/>
      <c r="J168" s="2"/>
      <c r="K168" s="2"/>
      <c r="L168" s="2"/>
      <c r="M168" s="5"/>
      <c r="N168" s="2"/>
      <c r="O168" s="2"/>
    </row>
    <row r="169" spans="1:15">
      <c r="A169" s="12"/>
      <c r="B169" s="2"/>
      <c r="C169" s="2"/>
      <c r="D169" s="2"/>
      <c r="E169" s="6"/>
      <c r="F169" s="2"/>
      <c r="G169" s="2"/>
      <c r="H169" s="5"/>
      <c r="I169" s="2"/>
      <c r="J169" s="2"/>
      <c r="K169" s="2"/>
      <c r="L169" s="2"/>
      <c r="M169" s="5"/>
      <c r="N169" s="2"/>
      <c r="O169" s="2"/>
    </row>
    <row r="170" spans="1:15">
      <c r="A170" s="12"/>
      <c r="B170" s="2"/>
      <c r="C170" s="2"/>
      <c r="D170" s="2"/>
      <c r="E170" s="6"/>
      <c r="F170" s="2"/>
      <c r="G170" s="2"/>
      <c r="H170" s="5"/>
      <c r="I170" s="2"/>
      <c r="J170" s="2"/>
      <c r="K170" s="2"/>
      <c r="L170" s="2"/>
      <c r="M170" s="5"/>
      <c r="N170" s="2"/>
      <c r="O170" s="2"/>
    </row>
    <row r="171" spans="1:15">
      <c r="A171" s="12"/>
      <c r="B171" s="2"/>
      <c r="C171" s="2"/>
      <c r="D171" s="2"/>
      <c r="E171" s="6"/>
      <c r="F171" s="2"/>
      <c r="G171" s="2"/>
      <c r="H171" s="5"/>
      <c r="I171" s="2"/>
      <c r="J171" s="2"/>
      <c r="K171" s="2"/>
      <c r="L171" s="2"/>
      <c r="M171" s="5"/>
      <c r="N171" s="2"/>
      <c r="O171" s="2"/>
    </row>
    <row r="172" spans="1:15">
      <c r="A172" s="12"/>
      <c r="B172" s="2"/>
      <c r="C172" s="2"/>
      <c r="D172" s="2"/>
      <c r="E172" s="6"/>
      <c r="F172" s="2"/>
      <c r="G172" s="2"/>
      <c r="H172" s="5"/>
      <c r="I172" s="2"/>
      <c r="J172" s="2"/>
      <c r="K172" s="2"/>
      <c r="L172" s="2"/>
      <c r="M172" s="5"/>
      <c r="N172" s="2"/>
      <c r="O172" s="2"/>
    </row>
    <row r="173" spans="1:15">
      <c r="A173" s="12"/>
      <c r="B173" s="2"/>
      <c r="C173" s="2"/>
      <c r="D173" s="2"/>
      <c r="E173" s="6"/>
      <c r="F173" s="2"/>
      <c r="G173" s="2"/>
      <c r="H173" s="5"/>
      <c r="I173" s="2"/>
      <c r="J173" s="2"/>
      <c r="K173" s="2"/>
      <c r="L173" s="2"/>
      <c r="M173" s="5"/>
      <c r="N173" s="2"/>
      <c r="O173" s="2"/>
    </row>
    <row r="174" spans="1:15">
      <c r="A174" s="12"/>
      <c r="B174" s="2"/>
      <c r="C174" s="2"/>
      <c r="D174" s="2"/>
      <c r="E174" s="6"/>
      <c r="F174" s="2"/>
      <c r="G174" s="2"/>
      <c r="H174" s="5"/>
      <c r="I174" s="2"/>
      <c r="J174" s="2"/>
      <c r="K174" s="2"/>
      <c r="L174" s="2"/>
      <c r="M174" s="5"/>
      <c r="N174" s="2"/>
      <c r="O174" s="2"/>
    </row>
    <row r="175" spans="1:15">
      <c r="A175" s="12"/>
      <c r="B175" s="2"/>
      <c r="C175" s="2"/>
      <c r="D175" s="2"/>
      <c r="E175" s="6"/>
      <c r="F175" s="2"/>
      <c r="G175" s="2"/>
      <c r="H175" s="5"/>
      <c r="I175" s="2"/>
      <c r="J175" s="2"/>
      <c r="K175" s="2"/>
      <c r="L175" s="2"/>
      <c r="M175" s="5"/>
      <c r="N175" s="2"/>
      <c r="O175" s="2"/>
    </row>
    <row r="176" spans="1:15">
      <c r="A176" s="12"/>
      <c r="B176" s="2"/>
      <c r="C176" s="2"/>
      <c r="D176" s="2"/>
      <c r="E176" s="6"/>
      <c r="F176" s="2"/>
      <c r="G176" s="2"/>
      <c r="H176" s="5"/>
      <c r="I176" s="2"/>
      <c r="J176" s="2"/>
      <c r="K176" s="2"/>
      <c r="L176" s="2"/>
      <c r="M176" s="5"/>
      <c r="N176" s="2"/>
      <c r="O176" s="2"/>
    </row>
    <row r="177" spans="1:15">
      <c r="A177" s="12"/>
      <c r="B177" s="2"/>
      <c r="C177" s="2"/>
      <c r="D177" s="2"/>
      <c r="E177" s="6"/>
      <c r="F177" s="2"/>
      <c r="G177" s="2"/>
      <c r="H177" s="5"/>
      <c r="I177" s="2"/>
      <c r="J177" s="2"/>
      <c r="K177" s="2"/>
      <c r="L177" s="2"/>
      <c r="M177" s="5"/>
      <c r="N177" s="2"/>
      <c r="O177" s="2"/>
    </row>
    <row r="178" spans="1:15">
      <c r="A178" s="12"/>
      <c r="B178" s="2"/>
      <c r="C178" s="2"/>
      <c r="D178" s="2"/>
      <c r="E178" s="6"/>
      <c r="F178" s="2"/>
      <c r="G178" s="2"/>
      <c r="H178" s="5"/>
      <c r="I178" s="2"/>
      <c r="J178" s="2"/>
      <c r="K178" s="2"/>
      <c r="L178" s="2"/>
      <c r="M178" s="5"/>
      <c r="N178" s="2"/>
      <c r="O178" s="2"/>
    </row>
    <row r="179" spans="1:15">
      <c r="A179" s="12"/>
      <c r="B179" s="2"/>
      <c r="C179" s="2"/>
      <c r="D179" s="2"/>
      <c r="E179" s="6"/>
      <c r="F179" s="2"/>
      <c r="G179" s="2"/>
      <c r="H179" s="5"/>
      <c r="I179" s="2"/>
      <c r="J179" s="2"/>
      <c r="K179" s="2"/>
      <c r="L179" s="2"/>
      <c r="M179" s="5"/>
      <c r="N179" s="2"/>
      <c r="O179" s="2"/>
    </row>
    <row r="180" spans="1:15">
      <c r="A180" s="12"/>
      <c r="B180" s="2"/>
      <c r="C180" s="2"/>
      <c r="D180" s="2"/>
      <c r="E180" s="6"/>
      <c r="F180" s="2"/>
      <c r="G180" s="2"/>
      <c r="H180" s="5"/>
      <c r="I180" s="2"/>
      <c r="J180" s="2"/>
      <c r="K180" s="2"/>
      <c r="L180" s="2"/>
      <c r="M180" s="5"/>
      <c r="N180" s="2"/>
      <c r="O180" s="2"/>
    </row>
    <row r="181" spans="1:15">
      <c r="A181" s="12"/>
      <c r="B181" s="2"/>
      <c r="C181" s="2"/>
      <c r="D181" s="2"/>
      <c r="E181" s="6"/>
      <c r="F181" s="2"/>
      <c r="G181" s="2"/>
      <c r="H181" s="5"/>
      <c r="I181" s="2"/>
      <c r="J181" s="2"/>
      <c r="K181" s="2"/>
      <c r="L181" s="2"/>
      <c r="M181" s="5"/>
      <c r="N181" s="2"/>
      <c r="O181" s="2"/>
    </row>
    <row r="182" spans="1:15">
      <c r="A182" s="12"/>
      <c r="B182" s="2"/>
      <c r="C182" s="2"/>
      <c r="D182" s="2"/>
      <c r="E182" s="6"/>
      <c r="F182" s="2"/>
      <c r="G182" s="2"/>
      <c r="H182" s="5"/>
      <c r="I182" s="2"/>
      <c r="J182" s="2"/>
      <c r="K182" s="2"/>
      <c r="L182" s="2"/>
      <c r="M182" s="5"/>
      <c r="N182" s="2"/>
      <c r="O182" s="2"/>
    </row>
    <row r="183" spans="1:15">
      <c r="A183" s="12"/>
      <c r="B183" s="2"/>
      <c r="C183" s="2"/>
      <c r="D183" s="2"/>
      <c r="E183" s="6"/>
      <c r="F183" s="2"/>
      <c r="G183" s="2"/>
      <c r="H183" s="5"/>
      <c r="I183" s="2"/>
      <c r="J183" s="2"/>
      <c r="K183" s="2"/>
      <c r="L183" s="2"/>
      <c r="M183" s="5"/>
      <c r="N183" s="2"/>
      <c r="O183" s="2"/>
    </row>
    <row r="184" spans="1:15">
      <c r="A184" s="12"/>
      <c r="B184" s="2"/>
      <c r="C184" s="2"/>
      <c r="D184" s="2"/>
      <c r="E184" s="6"/>
      <c r="F184" s="2"/>
      <c r="G184" s="2"/>
      <c r="H184" s="5"/>
      <c r="I184" s="2"/>
      <c r="J184" s="2"/>
      <c r="K184" s="2"/>
      <c r="L184" s="2"/>
      <c r="M184" s="5"/>
      <c r="N184" s="2"/>
      <c r="O184" s="2"/>
    </row>
    <row r="185" spans="1:15">
      <c r="A185" s="12"/>
      <c r="B185" s="2"/>
      <c r="C185" s="2"/>
      <c r="D185" s="2"/>
      <c r="E185" s="6"/>
      <c r="F185" s="2"/>
      <c r="G185" s="2"/>
      <c r="H185" s="5"/>
      <c r="I185" s="2"/>
      <c r="J185" s="2"/>
      <c r="K185" s="2"/>
      <c r="L185" s="2"/>
      <c r="M185" s="5"/>
      <c r="N185" s="2"/>
      <c r="O185" s="2"/>
    </row>
    <row r="186" spans="1:15">
      <c r="A186" s="12"/>
      <c r="B186" s="2"/>
      <c r="C186" s="2"/>
      <c r="D186" s="2"/>
      <c r="E186" s="6"/>
      <c r="F186" s="2"/>
      <c r="G186" s="2"/>
      <c r="H186" s="5"/>
      <c r="I186" s="2"/>
      <c r="J186" s="2"/>
      <c r="K186" s="2"/>
      <c r="L186" s="2"/>
      <c r="M186" s="5"/>
      <c r="N186" s="2"/>
      <c r="O186" s="2"/>
    </row>
    <row r="187" spans="1:15">
      <c r="A187" s="12"/>
      <c r="B187" s="2"/>
      <c r="C187" s="2"/>
      <c r="D187" s="2"/>
      <c r="E187" s="6"/>
      <c r="F187" s="2"/>
      <c r="G187" s="2"/>
      <c r="H187" s="5"/>
      <c r="I187" s="2"/>
      <c r="J187" s="2"/>
      <c r="K187" s="2"/>
      <c r="L187" s="2"/>
      <c r="M187" s="5"/>
      <c r="N187" s="2"/>
      <c r="O187" s="2"/>
    </row>
    <row r="188" spans="1:15">
      <c r="A188" s="12"/>
      <c r="B188" s="2"/>
      <c r="C188" s="2"/>
      <c r="D188" s="2"/>
      <c r="E188" s="6"/>
      <c r="F188" s="2"/>
      <c r="G188" s="2"/>
      <c r="H188" s="5"/>
      <c r="I188" s="2"/>
      <c r="J188" s="2"/>
      <c r="K188" s="2"/>
      <c r="L188" s="2"/>
      <c r="M188" s="5"/>
      <c r="N188" s="2"/>
      <c r="O188" s="2"/>
    </row>
    <row r="189" spans="1:15">
      <c r="A189" s="12"/>
      <c r="B189" s="2"/>
      <c r="C189" s="2"/>
      <c r="D189" s="2"/>
      <c r="E189" s="6"/>
      <c r="F189" s="2"/>
      <c r="G189" s="2"/>
      <c r="H189" s="5"/>
      <c r="I189" s="2"/>
      <c r="J189" s="2"/>
      <c r="K189" s="2"/>
      <c r="L189" s="2"/>
      <c r="M189" s="5"/>
      <c r="N189" s="2"/>
      <c r="O189" s="2"/>
    </row>
    <row r="190" spans="1:15">
      <c r="A190" s="12"/>
      <c r="B190" s="2"/>
      <c r="C190" s="2"/>
      <c r="D190" s="2"/>
      <c r="E190" s="6"/>
      <c r="F190" s="2"/>
      <c r="G190" s="2"/>
      <c r="H190" s="5"/>
      <c r="I190" s="2"/>
      <c r="J190" s="2"/>
      <c r="K190" s="2"/>
      <c r="L190" s="2"/>
      <c r="M190" s="5"/>
      <c r="N190" s="2"/>
      <c r="O190" s="2"/>
    </row>
    <row r="191" spans="1:15">
      <c r="A191" s="12"/>
      <c r="B191" s="2"/>
      <c r="C191" s="2"/>
      <c r="D191" s="2"/>
      <c r="E191" s="6"/>
      <c r="F191" s="2"/>
      <c r="G191" s="2"/>
      <c r="H191" s="5"/>
      <c r="I191" s="2"/>
      <c r="J191" s="2"/>
      <c r="K191" s="2"/>
      <c r="L191" s="2"/>
      <c r="M191" s="5"/>
      <c r="N191" s="2"/>
      <c r="O191" s="2"/>
    </row>
    <row r="192" spans="1:15">
      <c r="A192" s="12"/>
      <c r="B192" s="2"/>
      <c r="C192" s="2"/>
      <c r="D192" s="2"/>
      <c r="E192" s="6"/>
      <c r="F192" s="2"/>
      <c r="G192" s="2"/>
      <c r="H192" s="5"/>
      <c r="I192" s="2"/>
      <c r="J192" s="2"/>
      <c r="K192" s="2"/>
      <c r="L192" s="2"/>
      <c r="M192" s="5"/>
      <c r="N192" s="2"/>
      <c r="O192" s="2"/>
    </row>
    <row r="193" spans="1:15">
      <c r="A193" s="12"/>
      <c r="B193" s="2"/>
      <c r="C193" s="2"/>
      <c r="D193" s="2"/>
      <c r="E193" s="6"/>
      <c r="F193" s="2"/>
      <c r="G193" s="2"/>
      <c r="H193" s="5"/>
      <c r="I193" s="2"/>
      <c r="J193" s="2"/>
      <c r="K193" s="2"/>
      <c r="L193" s="2"/>
      <c r="M193" s="5"/>
      <c r="N193" s="2"/>
      <c r="O193" s="2"/>
    </row>
    <row r="194" spans="1:15">
      <c r="A194" s="12"/>
      <c r="B194" s="2"/>
      <c r="C194" s="2"/>
      <c r="D194" s="2"/>
      <c r="E194" s="6"/>
      <c r="F194" s="2"/>
      <c r="G194" s="2"/>
      <c r="H194" s="5"/>
      <c r="I194" s="2"/>
      <c r="J194" s="2"/>
      <c r="K194" s="2"/>
      <c r="L194" s="2"/>
      <c r="M194" s="5"/>
      <c r="N194" s="2"/>
      <c r="O194" s="2"/>
    </row>
    <row r="195" spans="1:15">
      <c r="A195" s="12"/>
      <c r="B195" s="2"/>
      <c r="C195" s="2"/>
      <c r="D195" s="2"/>
      <c r="E195" s="6"/>
      <c r="F195" s="2"/>
      <c r="G195" s="2"/>
      <c r="H195" s="5"/>
      <c r="I195" s="2"/>
      <c r="J195" s="2"/>
      <c r="K195" s="2"/>
      <c r="L195" s="2"/>
      <c r="M195" s="5"/>
      <c r="N195" s="2"/>
      <c r="O195" s="2"/>
    </row>
    <row r="196" spans="1:15">
      <c r="A196" s="12"/>
      <c r="B196" s="2"/>
      <c r="C196" s="2"/>
      <c r="D196" s="2"/>
      <c r="E196" s="6"/>
      <c r="F196" s="2"/>
      <c r="G196" s="2"/>
      <c r="H196" s="5"/>
      <c r="I196" s="2"/>
      <c r="J196" s="2"/>
      <c r="K196" s="2"/>
      <c r="L196" s="2"/>
      <c r="M196" s="5"/>
      <c r="N196" s="2"/>
      <c r="O196" s="2"/>
    </row>
    <row r="197" spans="1:15">
      <c r="A197" s="12"/>
      <c r="B197" s="2"/>
      <c r="C197" s="2"/>
      <c r="D197" s="2"/>
      <c r="E197" s="6"/>
      <c r="F197" s="2"/>
      <c r="G197" s="2"/>
      <c r="H197" s="5"/>
      <c r="I197" s="2"/>
      <c r="J197" s="2"/>
      <c r="K197" s="2"/>
      <c r="L197" s="2"/>
      <c r="M197" s="5"/>
      <c r="N197" s="2"/>
      <c r="O197" s="2"/>
    </row>
    <row r="198" spans="1:15">
      <c r="A198" s="12"/>
      <c r="B198" s="2"/>
      <c r="C198" s="2"/>
      <c r="D198" s="2"/>
      <c r="E198" s="6"/>
      <c r="F198" s="2"/>
      <c r="G198" s="2"/>
      <c r="H198" s="5"/>
      <c r="I198" s="2"/>
      <c r="J198" s="2"/>
      <c r="K198" s="2"/>
      <c r="L198" s="2"/>
      <c r="M198" s="5"/>
      <c r="N198" s="2"/>
      <c r="O198" s="2"/>
    </row>
    <row r="199" spans="1:15">
      <c r="A199" s="12"/>
      <c r="B199" s="2"/>
      <c r="C199" s="2"/>
      <c r="D199" s="2"/>
      <c r="E199" s="6"/>
      <c r="F199" s="2"/>
      <c r="G199" s="2"/>
      <c r="H199" s="5"/>
      <c r="I199" s="2"/>
      <c r="J199" s="2"/>
      <c r="K199" s="2"/>
      <c r="L199" s="2"/>
      <c r="M199" s="5"/>
      <c r="N199" s="2"/>
      <c r="O199" s="2"/>
    </row>
    <row r="200" spans="1:15">
      <c r="A200" s="12"/>
      <c r="B200" s="2"/>
      <c r="C200" s="2"/>
      <c r="D200" s="2"/>
      <c r="E200" s="6"/>
      <c r="F200" s="2"/>
      <c r="G200" s="2"/>
      <c r="H200" s="5"/>
      <c r="I200" s="2"/>
      <c r="J200" s="2"/>
      <c r="K200" s="2"/>
      <c r="L200" s="2"/>
      <c r="M200" s="5"/>
      <c r="N200" s="2"/>
      <c r="O200" s="2"/>
    </row>
    <row r="201" spans="1:15">
      <c r="A201" s="12"/>
      <c r="B201" s="2"/>
      <c r="C201" s="2"/>
      <c r="D201" s="2"/>
      <c r="E201" s="6"/>
      <c r="F201" s="2"/>
      <c r="G201" s="2"/>
      <c r="H201" s="5"/>
      <c r="I201" s="2"/>
      <c r="J201" s="2"/>
      <c r="K201" s="2"/>
      <c r="L201" s="2"/>
      <c r="M201" s="5"/>
      <c r="N201" s="2"/>
      <c r="O201" s="2"/>
    </row>
    <row r="202" spans="1:15">
      <c r="A202" s="12"/>
      <c r="B202" s="2"/>
      <c r="C202" s="2"/>
      <c r="D202" s="2"/>
      <c r="E202" s="6"/>
      <c r="F202" s="2"/>
      <c r="G202" s="2"/>
      <c r="H202" s="5"/>
      <c r="I202" s="2"/>
      <c r="J202" s="2"/>
      <c r="K202" s="2"/>
      <c r="L202" s="2"/>
      <c r="M202" s="5"/>
      <c r="N202" s="2"/>
      <c r="O202" s="2"/>
    </row>
    <row r="203" spans="1:15">
      <c r="A203" s="12"/>
      <c r="B203" s="2"/>
      <c r="C203" s="2"/>
      <c r="D203" s="2"/>
      <c r="E203" s="6"/>
      <c r="F203" s="2"/>
      <c r="G203" s="2"/>
      <c r="H203" s="5"/>
      <c r="I203" s="2"/>
      <c r="J203" s="2"/>
      <c r="K203" s="2"/>
      <c r="L203" s="2"/>
      <c r="M203" s="5"/>
      <c r="N203" s="2"/>
      <c r="O203" s="2"/>
    </row>
    <row r="204" spans="1:15">
      <c r="A204" s="12"/>
      <c r="B204" s="2"/>
      <c r="C204" s="2"/>
      <c r="D204" s="2"/>
      <c r="E204" s="6"/>
      <c r="F204" s="2"/>
      <c r="G204" s="2"/>
      <c r="H204" s="5"/>
      <c r="I204" s="2"/>
      <c r="J204" s="2"/>
      <c r="K204" s="2"/>
      <c r="L204" s="2"/>
      <c r="M204" s="5"/>
      <c r="N204" s="2"/>
      <c r="O204" s="2"/>
    </row>
    <row r="205" spans="1:15">
      <c r="A205" s="12"/>
      <c r="B205" s="2"/>
      <c r="C205" s="2"/>
      <c r="D205" s="2"/>
      <c r="E205" s="6"/>
      <c r="F205" s="2"/>
      <c r="G205" s="2"/>
      <c r="H205" s="5"/>
      <c r="I205" s="2"/>
      <c r="J205" s="2"/>
      <c r="K205" s="2"/>
      <c r="L205" s="2"/>
      <c r="M205" s="5"/>
      <c r="N205" s="2"/>
      <c r="O205" s="2"/>
    </row>
    <row r="206" spans="1:15">
      <c r="A206" s="12"/>
      <c r="B206" s="2"/>
      <c r="C206" s="2"/>
      <c r="D206" s="2"/>
      <c r="E206" s="6"/>
      <c r="F206" s="2"/>
      <c r="G206" s="2"/>
      <c r="H206" s="5"/>
      <c r="I206" s="2"/>
      <c r="J206" s="2"/>
      <c r="K206" s="2"/>
      <c r="L206" s="2"/>
      <c r="M206" s="5"/>
      <c r="N206" s="2"/>
      <c r="O206" s="2"/>
    </row>
    <row r="207" spans="1:15">
      <c r="A207" s="12"/>
      <c r="B207" s="2"/>
      <c r="C207" s="2"/>
      <c r="D207" s="2"/>
      <c r="E207" s="6"/>
      <c r="F207" s="2"/>
      <c r="G207" s="2"/>
      <c r="H207" s="5"/>
      <c r="I207" s="2"/>
      <c r="J207" s="2"/>
      <c r="K207" s="2"/>
      <c r="L207" s="2"/>
      <c r="M207" s="5"/>
      <c r="N207" s="2"/>
      <c r="O207" s="2"/>
    </row>
    <row r="208" spans="1:15">
      <c r="A208" s="12"/>
      <c r="B208" s="2"/>
      <c r="C208" s="2"/>
      <c r="D208" s="2"/>
      <c r="E208" s="6"/>
      <c r="F208" s="2"/>
      <c r="G208" s="2"/>
      <c r="H208" s="5"/>
      <c r="I208" s="2"/>
      <c r="J208" s="2"/>
      <c r="K208" s="2"/>
      <c r="L208" s="2"/>
      <c r="M208" s="5"/>
      <c r="N208" s="2"/>
      <c r="O208" s="2"/>
    </row>
    <row r="209" spans="1:15">
      <c r="A209" s="12"/>
      <c r="B209" s="2"/>
      <c r="C209" s="2"/>
      <c r="D209" s="2"/>
      <c r="E209" s="6"/>
      <c r="F209" s="2"/>
      <c r="G209" s="2"/>
      <c r="H209" s="5"/>
      <c r="I209" s="2"/>
      <c r="J209" s="2"/>
      <c r="K209" s="2"/>
      <c r="L209" s="2"/>
      <c r="M209" s="5"/>
      <c r="N209" s="2"/>
      <c r="O209" s="2"/>
    </row>
    <row r="210" spans="1:15">
      <c r="A210" s="12"/>
      <c r="B210" s="2"/>
      <c r="C210" s="2"/>
      <c r="D210" s="2"/>
      <c r="E210" s="6"/>
      <c r="F210" s="2"/>
      <c r="G210" s="2"/>
      <c r="H210" s="5"/>
      <c r="I210" s="2"/>
      <c r="J210" s="2"/>
      <c r="K210" s="2"/>
      <c r="L210" s="2"/>
      <c r="M210" s="5"/>
      <c r="N210" s="2"/>
      <c r="O210" s="2"/>
    </row>
    <row r="211" spans="1:15">
      <c r="A211" s="12"/>
      <c r="B211" s="2"/>
      <c r="C211" s="2"/>
      <c r="D211" s="2"/>
      <c r="E211" s="6"/>
      <c r="F211" s="2"/>
      <c r="G211" s="2"/>
      <c r="H211" s="5"/>
      <c r="I211" s="2"/>
      <c r="J211" s="2"/>
      <c r="K211" s="2"/>
      <c r="L211" s="2"/>
      <c r="M211" s="5"/>
      <c r="N211" s="2"/>
      <c r="O211" s="2"/>
    </row>
    <row r="212" spans="1:15">
      <c r="A212" s="12"/>
      <c r="B212" s="2"/>
      <c r="C212" s="2"/>
      <c r="D212" s="2"/>
      <c r="E212" s="6"/>
      <c r="F212" s="2"/>
      <c r="G212" s="2"/>
      <c r="H212" s="5"/>
      <c r="I212" s="2"/>
      <c r="J212" s="2"/>
      <c r="K212" s="2"/>
      <c r="L212" s="2"/>
      <c r="M212" s="5"/>
      <c r="N212" s="2"/>
      <c r="O212" s="2"/>
    </row>
    <row r="213" spans="1:15">
      <c r="A213" s="12"/>
      <c r="B213" s="2"/>
      <c r="C213" s="2"/>
      <c r="D213" s="2"/>
      <c r="E213" s="6"/>
      <c r="F213" s="2"/>
      <c r="G213" s="2"/>
      <c r="H213" s="5"/>
      <c r="I213" s="2"/>
      <c r="J213" s="2"/>
      <c r="K213" s="2"/>
      <c r="L213" s="2"/>
      <c r="M213" s="5"/>
      <c r="N213" s="2"/>
      <c r="O213" s="2"/>
    </row>
    <row r="214" spans="1:15">
      <c r="A214" s="12"/>
      <c r="B214" s="2"/>
      <c r="C214" s="2"/>
      <c r="D214" s="2"/>
      <c r="E214" s="6"/>
      <c r="F214" s="2"/>
      <c r="G214" s="2"/>
      <c r="H214" s="5"/>
      <c r="I214" s="2"/>
      <c r="J214" s="2"/>
      <c r="K214" s="2"/>
      <c r="L214" s="2"/>
      <c r="M214" s="5"/>
      <c r="N214" s="2"/>
      <c r="O214" s="2"/>
    </row>
    <row r="215" spans="1:15">
      <c r="A215" s="12"/>
      <c r="B215" s="2"/>
      <c r="C215" s="2"/>
      <c r="D215" s="2"/>
      <c r="E215" s="6"/>
      <c r="F215" s="2"/>
      <c r="G215" s="2"/>
      <c r="H215" s="5"/>
      <c r="I215" s="2"/>
      <c r="J215" s="2"/>
      <c r="K215" s="2"/>
      <c r="L215" s="2"/>
      <c r="M215" s="5"/>
      <c r="N215" s="2"/>
      <c r="O215" s="2"/>
    </row>
    <row r="216" spans="1:15">
      <c r="A216" s="12"/>
      <c r="B216" s="2"/>
      <c r="C216" s="2"/>
      <c r="D216" s="2"/>
      <c r="E216" s="6"/>
      <c r="F216" s="2"/>
      <c r="G216" s="2"/>
      <c r="H216" s="5"/>
      <c r="I216" s="2"/>
      <c r="J216" s="2"/>
      <c r="K216" s="2"/>
      <c r="L216" s="2"/>
      <c r="M216" s="5"/>
      <c r="N216" s="2"/>
      <c r="O216" s="2"/>
    </row>
    <row r="217" spans="1:15">
      <c r="A217" s="12"/>
      <c r="B217" s="2"/>
      <c r="C217" s="2"/>
      <c r="D217" s="2"/>
      <c r="E217" s="6"/>
      <c r="F217" s="2"/>
      <c r="G217" s="2"/>
      <c r="H217" s="5"/>
      <c r="I217" s="2"/>
      <c r="J217" s="2"/>
      <c r="K217" s="2"/>
      <c r="L217" s="2"/>
      <c r="M217" s="5"/>
      <c r="N217" s="2"/>
      <c r="O217" s="2"/>
    </row>
    <row r="218" spans="1:15">
      <c r="A218" s="12"/>
      <c r="B218" s="2"/>
      <c r="C218" s="2"/>
      <c r="D218" s="2"/>
      <c r="E218" s="6"/>
      <c r="F218" s="2"/>
      <c r="G218" s="2"/>
      <c r="H218" s="5"/>
      <c r="I218" s="2"/>
      <c r="J218" s="2"/>
      <c r="K218" s="2"/>
      <c r="L218" s="2"/>
      <c r="M218" s="5"/>
      <c r="N218" s="2"/>
      <c r="O218" s="2"/>
    </row>
    <row r="219" spans="1:15">
      <c r="A219" s="12"/>
      <c r="B219" s="2"/>
      <c r="C219" s="2"/>
      <c r="D219" s="2"/>
      <c r="E219" s="6"/>
      <c r="F219" s="2"/>
      <c r="G219" s="2"/>
      <c r="H219" s="5"/>
      <c r="I219" s="2"/>
      <c r="J219" s="2"/>
      <c r="K219" s="2"/>
      <c r="L219" s="2"/>
      <c r="M219" s="5"/>
      <c r="N219" s="2"/>
      <c r="O219" s="2"/>
    </row>
    <row r="220" spans="1:15">
      <c r="A220" s="12"/>
      <c r="B220" s="2"/>
      <c r="C220" s="2"/>
      <c r="D220" s="2"/>
      <c r="E220" s="6"/>
      <c r="F220" s="2"/>
      <c r="G220" s="2"/>
      <c r="H220" s="5"/>
      <c r="I220" s="2"/>
      <c r="J220" s="2"/>
      <c r="K220" s="2"/>
      <c r="L220" s="2"/>
      <c r="M220" s="5"/>
      <c r="N220" s="2"/>
      <c r="O220" s="2"/>
    </row>
    <row r="221" spans="1:15">
      <c r="A221" s="12"/>
      <c r="B221" s="2"/>
      <c r="C221" s="2"/>
      <c r="D221" s="2"/>
      <c r="E221" s="6"/>
      <c r="F221" s="2"/>
      <c r="G221" s="2"/>
      <c r="H221" s="5"/>
      <c r="I221" s="2"/>
      <c r="J221" s="2"/>
      <c r="K221" s="2"/>
      <c r="L221" s="2"/>
      <c r="M221" s="5"/>
      <c r="N221" s="2"/>
      <c r="O221" s="2"/>
    </row>
    <row r="222" spans="1:15">
      <c r="A222" s="12"/>
      <c r="B222" s="2"/>
      <c r="C222" s="2"/>
      <c r="D222" s="2"/>
      <c r="E222" s="6"/>
      <c r="F222" s="2"/>
      <c r="G222" s="2"/>
      <c r="H222" s="5"/>
      <c r="I222" s="2"/>
      <c r="J222" s="2"/>
      <c r="K222" s="2"/>
      <c r="L222" s="2"/>
      <c r="M222" s="5"/>
      <c r="N222" s="2"/>
      <c r="O222" s="2"/>
    </row>
    <row r="223" spans="1:15">
      <c r="A223" s="12"/>
      <c r="B223" s="2"/>
      <c r="C223" s="2"/>
      <c r="D223" s="2"/>
      <c r="E223" s="6"/>
      <c r="F223" s="2"/>
      <c r="G223" s="2"/>
      <c r="H223" s="5"/>
      <c r="I223" s="2"/>
      <c r="J223" s="2"/>
      <c r="K223" s="2"/>
      <c r="L223" s="2"/>
      <c r="M223" s="5"/>
      <c r="N223" s="2"/>
      <c r="O223" s="2"/>
    </row>
    <row r="224" spans="1:15">
      <c r="A224" s="12"/>
      <c r="B224" s="2"/>
      <c r="C224" s="2"/>
      <c r="D224" s="2"/>
      <c r="E224" s="6"/>
      <c r="F224" s="2"/>
      <c r="G224" s="2"/>
      <c r="H224" s="5"/>
      <c r="I224" s="2"/>
      <c r="J224" s="2"/>
      <c r="K224" s="2"/>
      <c r="L224" s="2"/>
      <c r="M224" s="5"/>
      <c r="N224" s="2"/>
      <c r="O224" s="2"/>
    </row>
    <row r="225" spans="1:15">
      <c r="A225" s="12"/>
      <c r="B225" s="2"/>
      <c r="C225" s="2"/>
      <c r="D225" s="2"/>
      <c r="E225" s="6"/>
      <c r="F225" s="2"/>
      <c r="G225" s="2"/>
      <c r="H225" s="5"/>
      <c r="I225" s="2"/>
      <c r="J225" s="2"/>
      <c r="K225" s="2"/>
      <c r="L225" s="2"/>
      <c r="M225" s="5"/>
      <c r="N225" s="2"/>
      <c r="O225" s="2"/>
    </row>
    <row r="226" spans="1:15">
      <c r="A226" s="12"/>
      <c r="B226" s="2"/>
      <c r="C226" s="2"/>
      <c r="D226" s="2"/>
      <c r="E226" s="6"/>
      <c r="F226" s="2"/>
      <c r="G226" s="2"/>
      <c r="H226" s="5"/>
      <c r="I226" s="2"/>
      <c r="J226" s="2"/>
      <c r="K226" s="2"/>
      <c r="L226" s="2"/>
      <c r="M226" s="5"/>
      <c r="N226" s="2"/>
      <c r="O226" s="2"/>
    </row>
    <row r="227" spans="1:15">
      <c r="A227" s="12"/>
      <c r="B227" s="2"/>
      <c r="C227" s="2"/>
      <c r="D227" s="2"/>
      <c r="E227" s="6"/>
      <c r="F227" s="2"/>
      <c r="G227" s="2"/>
      <c r="H227" s="5"/>
      <c r="I227" s="2"/>
      <c r="J227" s="2"/>
      <c r="K227" s="2"/>
      <c r="L227" s="2"/>
      <c r="M227" s="5"/>
      <c r="N227" s="2"/>
      <c r="O227" s="2"/>
    </row>
    <row r="228" spans="1:15">
      <c r="A228" s="12"/>
      <c r="B228" s="2"/>
      <c r="C228" s="2"/>
      <c r="D228" s="2"/>
      <c r="E228" s="6"/>
      <c r="F228" s="2"/>
      <c r="G228" s="2"/>
      <c r="H228" s="5"/>
      <c r="I228" s="2"/>
      <c r="J228" s="2"/>
      <c r="K228" s="2"/>
      <c r="L228" s="2"/>
      <c r="M228" s="5"/>
      <c r="N228" s="2"/>
      <c r="O228" s="2"/>
    </row>
    <row r="229" spans="1:15">
      <c r="A229" s="12"/>
      <c r="B229" s="2"/>
      <c r="C229" s="2"/>
      <c r="D229" s="2"/>
      <c r="E229" s="6"/>
      <c r="F229" s="2"/>
      <c r="G229" s="2"/>
      <c r="H229" s="5"/>
      <c r="I229" s="2"/>
      <c r="J229" s="2"/>
      <c r="K229" s="2"/>
      <c r="L229" s="2"/>
      <c r="M229" s="5"/>
      <c r="N229" s="2"/>
      <c r="O229" s="2"/>
    </row>
    <row r="230" spans="1:15">
      <c r="A230" s="12"/>
      <c r="B230" s="2"/>
      <c r="C230" s="2"/>
      <c r="D230" s="2"/>
      <c r="E230" s="6"/>
      <c r="F230" s="2"/>
      <c r="G230" s="2"/>
      <c r="H230" s="5"/>
      <c r="I230" s="2"/>
      <c r="J230" s="2"/>
      <c r="K230" s="2"/>
      <c r="L230" s="2"/>
      <c r="M230" s="5"/>
      <c r="N230" s="2"/>
      <c r="O230" s="2"/>
    </row>
    <row r="231" spans="1:15">
      <c r="A231" s="12"/>
      <c r="B231" s="2"/>
      <c r="C231" s="2"/>
      <c r="D231" s="2"/>
      <c r="E231" s="6"/>
      <c r="F231" s="2"/>
      <c r="G231" s="2"/>
      <c r="H231" s="5"/>
      <c r="I231" s="2"/>
      <c r="J231" s="2"/>
      <c r="K231" s="2"/>
      <c r="L231" s="2"/>
      <c r="M231" s="5"/>
      <c r="N231" s="2"/>
      <c r="O231" s="2"/>
    </row>
    <row r="232" spans="1:15">
      <c r="A232" s="12"/>
      <c r="B232" s="2"/>
      <c r="C232" s="2"/>
      <c r="D232" s="2"/>
      <c r="E232" s="6"/>
      <c r="F232" s="2"/>
      <c r="G232" s="2"/>
      <c r="H232" s="5"/>
      <c r="I232" s="2"/>
      <c r="J232" s="2"/>
      <c r="K232" s="2"/>
      <c r="L232" s="2"/>
      <c r="M232" s="5"/>
      <c r="N232" s="2"/>
      <c r="O232" s="2"/>
    </row>
    <row r="233" spans="1:15">
      <c r="A233" s="12"/>
      <c r="B233" s="2"/>
      <c r="C233" s="2"/>
      <c r="D233" s="2"/>
      <c r="E233" s="6"/>
      <c r="F233" s="2"/>
      <c r="G233" s="2"/>
      <c r="H233" s="5"/>
      <c r="I233" s="2"/>
      <c r="J233" s="2"/>
      <c r="K233" s="2"/>
      <c r="L233" s="2"/>
      <c r="M233" s="5"/>
      <c r="N233" s="2"/>
      <c r="O233" s="2"/>
    </row>
    <row r="234" spans="1:15">
      <c r="A234" s="12"/>
      <c r="B234" s="2"/>
      <c r="C234" s="2"/>
      <c r="D234" s="2"/>
      <c r="E234" s="6"/>
      <c r="F234" s="2"/>
      <c r="G234" s="2"/>
      <c r="H234" s="5"/>
      <c r="I234" s="2"/>
      <c r="J234" s="2"/>
      <c r="K234" s="2"/>
      <c r="L234" s="2"/>
      <c r="M234" s="5"/>
      <c r="N234" s="2"/>
      <c r="O234" s="2"/>
    </row>
    <row r="235" spans="1:15">
      <c r="A235" s="12"/>
      <c r="B235" s="2"/>
      <c r="C235" s="2"/>
      <c r="D235" s="2"/>
      <c r="E235" s="6"/>
      <c r="F235" s="2"/>
      <c r="G235" s="2"/>
      <c r="H235" s="5"/>
      <c r="I235" s="2"/>
      <c r="J235" s="2"/>
      <c r="K235" s="2"/>
      <c r="L235" s="2"/>
      <c r="M235" s="5"/>
      <c r="N235" s="2"/>
      <c r="O235" s="2"/>
    </row>
    <row r="236" spans="1:15">
      <c r="A236" s="12"/>
      <c r="B236" s="2"/>
      <c r="C236" s="2"/>
      <c r="D236" s="2"/>
      <c r="E236" s="6"/>
      <c r="F236" s="2"/>
      <c r="G236" s="2"/>
      <c r="H236" s="5"/>
      <c r="I236" s="2"/>
      <c r="J236" s="2"/>
      <c r="K236" s="2"/>
      <c r="L236" s="2"/>
      <c r="M236" s="5"/>
      <c r="N236" s="2"/>
      <c r="O236" s="2"/>
    </row>
    <row r="237" spans="1:15">
      <c r="A237" s="12"/>
      <c r="B237" s="2"/>
      <c r="C237" s="2"/>
      <c r="D237" s="2"/>
      <c r="E237" s="6"/>
      <c r="F237" s="2"/>
      <c r="G237" s="2"/>
      <c r="H237" s="5"/>
      <c r="I237" s="2"/>
      <c r="J237" s="2"/>
      <c r="K237" s="2"/>
      <c r="L237" s="2"/>
      <c r="M237" s="5"/>
      <c r="N237" s="2"/>
      <c r="O237" s="2"/>
    </row>
    <row r="238" spans="1:15">
      <c r="A238" s="12"/>
      <c r="B238" s="2"/>
      <c r="C238" s="2"/>
      <c r="D238" s="2"/>
      <c r="E238" s="6"/>
      <c r="F238" s="2"/>
      <c r="G238" s="2"/>
      <c r="H238" s="5"/>
      <c r="I238" s="2"/>
      <c r="J238" s="2"/>
      <c r="K238" s="2"/>
      <c r="L238" s="2"/>
      <c r="M238" s="5"/>
      <c r="N238" s="2"/>
      <c r="O238" s="2"/>
    </row>
    <row r="239" spans="1:15">
      <c r="A239" s="12"/>
      <c r="B239" s="2"/>
      <c r="C239" s="2"/>
      <c r="D239" s="2"/>
      <c r="E239" s="6"/>
      <c r="F239" s="2"/>
      <c r="G239" s="2"/>
      <c r="H239" s="5"/>
      <c r="I239" s="2"/>
      <c r="J239" s="2"/>
      <c r="K239" s="2"/>
      <c r="L239" s="2"/>
      <c r="M239" s="5"/>
      <c r="N239" s="2"/>
      <c r="O239" s="2"/>
    </row>
    <row r="240" spans="1:15">
      <c r="A240" s="12"/>
      <c r="B240" s="2"/>
      <c r="C240" s="2"/>
      <c r="D240" s="2"/>
      <c r="E240" s="6"/>
      <c r="F240" s="2"/>
      <c r="G240" s="2"/>
      <c r="H240" s="5"/>
      <c r="I240" s="2"/>
      <c r="J240" s="2"/>
      <c r="K240" s="2"/>
      <c r="L240" s="2"/>
      <c r="M240" s="5"/>
      <c r="N240" s="2"/>
      <c r="O240" s="2"/>
    </row>
    <row r="241" spans="1:15">
      <c r="A241" s="12"/>
      <c r="B241" s="2"/>
      <c r="C241" s="2"/>
      <c r="D241" s="2"/>
      <c r="E241" s="6"/>
      <c r="F241" s="2"/>
      <c r="G241" s="2"/>
      <c r="H241" s="5"/>
      <c r="I241" s="2"/>
      <c r="J241" s="2"/>
      <c r="K241" s="2"/>
      <c r="L241" s="2"/>
      <c r="M241" s="5"/>
      <c r="N241" s="2"/>
      <c r="O241" s="2"/>
    </row>
    <row r="242" spans="1:15">
      <c r="A242" s="12"/>
      <c r="B242" s="2"/>
      <c r="C242" s="2"/>
      <c r="D242" s="2"/>
      <c r="E242" s="6"/>
      <c r="F242" s="2"/>
      <c r="G242" s="2"/>
      <c r="H242" s="5"/>
      <c r="I242" s="2"/>
      <c r="J242" s="2"/>
      <c r="K242" s="2"/>
      <c r="L242" s="2"/>
      <c r="M242" s="5"/>
      <c r="N242" s="2"/>
      <c r="O242" s="2"/>
    </row>
    <row r="243" spans="1:15">
      <c r="A243" s="12"/>
      <c r="B243" s="2"/>
      <c r="C243" s="2"/>
      <c r="D243" s="2"/>
      <c r="E243" s="6"/>
      <c r="F243" s="2"/>
      <c r="G243" s="2"/>
      <c r="H243" s="5"/>
      <c r="I243" s="2"/>
      <c r="J243" s="2"/>
      <c r="K243" s="2"/>
      <c r="L243" s="2"/>
      <c r="M243" s="5"/>
      <c r="N243" s="2"/>
      <c r="O243" s="2"/>
    </row>
    <row r="244" spans="1:15">
      <c r="A244" s="12"/>
      <c r="B244" s="2"/>
      <c r="C244" s="2"/>
      <c r="D244" s="2"/>
      <c r="E244" s="6"/>
      <c r="F244" s="2"/>
      <c r="G244" s="2"/>
      <c r="H244" s="5"/>
      <c r="I244" s="2"/>
      <c r="J244" s="2"/>
      <c r="K244" s="2"/>
      <c r="L244" s="2"/>
      <c r="M244" s="5"/>
      <c r="N244" s="2"/>
      <c r="O244" s="2"/>
    </row>
    <row r="245" spans="1:15">
      <c r="A245" s="12"/>
      <c r="B245" s="2"/>
      <c r="C245" s="2"/>
      <c r="D245" s="2"/>
      <c r="E245" s="6"/>
      <c r="F245" s="2"/>
      <c r="G245" s="2"/>
      <c r="H245" s="5"/>
      <c r="I245" s="2"/>
      <c r="J245" s="2"/>
      <c r="K245" s="2"/>
      <c r="L245" s="2"/>
      <c r="M245" s="5"/>
      <c r="N245" s="2"/>
      <c r="O245" s="2"/>
    </row>
    <row r="246" spans="1:15">
      <c r="A246" s="12"/>
      <c r="B246" s="2"/>
      <c r="C246" s="2"/>
      <c r="D246" s="2"/>
      <c r="E246" s="6"/>
      <c r="F246" s="2"/>
      <c r="G246" s="2"/>
      <c r="H246" s="5"/>
      <c r="I246" s="2"/>
      <c r="J246" s="2"/>
      <c r="K246" s="2"/>
      <c r="L246" s="2"/>
      <c r="M246" s="5"/>
      <c r="N246" s="2"/>
      <c r="O246" s="2"/>
    </row>
    <row r="247" spans="1:15">
      <c r="A247" s="12"/>
      <c r="B247" s="2"/>
      <c r="C247" s="2"/>
      <c r="D247" s="2"/>
      <c r="E247" s="6"/>
      <c r="F247" s="2"/>
      <c r="G247" s="2"/>
      <c r="H247" s="5"/>
      <c r="I247" s="2"/>
      <c r="J247" s="2"/>
      <c r="K247" s="2"/>
      <c r="L247" s="2"/>
      <c r="M247" s="5"/>
      <c r="N247" s="2"/>
      <c r="O247" s="2"/>
    </row>
    <row r="248" spans="1:15">
      <c r="A248" s="12"/>
      <c r="B248" s="2"/>
      <c r="C248" s="2"/>
      <c r="D248" s="2"/>
      <c r="E248" s="6"/>
      <c r="F248" s="2"/>
      <c r="G248" s="2"/>
      <c r="H248" s="5"/>
      <c r="I248" s="2"/>
      <c r="J248" s="2"/>
      <c r="K248" s="2"/>
      <c r="L248" s="2"/>
      <c r="M248" s="5"/>
      <c r="N248" s="2"/>
      <c r="O248" s="2"/>
    </row>
    <row r="249" spans="1:15">
      <c r="A249" s="12"/>
      <c r="B249" s="2"/>
      <c r="C249" s="2"/>
      <c r="D249" s="2"/>
      <c r="E249" s="6"/>
      <c r="F249" s="2"/>
      <c r="G249" s="2"/>
      <c r="H249" s="5"/>
      <c r="I249" s="2"/>
      <c r="J249" s="2"/>
      <c r="K249" s="2"/>
      <c r="L249" s="2"/>
      <c r="M249" s="5"/>
      <c r="N249" s="2"/>
      <c r="O249" s="2"/>
    </row>
    <row r="250" spans="1:15">
      <c r="A250" s="12"/>
      <c r="B250" s="2"/>
      <c r="C250" s="2"/>
      <c r="D250" s="2"/>
      <c r="E250" s="6"/>
      <c r="F250" s="2"/>
      <c r="G250" s="2"/>
      <c r="H250" s="5"/>
      <c r="I250" s="2"/>
      <c r="J250" s="2"/>
      <c r="K250" s="2"/>
      <c r="L250" s="2"/>
      <c r="M250" s="5"/>
      <c r="N250" s="2"/>
      <c r="O250" s="2"/>
    </row>
    <row r="251" spans="1:15">
      <c r="A251" s="12"/>
      <c r="B251" s="2"/>
      <c r="C251" s="2"/>
      <c r="D251" s="2"/>
      <c r="E251" s="6"/>
      <c r="F251" s="2"/>
      <c r="G251" s="2"/>
      <c r="H251" s="5"/>
      <c r="I251" s="2"/>
      <c r="J251" s="2"/>
      <c r="K251" s="2"/>
      <c r="L251" s="2"/>
      <c r="M251" s="5"/>
      <c r="N251" s="2"/>
      <c r="O251" s="2"/>
    </row>
    <row r="252" spans="1:15">
      <c r="A252" s="12"/>
      <c r="B252" s="2"/>
      <c r="C252" s="2"/>
      <c r="D252" s="2"/>
      <c r="E252" s="6"/>
      <c r="F252" s="2"/>
      <c r="G252" s="2"/>
      <c r="H252" s="5"/>
      <c r="I252" s="2"/>
      <c r="J252" s="2"/>
      <c r="K252" s="2"/>
      <c r="L252" s="2"/>
      <c r="M252" s="5"/>
      <c r="N252" s="2"/>
      <c r="O252" s="2"/>
    </row>
    <row r="253" spans="1:15">
      <c r="A253" s="12"/>
      <c r="B253" s="2"/>
      <c r="C253" s="2"/>
      <c r="D253" s="2"/>
      <c r="E253" s="6"/>
      <c r="F253" s="2"/>
      <c r="G253" s="2"/>
      <c r="H253" s="5"/>
      <c r="I253" s="2"/>
      <c r="J253" s="2"/>
      <c r="K253" s="2"/>
      <c r="L253" s="2"/>
      <c r="M253" s="5"/>
      <c r="N253" s="2"/>
      <c r="O253" s="2"/>
    </row>
    <row r="254" spans="1:15">
      <c r="A254" s="12"/>
      <c r="B254" s="2"/>
      <c r="C254" s="2"/>
      <c r="D254" s="2"/>
      <c r="E254" s="6"/>
      <c r="F254" s="2"/>
      <c r="G254" s="2"/>
      <c r="H254" s="5"/>
      <c r="I254" s="2"/>
      <c r="J254" s="2"/>
      <c r="K254" s="2"/>
      <c r="L254" s="2"/>
      <c r="M254" s="5"/>
      <c r="N254" s="2"/>
      <c r="O254" s="2"/>
    </row>
    <row r="255" spans="1:15">
      <c r="A255" s="12"/>
      <c r="B255" s="2"/>
      <c r="C255" s="2"/>
      <c r="D255" s="2"/>
      <c r="E255" s="6"/>
      <c r="F255" s="2"/>
      <c r="G255" s="2"/>
      <c r="H255" s="5"/>
      <c r="I255" s="2"/>
      <c r="J255" s="2"/>
      <c r="K255" s="2"/>
      <c r="L255" s="2"/>
      <c r="M255" s="5"/>
      <c r="N255" s="2"/>
      <c r="O255" s="2"/>
    </row>
    <row r="256" spans="1:15">
      <c r="A256" s="12"/>
      <c r="B256" s="2"/>
      <c r="C256" s="2"/>
      <c r="D256" s="2"/>
      <c r="E256" s="6"/>
      <c r="F256" s="2"/>
      <c r="G256" s="2"/>
      <c r="H256" s="5"/>
      <c r="I256" s="2"/>
      <c r="J256" s="2"/>
      <c r="K256" s="2"/>
      <c r="L256" s="2"/>
      <c r="M256" s="5"/>
      <c r="N256" s="2"/>
      <c r="O256" s="2"/>
    </row>
    <row r="257" spans="1:15">
      <c r="A257" s="12"/>
      <c r="B257" s="2"/>
      <c r="C257" s="2"/>
      <c r="D257" s="2"/>
      <c r="E257" s="6"/>
      <c r="F257" s="2"/>
      <c r="G257" s="2"/>
      <c r="H257" s="5"/>
      <c r="I257" s="2"/>
      <c r="J257" s="2"/>
      <c r="K257" s="2"/>
      <c r="L257" s="2"/>
      <c r="M257" s="5"/>
      <c r="N257" s="2"/>
      <c r="O257" s="2"/>
    </row>
    <row r="258" spans="1:15">
      <c r="A258" s="12"/>
      <c r="B258" s="2"/>
      <c r="C258" s="2"/>
      <c r="D258" s="2"/>
      <c r="E258" s="6"/>
      <c r="F258" s="2"/>
      <c r="G258" s="2"/>
      <c r="H258" s="5"/>
      <c r="I258" s="2"/>
      <c r="J258" s="2"/>
      <c r="K258" s="2"/>
      <c r="L258" s="2"/>
      <c r="M258" s="5"/>
      <c r="N258" s="2"/>
      <c r="O258" s="2"/>
    </row>
    <row r="259" spans="1:15">
      <c r="A259" s="12"/>
      <c r="B259" s="2"/>
      <c r="C259" s="2"/>
      <c r="D259" s="2"/>
      <c r="E259" s="6"/>
      <c r="F259" s="2"/>
      <c r="G259" s="2"/>
      <c r="H259" s="5"/>
      <c r="I259" s="2"/>
      <c r="J259" s="2"/>
      <c r="K259" s="2"/>
      <c r="L259" s="2"/>
      <c r="M259" s="5"/>
      <c r="N259" s="2"/>
      <c r="O259" s="2"/>
    </row>
    <row r="260" spans="1:15">
      <c r="A260" s="12"/>
      <c r="B260" s="2"/>
      <c r="C260" s="2"/>
      <c r="D260" s="2"/>
      <c r="E260" s="6"/>
      <c r="F260" s="2"/>
      <c r="G260" s="2"/>
      <c r="H260" s="5"/>
      <c r="I260" s="2"/>
      <c r="J260" s="2"/>
      <c r="K260" s="2"/>
      <c r="L260" s="2"/>
      <c r="M260" s="5"/>
      <c r="N260" s="2"/>
      <c r="O260" s="2"/>
    </row>
    <row r="261" spans="1:15">
      <c r="A261" s="12"/>
      <c r="B261" s="2"/>
      <c r="C261" s="2"/>
      <c r="D261" s="2"/>
      <c r="E261" s="6"/>
      <c r="F261" s="2"/>
      <c r="G261" s="2"/>
      <c r="H261" s="5"/>
      <c r="I261" s="2"/>
      <c r="J261" s="2"/>
      <c r="K261" s="2"/>
      <c r="L261" s="2"/>
      <c r="M261" s="5"/>
      <c r="N261" s="2"/>
      <c r="O261" s="2"/>
    </row>
    <row r="262" spans="1:15">
      <c r="A262" s="12"/>
      <c r="B262" s="2"/>
      <c r="C262" s="2"/>
      <c r="D262" s="2"/>
      <c r="E262" s="6"/>
      <c r="F262" s="2"/>
      <c r="G262" s="2"/>
      <c r="H262" s="5"/>
      <c r="I262" s="2"/>
      <c r="J262" s="2"/>
      <c r="K262" s="2"/>
      <c r="L262" s="2"/>
      <c r="M262" s="5"/>
      <c r="N262" s="2"/>
      <c r="O262" s="2"/>
    </row>
    <row r="263" spans="1:15">
      <c r="A263" s="12"/>
      <c r="B263" s="2"/>
      <c r="C263" s="2"/>
      <c r="D263" s="2"/>
      <c r="E263" s="6"/>
      <c r="F263" s="2"/>
      <c r="G263" s="2"/>
      <c r="H263" s="5"/>
      <c r="I263" s="2"/>
      <c r="J263" s="2"/>
      <c r="K263" s="2"/>
      <c r="L263" s="2"/>
      <c r="M263" s="5"/>
      <c r="N263" s="2"/>
      <c r="O263" s="2"/>
    </row>
    <row r="264" spans="1:15">
      <c r="A264" s="12"/>
      <c r="B264" s="2"/>
      <c r="C264" s="2"/>
      <c r="D264" s="2"/>
      <c r="E264" s="6"/>
      <c r="F264" s="2"/>
      <c r="G264" s="2"/>
      <c r="H264" s="5"/>
      <c r="I264" s="2"/>
      <c r="J264" s="2"/>
      <c r="K264" s="2"/>
      <c r="L264" s="2"/>
      <c r="M264" s="5"/>
      <c r="N264" s="2"/>
      <c r="O264" s="2"/>
    </row>
    <row r="265" spans="1:15">
      <c r="A265" s="12"/>
      <c r="B265" s="2"/>
      <c r="C265" s="2"/>
      <c r="D265" s="2"/>
      <c r="E265" s="6"/>
      <c r="F265" s="2"/>
      <c r="G265" s="2"/>
      <c r="H265" s="5"/>
      <c r="I265" s="2"/>
      <c r="J265" s="2"/>
      <c r="K265" s="2"/>
      <c r="L265" s="2"/>
      <c r="M265" s="5"/>
      <c r="N265" s="2"/>
      <c r="O265" s="2"/>
    </row>
    <row r="266" spans="1:15">
      <c r="A266" s="12"/>
      <c r="B266" s="2"/>
      <c r="C266" s="2"/>
      <c r="D266" s="2"/>
      <c r="E266" s="6"/>
      <c r="F266" s="2"/>
      <c r="G266" s="2"/>
      <c r="H266" s="5"/>
      <c r="I266" s="2"/>
      <c r="J266" s="2"/>
      <c r="K266" s="2"/>
      <c r="L266" s="2"/>
      <c r="M266" s="5"/>
      <c r="N266" s="2"/>
      <c r="O266" s="2"/>
    </row>
    <row r="267" spans="1:15">
      <c r="A267" s="12"/>
      <c r="B267" s="2"/>
      <c r="C267" s="2"/>
      <c r="D267" s="2"/>
      <c r="E267" s="6"/>
      <c r="F267" s="2"/>
      <c r="G267" s="2"/>
      <c r="H267" s="5"/>
      <c r="I267" s="2"/>
      <c r="J267" s="2"/>
      <c r="K267" s="2"/>
      <c r="L267" s="2"/>
      <c r="M267" s="5"/>
      <c r="N267" s="2"/>
      <c r="O267" s="2"/>
    </row>
    <row r="268" spans="1:15">
      <c r="A268" s="12"/>
      <c r="B268" s="2"/>
      <c r="C268" s="2"/>
      <c r="D268" s="2"/>
      <c r="E268" s="6"/>
      <c r="F268" s="2"/>
      <c r="G268" s="2"/>
      <c r="H268" s="5"/>
      <c r="I268" s="2"/>
      <c r="J268" s="2"/>
      <c r="K268" s="2"/>
      <c r="L268" s="2"/>
      <c r="M268" s="5"/>
      <c r="N268" s="2"/>
      <c r="O268" s="2"/>
    </row>
    <row r="269" spans="1:15">
      <c r="A269" s="12"/>
      <c r="B269" s="2"/>
      <c r="C269" s="2"/>
      <c r="D269" s="2"/>
      <c r="E269" s="6"/>
      <c r="F269" s="2"/>
      <c r="G269" s="2"/>
      <c r="H269" s="5"/>
      <c r="I269" s="2"/>
      <c r="J269" s="2"/>
      <c r="K269" s="2"/>
      <c r="L269" s="2"/>
      <c r="M269" s="5"/>
      <c r="N269" s="2"/>
      <c r="O269" s="2"/>
    </row>
    <row r="270" spans="1:15">
      <c r="A270" s="12"/>
      <c r="B270" s="2"/>
      <c r="C270" s="2"/>
      <c r="D270" s="2"/>
      <c r="E270" s="6"/>
      <c r="F270" s="2"/>
      <c r="G270" s="2"/>
      <c r="H270" s="5"/>
      <c r="I270" s="2"/>
      <c r="J270" s="2"/>
      <c r="K270" s="2"/>
      <c r="L270" s="2"/>
      <c r="M270" s="5"/>
      <c r="N270" s="2"/>
      <c r="O270" s="2"/>
    </row>
    <row r="271" spans="1:15">
      <c r="A271" s="12"/>
      <c r="B271" s="2"/>
      <c r="C271" s="2"/>
      <c r="D271" s="2"/>
      <c r="E271" s="6"/>
      <c r="F271" s="2"/>
      <c r="G271" s="2"/>
      <c r="H271" s="5"/>
      <c r="I271" s="2"/>
      <c r="J271" s="2"/>
      <c r="K271" s="2"/>
      <c r="L271" s="2"/>
      <c r="M271" s="5"/>
      <c r="N271" s="2"/>
      <c r="O271" s="2"/>
    </row>
    <row r="272" spans="1:15">
      <c r="A272" s="12"/>
      <c r="B272" s="2"/>
      <c r="C272" s="2"/>
      <c r="D272" s="2"/>
      <c r="E272" s="6"/>
      <c r="F272" s="2"/>
      <c r="G272" s="2"/>
      <c r="H272" s="5"/>
      <c r="I272" s="2"/>
      <c r="J272" s="2"/>
      <c r="K272" s="2"/>
      <c r="L272" s="2"/>
      <c r="M272" s="5"/>
      <c r="N272" s="2"/>
      <c r="O272" s="2"/>
    </row>
    <row r="273" spans="1:15">
      <c r="A273" s="12"/>
      <c r="B273" s="2"/>
      <c r="C273" s="2"/>
      <c r="D273" s="2"/>
      <c r="E273" s="6"/>
      <c r="F273" s="2"/>
      <c r="G273" s="2"/>
      <c r="H273" s="5"/>
      <c r="I273" s="2"/>
      <c r="J273" s="2"/>
      <c r="K273" s="2"/>
      <c r="L273" s="2"/>
      <c r="M273" s="5"/>
      <c r="N273" s="2"/>
      <c r="O273" s="2"/>
    </row>
    <row r="274" spans="1:15">
      <c r="A274" s="12"/>
      <c r="B274" s="2"/>
      <c r="C274" s="2"/>
      <c r="D274" s="2"/>
      <c r="E274" s="6"/>
      <c r="F274" s="2"/>
      <c r="G274" s="2"/>
      <c r="H274" s="5"/>
      <c r="I274" s="2"/>
      <c r="J274" s="2"/>
      <c r="K274" s="2"/>
      <c r="L274" s="2"/>
      <c r="M274" s="5"/>
      <c r="N274" s="2"/>
      <c r="O274" s="2"/>
    </row>
    <row r="275" spans="1:15">
      <c r="A275" s="12"/>
      <c r="B275" s="2"/>
      <c r="C275" s="2"/>
      <c r="D275" s="2"/>
      <c r="E275" s="6"/>
      <c r="F275" s="2"/>
      <c r="G275" s="2"/>
      <c r="H275" s="5"/>
      <c r="I275" s="2"/>
      <c r="J275" s="2"/>
      <c r="K275" s="2"/>
      <c r="L275" s="2"/>
      <c r="M275" s="5"/>
      <c r="N275" s="2"/>
      <c r="O275" s="2"/>
    </row>
    <row r="276" spans="1:15">
      <c r="A276" s="12"/>
      <c r="B276" s="2"/>
      <c r="C276" s="2"/>
      <c r="D276" s="2"/>
      <c r="E276" s="6"/>
      <c r="F276" s="2"/>
      <c r="G276" s="2"/>
      <c r="H276" s="5"/>
      <c r="I276" s="2"/>
      <c r="J276" s="2"/>
      <c r="K276" s="2"/>
      <c r="L276" s="2"/>
      <c r="M276" s="5"/>
      <c r="N276" s="2"/>
      <c r="O276" s="2"/>
    </row>
    <row r="277" spans="1:15">
      <c r="A277" s="12"/>
      <c r="B277" s="2"/>
      <c r="C277" s="2"/>
      <c r="D277" s="2"/>
      <c r="E277" s="6"/>
      <c r="F277" s="2"/>
      <c r="G277" s="2"/>
      <c r="H277" s="5"/>
      <c r="I277" s="2"/>
      <c r="J277" s="2"/>
      <c r="K277" s="2"/>
      <c r="L277" s="2"/>
      <c r="M277" s="5"/>
      <c r="N277" s="2"/>
      <c r="O277" s="2"/>
    </row>
    <row r="278" spans="1:15">
      <c r="A278" s="12"/>
      <c r="B278" s="2"/>
      <c r="C278" s="2"/>
      <c r="D278" s="2"/>
      <c r="E278" s="6"/>
      <c r="F278" s="2"/>
      <c r="G278" s="2"/>
      <c r="H278" s="5"/>
      <c r="I278" s="2"/>
      <c r="J278" s="2"/>
      <c r="K278" s="2"/>
      <c r="L278" s="2"/>
      <c r="M278" s="5"/>
      <c r="N278" s="2"/>
      <c r="O278" s="2"/>
    </row>
    <row r="279" spans="1:15">
      <c r="A279" s="12"/>
      <c r="B279" s="2"/>
      <c r="C279" s="2"/>
      <c r="D279" s="2"/>
      <c r="E279" s="6"/>
      <c r="F279" s="2"/>
      <c r="G279" s="2"/>
      <c r="H279" s="5"/>
      <c r="I279" s="2"/>
      <c r="J279" s="2"/>
      <c r="K279" s="2"/>
      <c r="L279" s="2"/>
      <c r="M279" s="5"/>
      <c r="N279" s="2"/>
      <c r="O279" s="2"/>
    </row>
    <row r="280" spans="1:15">
      <c r="A280" s="12"/>
      <c r="B280" s="2"/>
      <c r="C280" s="2"/>
      <c r="D280" s="2"/>
      <c r="E280" s="6"/>
      <c r="F280" s="2"/>
      <c r="G280" s="2"/>
      <c r="H280" s="5"/>
      <c r="I280" s="2"/>
      <c r="J280" s="2"/>
      <c r="K280" s="2"/>
      <c r="L280" s="2"/>
      <c r="M280" s="5"/>
      <c r="N280" s="2"/>
      <c r="O280" s="2"/>
    </row>
    <row r="281" spans="1:15">
      <c r="A281" s="12"/>
      <c r="B281" s="2"/>
      <c r="C281" s="2"/>
      <c r="D281" s="2"/>
      <c r="E281" s="6"/>
      <c r="F281" s="2"/>
      <c r="G281" s="2"/>
      <c r="H281" s="5"/>
      <c r="I281" s="2"/>
      <c r="J281" s="2"/>
      <c r="K281" s="2"/>
      <c r="L281" s="2"/>
      <c r="M281" s="5"/>
      <c r="N281" s="2"/>
      <c r="O281" s="2"/>
    </row>
    <row r="282" spans="1:15">
      <c r="A282" s="12"/>
      <c r="B282" s="2"/>
      <c r="C282" s="2"/>
      <c r="D282" s="2"/>
      <c r="E282" s="6"/>
      <c r="F282" s="2"/>
      <c r="G282" s="2"/>
      <c r="H282" s="5"/>
      <c r="I282" s="2"/>
      <c r="J282" s="2"/>
      <c r="K282" s="2"/>
      <c r="L282" s="2"/>
      <c r="M282" s="5"/>
      <c r="N282" s="2"/>
      <c r="O282" s="2"/>
    </row>
    <row r="283" spans="1:15">
      <c r="A283" s="12"/>
      <c r="B283" s="2"/>
      <c r="C283" s="2"/>
      <c r="D283" s="2"/>
      <c r="E283" s="6"/>
      <c r="F283" s="2"/>
      <c r="G283" s="2"/>
      <c r="H283" s="5"/>
      <c r="I283" s="2"/>
      <c r="J283" s="2"/>
      <c r="K283" s="2"/>
      <c r="L283" s="2"/>
      <c r="M283" s="5"/>
      <c r="N283" s="2"/>
      <c r="O283" s="2"/>
    </row>
    <row r="284" spans="1:15">
      <c r="A284" s="12"/>
      <c r="B284" s="2"/>
      <c r="C284" s="2"/>
      <c r="D284" s="2"/>
      <c r="E284" s="6"/>
      <c r="F284" s="2"/>
      <c r="G284" s="2"/>
      <c r="H284" s="5"/>
      <c r="I284" s="2"/>
      <c r="J284" s="2"/>
      <c r="K284" s="2"/>
      <c r="L284" s="2"/>
      <c r="M284" s="5"/>
      <c r="N284" s="2"/>
      <c r="O284" s="2"/>
    </row>
    <row r="285" spans="1:15">
      <c r="A285" s="12"/>
      <c r="B285" s="2"/>
      <c r="C285" s="2"/>
      <c r="D285" s="2"/>
      <c r="E285" s="6"/>
      <c r="F285" s="2"/>
      <c r="G285" s="2"/>
      <c r="H285" s="5"/>
      <c r="I285" s="2"/>
      <c r="J285" s="2"/>
      <c r="K285" s="2"/>
      <c r="L285" s="2"/>
      <c r="M285" s="5"/>
      <c r="N285" s="2"/>
      <c r="O285" s="2"/>
    </row>
    <row r="286" spans="1:15">
      <c r="A286" s="12"/>
      <c r="B286" s="2"/>
      <c r="C286" s="2"/>
      <c r="D286" s="2"/>
      <c r="E286" s="6"/>
      <c r="F286" s="2"/>
      <c r="G286" s="2"/>
      <c r="H286" s="5"/>
      <c r="I286" s="2"/>
      <c r="J286" s="2"/>
      <c r="K286" s="2"/>
      <c r="L286" s="2"/>
      <c r="M286" s="5"/>
      <c r="N286" s="2"/>
      <c r="O286" s="2"/>
    </row>
    <row r="287" spans="1:15">
      <c r="A287" s="12"/>
      <c r="B287" s="2"/>
      <c r="C287" s="2"/>
      <c r="D287" s="2"/>
      <c r="E287" s="6"/>
      <c r="F287" s="2"/>
      <c r="G287" s="2"/>
      <c r="H287" s="5"/>
      <c r="I287" s="2"/>
      <c r="J287" s="2"/>
      <c r="K287" s="2"/>
      <c r="L287" s="2"/>
      <c r="M287" s="5"/>
      <c r="N287" s="2"/>
      <c r="O287" s="2"/>
    </row>
    <row r="288" spans="1:15">
      <c r="A288" s="12"/>
      <c r="B288" s="2"/>
      <c r="C288" s="2"/>
      <c r="D288" s="2"/>
      <c r="E288" s="6"/>
      <c r="F288" s="2"/>
      <c r="G288" s="2"/>
      <c r="H288" s="5"/>
      <c r="I288" s="2"/>
      <c r="J288" s="2"/>
      <c r="K288" s="2"/>
      <c r="L288" s="2"/>
      <c r="M288" s="5"/>
      <c r="N288" s="2"/>
      <c r="O288" s="2"/>
    </row>
    <row r="289" spans="1:15">
      <c r="A289" s="12"/>
      <c r="B289" s="2"/>
      <c r="C289" s="2"/>
      <c r="D289" s="2"/>
      <c r="E289" s="6"/>
      <c r="F289" s="2"/>
      <c r="G289" s="2"/>
      <c r="H289" s="5"/>
      <c r="I289" s="2"/>
      <c r="J289" s="2"/>
      <c r="K289" s="2"/>
      <c r="L289" s="2"/>
      <c r="M289" s="5"/>
      <c r="N289" s="2"/>
      <c r="O289" s="2"/>
    </row>
    <row r="290" spans="1:15">
      <c r="A290" s="12"/>
      <c r="B290" s="2"/>
      <c r="C290" s="2"/>
      <c r="D290" s="2"/>
      <c r="E290" s="6"/>
      <c r="F290" s="2"/>
      <c r="G290" s="2"/>
      <c r="H290" s="5"/>
      <c r="I290" s="2"/>
      <c r="J290" s="2"/>
      <c r="K290" s="2"/>
      <c r="L290" s="2"/>
      <c r="M290" s="5"/>
      <c r="N290" s="2"/>
      <c r="O290" s="2"/>
    </row>
    <row r="291" spans="1:15">
      <c r="A291" s="12"/>
      <c r="B291" s="2"/>
      <c r="C291" s="2"/>
      <c r="D291" s="2"/>
      <c r="E291" s="6"/>
      <c r="F291" s="2"/>
      <c r="G291" s="2"/>
      <c r="H291" s="5"/>
      <c r="I291" s="2"/>
      <c r="J291" s="2"/>
      <c r="K291" s="2"/>
      <c r="L291" s="2"/>
      <c r="M291" s="5"/>
      <c r="N291" s="2"/>
      <c r="O291" s="2"/>
    </row>
    <row r="292" spans="1:15">
      <c r="A292" s="12"/>
      <c r="B292" s="2"/>
      <c r="C292" s="2"/>
      <c r="D292" s="2"/>
      <c r="E292" s="6"/>
      <c r="F292" s="2"/>
      <c r="G292" s="2"/>
      <c r="H292" s="5"/>
      <c r="I292" s="2"/>
      <c r="J292" s="2"/>
      <c r="K292" s="2"/>
      <c r="L292" s="2"/>
      <c r="M292" s="5"/>
      <c r="N292" s="2"/>
      <c r="O292" s="2"/>
    </row>
    <row r="293" spans="1:15">
      <c r="A293" s="12"/>
      <c r="B293" s="2"/>
      <c r="C293" s="2"/>
      <c r="D293" s="2"/>
      <c r="E293" s="6"/>
      <c r="F293" s="2"/>
      <c r="G293" s="2"/>
      <c r="H293" s="5"/>
      <c r="I293" s="2"/>
      <c r="J293" s="2"/>
      <c r="K293" s="2"/>
      <c r="L293" s="2"/>
      <c r="M293" s="5"/>
      <c r="N293" s="2"/>
      <c r="O293" s="2"/>
    </row>
    <row r="294" spans="1:15">
      <c r="A294" s="12"/>
      <c r="B294" s="2"/>
      <c r="C294" s="2"/>
      <c r="D294" s="2"/>
      <c r="E294" s="6"/>
      <c r="F294" s="2"/>
      <c r="G294" s="2"/>
      <c r="H294" s="5"/>
      <c r="I294" s="2"/>
      <c r="J294" s="2"/>
      <c r="K294" s="2"/>
      <c r="L294" s="2"/>
      <c r="M294" s="5"/>
      <c r="N294" s="2"/>
      <c r="O294" s="2"/>
    </row>
    <row r="295" spans="1:15">
      <c r="A295" s="12"/>
      <c r="B295" s="2"/>
      <c r="C295" s="2"/>
      <c r="D295" s="2"/>
      <c r="E295" s="6"/>
      <c r="F295" s="2"/>
      <c r="G295" s="2"/>
      <c r="H295" s="5"/>
      <c r="I295" s="2"/>
      <c r="J295" s="2"/>
      <c r="K295" s="2"/>
      <c r="L295" s="2"/>
      <c r="M295" s="5"/>
      <c r="N295" s="2"/>
      <c r="O295" s="2"/>
    </row>
    <row r="296" spans="1:15">
      <c r="A296" s="12"/>
      <c r="B296" s="2"/>
      <c r="C296" s="2"/>
      <c r="D296" s="2"/>
      <c r="E296" s="6"/>
      <c r="F296" s="2"/>
      <c r="G296" s="2"/>
      <c r="H296" s="5"/>
      <c r="I296" s="2"/>
      <c r="J296" s="2"/>
      <c r="K296" s="2"/>
      <c r="L296" s="2"/>
      <c r="M296" s="5"/>
      <c r="N296" s="2"/>
      <c r="O296" s="2"/>
    </row>
    <row r="297" spans="1:15">
      <c r="A297" s="12"/>
      <c r="B297" s="2"/>
      <c r="C297" s="2"/>
      <c r="D297" s="2"/>
      <c r="E297" s="6"/>
      <c r="F297" s="2"/>
      <c r="G297" s="2"/>
      <c r="H297" s="5"/>
      <c r="I297" s="2"/>
      <c r="J297" s="2"/>
      <c r="K297" s="2"/>
      <c r="L297" s="2"/>
      <c r="M297" s="5"/>
      <c r="N297" s="2"/>
      <c r="O297" s="2"/>
    </row>
    <row r="298" spans="1:15">
      <c r="A298" s="12"/>
      <c r="B298" s="2"/>
      <c r="C298" s="2"/>
      <c r="D298" s="2"/>
      <c r="E298" s="6"/>
      <c r="F298" s="2"/>
      <c r="G298" s="2"/>
      <c r="H298" s="5"/>
      <c r="I298" s="2"/>
      <c r="J298" s="2"/>
      <c r="K298" s="2"/>
      <c r="L298" s="2"/>
      <c r="M298" s="5"/>
      <c r="N298" s="2"/>
      <c r="O298" s="2"/>
    </row>
    <row r="299" spans="1:15">
      <c r="A299" s="12"/>
      <c r="B299" s="2"/>
      <c r="C299" s="2"/>
      <c r="D299" s="2"/>
      <c r="E299" s="6"/>
      <c r="F299" s="2"/>
      <c r="G299" s="2"/>
      <c r="H299" s="5"/>
      <c r="I299" s="2"/>
      <c r="J299" s="2"/>
      <c r="K299" s="2"/>
      <c r="L299" s="2"/>
      <c r="M299" s="5"/>
      <c r="N299" s="2"/>
      <c r="O299" s="2"/>
    </row>
    <row r="300" spans="1:15">
      <c r="A300" s="12"/>
      <c r="B300" s="2"/>
      <c r="C300" s="2"/>
      <c r="D300" s="2"/>
      <c r="E300" s="6"/>
      <c r="F300" s="2"/>
      <c r="G300" s="2"/>
      <c r="H300" s="5"/>
      <c r="I300" s="2"/>
      <c r="J300" s="2"/>
      <c r="K300" s="2"/>
      <c r="L300" s="2"/>
      <c r="M300" s="5"/>
      <c r="N300" s="2"/>
      <c r="O300" s="2"/>
    </row>
    <row r="301" spans="1:15">
      <c r="A301" s="12"/>
      <c r="B301" s="2"/>
      <c r="C301" s="2"/>
      <c r="D301" s="2"/>
      <c r="E301" s="6"/>
      <c r="F301" s="2"/>
      <c r="G301" s="2"/>
      <c r="H301" s="5"/>
      <c r="I301" s="2"/>
      <c r="J301" s="2"/>
      <c r="K301" s="2"/>
      <c r="L301" s="2"/>
      <c r="M301" s="5"/>
      <c r="N301" s="2"/>
      <c r="O301" s="2"/>
    </row>
    <row r="302" spans="1:15">
      <c r="A302" s="12"/>
      <c r="B302" s="2"/>
      <c r="C302" s="2"/>
      <c r="D302" s="2"/>
      <c r="E302" s="6"/>
      <c r="F302" s="2"/>
      <c r="G302" s="2"/>
      <c r="H302" s="5"/>
      <c r="I302" s="2"/>
      <c r="J302" s="2"/>
      <c r="K302" s="2"/>
      <c r="L302" s="2"/>
      <c r="M302" s="5"/>
      <c r="N302" s="2"/>
      <c r="O302" s="2"/>
    </row>
    <row r="303" spans="1:15">
      <c r="A303" s="12"/>
      <c r="B303" s="2"/>
      <c r="C303" s="2"/>
      <c r="D303" s="2"/>
      <c r="E303" s="6"/>
      <c r="F303" s="2"/>
      <c r="G303" s="2"/>
      <c r="H303" s="5"/>
      <c r="I303" s="2"/>
      <c r="J303" s="2"/>
      <c r="K303" s="2"/>
      <c r="L303" s="2"/>
      <c r="M303" s="5"/>
      <c r="N303" s="2"/>
      <c r="O303" s="2"/>
    </row>
    <row r="304" spans="1:15">
      <c r="A304" s="12"/>
      <c r="B304" s="2"/>
      <c r="C304" s="2"/>
      <c r="D304" s="2"/>
      <c r="E304" s="6"/>
      <c r="F304" s="2"/>
      <c r="G304" s="2"/>
      <c r="H304" s="5"/>
      <c r="I304" s="2"/>
      <c r="J304" s="2"/>
      <c r="K304" s="2"/>
      <c r="L304" s="2"/>
      <c r="M304" s="5"/>
      <c r="N304" s="2"/>
      <c r="O304" s="2"/>
    </row>
    <row r="305" spans="1:15">
      <c r="A305" s="12"/>
      <c r="B305" s="2"/>
      <c r="C305" s="2"/>
      <c r="D305" s="2"/>
      <c r="E305" s="6"/>
      <c r="F305" s="2"/>
      <c r="G305" s="2"/>
      <c r="H305" s="5"/>
      <c r="I305" s="2"/>
      <c r="J305" s="2"/>
      <c r="K305" s="2"/>
      <c r="L305" s="2"/>
      <c r="M305" s="5"/>
      <c r="N305" s="2"/>
      <c r="O305" s="2"/>
    </row>
    <row r="306" spans="1:15">
      <c r="A306" s="12"/>
      <c r="B306" s="2"/>
      <c r="C306" s="2"/>
      <c r="D306" s="2"/>
      <c r="E306" s="6"/>
      <c r="F306" s="2"/>
      <c r="G306" s="2"/>
      <c r="H306" s="5"/>
      <c r="I306" s="2"/>
      <c r="J306" s="2"/>
      <c r="K306" s="2"/>
      <c r="L306" s="2"/>
      <c r="M306" s="5"/>
      <c r="N306" s="2"/>
      <c r="O306" s="2"/>
    </row>
    <row r="307" spans="1:15">
      <c r="A307" s="12"/>
      <c r="B307" s="2"/>
      <c r="C307" s="2"/>
      <c r="D307" s="2"/>
      <c r="E307" s="6"/>
      <c r="F307" s="2"/>
      <c r="G307" s="2"/>
      <c r="H307" s="5"/>
      <c r="I307" s="2"/>
      <c r="J307" s="2"/>
      <c r="K307" s="2"/>
      <c r="L307" s="2"/>
      <c r="M307" s="5"/>
      <c r="N307" s="2"/>
      <c r="O307" s="2"/>
    </row>
    <row r="308" spans="1:15">
      <c r="A308" s="12"/>
      <c r="B308" s="2"/>
      <c r="C308" s="2"/>
      <c r="D308" s="2"/>
      <c r="E308" s="6"/>
      <c r="F308" s="2"/>
      <c r="G308" s="2"/>
      <c r="H308" s="5"/>
      <c r="I308" s="2"/>
      <c r="J308" s="2"/>
      <c r="K308" s="2"/>
      <c r="L308" s="2"/>
      <c r="M308" s="5"/>
      <c r="N308" s="2"/>
      <c r="O308" s="2"/>
    </row>
    <row r="309" spans="1:15">
      <c r="A309" s="12"/>
      <c r="B309" s="2"/>
      <c r="C309" s="2"/>
      <c r="D309" s="2"/>
      <c r="E309" s="6"/>
      <c r="F309" s="2"/>
      <c r="G309" s="2"/>
      <c r="H309" s="5"/>
      <c r="I309" s="2"/>
      <c r="J309" s="2"/>
      <c r="K309" s="2"/>
      <c r="L309" s="2"/>
      <c r="M309" s="5"/>
      <c r="N309" s="2"/>
      <c r="O309" s="2"/>
    </row>
    <row r="310" spans="1:15">
      <c r="A310" s="12"/>
      <c r="B310" s="2"/>
      <c r="C310" s="2"/>
      <c r="D310" s="2"/>
      <c r="E310" s="6"/>
      <c r="F310" s="2"/>
      <c r="G310" s="2"/>
      <c r="H310" s="5"/>
      <c r="I310" s="2"/>
      <c r="J310" s="2"/>
      <c r="K310" s="2"/>
      <c r="L310" s="2"/>
      <c r="M310" s="5"/>
      <c r="N310" s="2"/>
      <c r="O310" s="2"/>
    </row>
    <row r="311" spans="1:15">
      <c r="A311" s="12"/>
      <c r="B311" s="2"/>
      <c r="C311" s="2"/>
      <c r="D311" s="2"/>
      <c r="E311" s="6"/>
      <c r="F311" s="2"/>
      <c r="G311" s="2"/>
      <c r="H311" s="5"/>
      <c r="I311" s="2"/>
      <c r="J311" s="2"/>
      <c r="K311" s="2"/>
      <c r="L311" s="2"/>
      <c r="M311" s="5"/>
      <c r="N311" s="2"/>
      <c r="O311" s="2"/>
    </row>
    <row r="312" spans="1:15">
      <c r="A312" s="12"/>
      <c r="B312" s="2"/>
      <c r="C312" s="2"/>
      <c r="D312" s="2"/>
      <c r="E312" s="6"/>
      <c r="F312" s="2"/>
      <c r="G312" s="2"/>
      <c r="H312" s="5"/>
      <c r="I312" s="2"/>
      <c r="J312" s="2"/>
      <c r="K312" s="2"/>
      <c r="L312" s="2"/>
      <c r="M312" s="5"/>
      <c r="N312" s="2"/>
      <c r="O312" s="2"/>
    </row>
    <row r="313" spans="1:15">
      <c r="A313" s="12"/>
      <c r="B313" s="2"/>
      <c r="C313" s="2"/>
      <c r="D313" s="2"/>
      <c r="E313" s="6"/>
      <c r="F313" s="2"/>
      <c r="G313" s="2"/>
      <c r="H313" s="5"/>
      <c r="I313" s="2"/>
      <c r="J313" s="2"/>
      <c r="K313" s="2"/>
      <c r="L313" s="2"/>
      <c r="M313" s="5"/>
      <c r="N313" s="2"/>
      <c r="O313" s="2"/>
    </row>
    <row r="314" spans="1:15">
      <c r="A314" s="12"/>
      <c r="B314" s="2"/>
      <c r="C314" s="2"/>
      <c r="D314" s="2"/>
      <c r="E314" s="6"/>
      <c r="F314" s="2"/>
      <c r="G314" s="2"/>
      <c r="H314" s="5"/>
      <c r="I314" s="2"/>
      <c r="J314" s="2"/>
      <c r="K314" s="2"/>
      <c r="L314" s="2"/>
      <c r="M314" s="5"/>
      <c r="N314" s="2"/>
      <c r="O314" s="2"/>
    </row>
    <row r="315" spans="1:15">
      <c r="A315" s="12"/>
      <c r="B315" s="2"/>
      <c r="C315" s="2"/>
      <c r="D315" s="2"/>
      <c r="E315" s="6"/>
      <c r="F315" s="2"/>
      <c r="G315" s="2"/>
      <c r="H315" s="5"/>
      <c r="I315" s="2"/>
      <c r="J315" s="2"/>
      <c r="K315" s="2"/>
      <c r="L315" s="2"/>
      <c r="M315" s="5"/>
      <c r="N315" s="2"/>
      <c r="O315" s="2"/>
    </row>
    <row r="316" spans="1:15">
      <c r="A316" s="12"/>
      <c r="B316" s="2"/>
      <c r="C316" s="2"/>
      <c r="D316" s="2"/>
      <c r="E316" s="6"/>
      <c r="F316" s="2"/>
      <c r="G316" s="2"/>
      <c r="H316" s="5"/>
      <c r="I316" s="2"/>
      <c r="J316" s="2"/>
      <c r="K316" s="2"/>
      <c r="L316" s="2"/>
      <c r="M316" s="5"/>
      <c r="N316" s="2"/>
      <c r="O316" s="2"/>
    </row>
    <row r="317" spans="1:15">
      <c r="A317" s="12"/>
      <c r="B317" s="2"/>
      <c r="C317" s="2"/>
      <c r="D317" s="2"/>
      <c r="E317" s="6"/>
      <c r="F317" s="2"/>
      <c r="G317" s="2"/>
      <c r="H317" s="5"/>
      <c r="I317" s="2"/>
      <c r="J317" s="2"/>
      <c r="K317" s="2"/>
      <c r="L317" s="2"/>
      <c r="M317" s="5"/>
      <c r="N317" s="2"/>
      <c r="O317" s="2"/>
    </row>
    <row r="318" spans="1:15">
      <c r="A318" s="12"/>
      <c r="B318" s="2"/>
      <c r="C318" s="2"/>
      <c r="D318" s="2"/>
      <c r="E318" s="6"/>
      <c r="F318" s="2"/>
      <c r="G318" s="2"/>
      <c r="H318" s="5"/>
      <c r="I318" s="2"/>
      <c r="J318" s="2"/>
      <c r="K318" s="2"/>
      <c r="L318" s="2"/>
      <c r="M318" s="5"/>
      <c r="N318" s="2"/>
      <c r="O318" s="2"/>
    </row>
    <row r="319" spans="1:15">
      <c r="A319" s="12"/>
      <c r="B319" s="2"/>
      <c r="C319" s="2"/>
      <c r="D319" s="2"/>
      <c r="E319" s="6"/>
      <c r="F319" s="2"/>
      <c r="G319" s="2"/>
      <c r="H319" s="5"/>
      <c r="I319" s="2"/>
      <c r="J319" s="2"/>
      <c r="K319" s="2"/>
      <c r="L319" s="2"/>
      <c r="M319" s="5"/>
      <c r="N319" s="2"/>
      <c r="O319" s="2"/>
    </row>
    <row r="320" spans="1:15">
      <c r="A320" s="12"/>
      <c r="B320" s="2"/>
      <c r="C320" s="2"/>
      <c r="D320" s="2"/>
      <c r="E320" s="6"/>
      <c r="F320" s="2"/>
      <c r="G320" s="2"/>
      <c r="H320" s="5"/>
      <c r="I320" s="2"/>
      <c r="J320" s="2"/>
      <c r="K320" s="2"/>
      <c r="L320" s="2"/>
      <c r="M320" s="5"/>
      <c r="N320" s="2"/>
      <c r="O320" s="2"/>
    </row>
    <row r="321" spans="1:15">
      <c r="A321" s="12"/>
      <c r="B321" s="2"/>
      <c r="C321" s="2"/>
      <c r="D321" s="2"/>
      <c r="E321" s="6"/>
      <c r="F321" s="2"/>
      <c r="G321" s="2"/>
      <c r="H321" s="5"/>
      <c r="I321" s="2"/>
      <c r="J321" s="2"/>
      <c r="K321" s="2"/>
      <c r="L321" s="2"/>
      <c r="M321" s="5"/>
      <c r="N321" s="2"/>
      <c r="O321" s="2"/>
    </row>
    <row r="322" spans="1:15">
      <c r="A322" s="12"/>
      <c r="B322" s="2"/>
      <c r="C322" s="2"/>
      <c r="D322" s="2"/>
      <c r="E322" s="6"/>
      <c r="F322" s="2"/>
      <c r="G322" s="2"/>
      <c r="H322" s="5"/>
      <c r="I322" s="2"/>
      <c r="J322" s="2"/>
      <c r="K322" s="2"/>
      <c r="L322" s="2"/>
      <c r="M322" s="5"/>
      <c r="N322" s="2"/>
      <c r="O322" s="2"/>
    </row>
    <row r="323" spans="1:15">
      <c r="A323" s="12"/>
      <c r="B323" s="2"/>
      <c r="C323" s="2"/>
      <c r="D323" s="2"/>
      <c r="E323" s="6"/>
      <c r="F323" s="2"/>
      <c r="G323" s="2"/>
      <c r="H323" s="5"/>
      <c r="I323" s="2"/>
      <c r="J323" s="2"/>
      <c r="K323" s="2"/>
      <c r="L323" s="2"/>
      <c r="M323" s="5"/>
      <c r="N323" s="2"/>
      <c r="O323" s="2"/>
    </row>
    <row r="324" spans="1:15">
      <c r="A324" s="12"/>
      <c r="B324" s="2"/>
      <c r="C324" s="2"/>
      <c r="D324" s="2"/>
      <c r="E324" s="6"/>
      <c r="F324" s="2"/>
      <c r="G324" s="2"/>
      <c r="H324" s="5"/>
      <c r="I324" s="2"/>
      <c r="J324" s="2"/>
      <c r="K324" s="2"/>
      <c r="L324" s="2"/>
      <c r="M324" s="5"/>
      <c r="N324" s="2"/>
      <c r="O324" s="2"/>
    </row>
    <row r="325" spans="1:15">
      <c r="A325" s="12"/>
      <c r="B325" s="2"/>
      <c r="C325" s="2"/>
      <c r="D325" s="2"/>
      <c r="E325" s="6"/>
      <c r="F325" s="2"/>
      <c r="G325" s="2"/>
      <c r="H325" s="5"/>
      <c r="I325" s="2"/>
      <c r="J325" s="2"/>
      <c r="K325" s="2"/>
      <c r="L325" s="2"/>
      <c r="M325" s="5"/>
      <c r="N325" s="2"/>
      <c r="O325" s="2"/>
    </row>
    <row r="326" spans="1:15">
      <c r="A326" s="12"/>
      <c r="B326" s="2"/>
      <c r="C326" s="2"/>
      <c r="D326" s="2"/>
      <c r="E326" s="6"/>
      <c r="F326" s="2"/>
      <c r="G326" s="2"/>
      <c r="H326" s="5"/>
      <c r="I326" s="2"/>
      <c r="J326" s="2"/>
      <c r="K326" s="2"/>
      <c r="L326" s="2"/>
      <c r="M326" s="5"/>
      <c r="N326" s="2"/>
      <c r="O326" s="2"/>
    </row>
    <row r="327" spans="1:15">
      <c r="A327" s="12"/>
      <c r="B327" s="2"/>
      <c r="C327" s="2"/>
      <c r="D327" s="2"/>
      <c r="E327" s="6"/>
      <c r="F327" s="2"/>
      <c r="G327" s="2"/>
      <c r="H327" s="5"/>
      <c r="I327" s="2"/>
      <c r="J327" s="2"/>
      <c r="K327" s="2"/>
      <c r="L327" s="2"/>
      <c r="M327" s="5"/>
      <c r="N327" s="2"/>
      <c r="O327" s="2"/>
    </row>
    <row r="328" spans="1:15">
      <c r="A328" s="12"/>
      <c r="B328" s="2"/>
      <c r="C328" s="2"/>
      <c r="D328" s="2"/>
      <c r="E328" s="6"/>
      <c r="F328" s="2"/>
      <c r="G328" s="2"/>
      <c r="H328" s="5"/>
      <c r="I328" s="2"/>
      <c r="J328" s="2"/>
      <c r="K328" s="2"/>
      <c r="L328" s="2"/>
      <c r="M328" s="5"/>
      <c r="N328" s="2"/>
      <c r="O328" s="2"/>
    </row>
    <row r="329" spans="1:15">
      <c r="A329" s="12"/>
      <c r="B329" s="2"/>
      <c r="C329" s="2"/>
      <c r="D329" s="2"/>
      <c r="E329" s="6"/>
      <c r="F329" s="2"/>
      <c r="G329" s="2"/>
      <c r="H329" s="5"/>
      <c r="I329" s="2"/>
      <c r="J329" s="2"/>
      <c r="K329" s="2"/>
      <c r="L329" s="2"/>
      <c r="M329" s="5"/>
      <c r="N329" s="2"/>
      <c r="O329" s="2"/>
    </row>
    <row r="330" spans="1:15">
      <c r="A330" s="12"/>
      <c r="B330" s="2"/>
      <c r="C330" s="2"/>
      <c r="D330" s="2"/>
      <c r="E330" s="6"/>
      <c r="F330" s="2"/>
      <c r="G330" s="2"/>
      <c r="H330" s="5"/>
      <c r="I330" s="2"/>
      <c r="J330" s="2"/>
      <c r="K330" s="2"/>
      <c r="L330" s="2"/>
      <c r="M330" s="5"/>
      <c r="N330" s="2"/>
      <c r="O330" s="2"/>
    </row>
    <row r="331" spans="1:15">
      <c r="A331" s="12"/>
      <c r="B331" s="2"/>
      <c r="C331" s="2"/>
      <c r="D331" s="2"/>
      <c r="E331" s="6"/>
      <c r="F331" s="2"/>
      <c r="G331" s="2"/>
      <c r="H331" s="5"/>
      <c r="I331" s="2"/>
      <c r="J331" s="2"/>
      <c r="K331" s="2"/>
      <c r="L331" s="2"/>
      <c r="M331" s="5"/>
      <c r="N331" s="2"/>
      <c r="O331" s="2"/>
    </row>
    <row r="332" spans="1:15">
      <c r="A332" s="12"/>
      <c r="B332" s="2"/>
      <c r="C332" s="2"/>
      <c r="D332" s="2"/>
      <c r="E332" s="6"/>
      <c r="F332" s="2"/>
      <c r="G332" s="2"/>
      <c r="H332" s="5"/>
      <c r="I332" s="2"/>
      <c r="J332" s="2"/>
      <c r="K332" s="2"/>
      <c r="L332" s="2"/>
      <c r="M332" s="5"/>
      <c r="N332" s="2"/>
      <c r="O332" s="2"/>
    </row>
    <row r="333" spans="1:15">
      <c r="A333" s="12"/>
      <c r="B333" s="2"/>
      <c r="C333" s="2"/>
      <c r="D333" s="2"/>
      <c r="E333" s="6"/>
      <c r="F333" s="2"/>
      <c r="G333" s="2"/>
      <c r="H333" s="5"/>
      <c r="I333" s="2"/>
      <c r="J333" s="2"/>
      <c r="K333" s="2"/>
      <c r="L333" s="2"/>
      <c r="M333" s="5"/>
      <c r="N333" s="2"/>
      <c r="O333" s="2"/>
    </row>
    <row r="334" spans="1:15">
      <c r="A334" s="12"/>
      <c r="B334" s="2"/>
      <c r="C334" s="2"/>
      <c r="D334" s="2"/>
      <c r="E334" s="6"/>
      <c r="F334" s="2"/>
      <c r="G334" s="2"/>
      <c r="H334" s="5"/>
      <c r="I334" s="2"/>
      <c r="J334" s="2"/>
      <c r="K334" s="2"/>
      <c r="L334" s="2"/>
      <c r="M334" s="5"/>
      <c r="N334" s="2"/>
      <c r="O334" s="2"/>
    </row>
    <row r="335" spans="1:15">
      <c r="A335" s="12"/>
      <c r="B335" s="2"/>
      <c r="C335" s="2"/>
      <c r="D335" s="2"/>
      <c r="E335" s="6"/>
      <c r="F335" s="2"/>
      <c r="G335" s="2"/>
      <c r="H335" s="5"/>
      <c r="I335" s="2"/>
      <c r="J335" s="2"/>
      <c r="K335" s="2"/>
      <c r="L335" s="2"/>
      <c r="M335" s="5"/>
      <c r="N335" s="2"/>
      <c r="O335" s="2"/>
    </row>
    <row r="336" spans="1:15">
      <c r="A336" s="12"/>
      <c r="B336" s="2"/>
      <c r="C336" s="2"/>
      <c r="D336" s="2"/>
      <c r="E336" s="6"/>
      <c r="F336" s="2"/>
      <c r="G336" s="2"/>
      <c r="H336" s="5"/>
      <c r="I336" s="2"/>
      <c r="J336" s="2"/>
      <c r="K336" s="2"/>
      <c r="L336" s="2"/>
      <c r="M336" s="5"/>
      <c r="N336" s="2"/>
      <c r="O336" s="2"/>
    </row>
    <row r="337" spans="1:15">
      <c r="A337" s="12"/>
      <c r="B337" s="2"/>
      <c r="C337" s="2"/>
      <c r="D337" s="2"/>
      <c r="E337" s="6"/>
      <c r="F337" s="2"/>
      <c r="G337" s="2"/>
      <c r="H337" s="5"/>
      <c r="I337" s="2"/>
      <c r="J337" s="2"/>
      <c r="K337" s="2"/>
      <c r="L337" s="2"/>
      <c r="M337" s="5"/>
      <c r="N337" s="2"/>
      <c r="O337" s="2"/>
    </row>
    <row r="338" spans="1:15">
      <c r="A338" s="12"/>
      <c r="B338" s="2"/>
      <c r="C338" s="2"/>
      <c r="D338" s="2"/>
      <c r="E338" s="6"/>
      <c r="F338" s="2"/>
      <c r="G338" s="2"/>
      <c r="H338" s="5"/>
      <c r="I338" s="2"/>
      <c r="J338" s="2"/>
      <c r="K338" s="2"/>
      <c r="L338" s="2"/>
      <c r="M338" s="5"/>
      <c r="N338" s="2"/>
      <c r="O338" s="2"/>
    </row>
    <row r="339" spans="1:15">
      <c r="A339" s="12"/>
      <c r="B339" s="2"/>
      <c r="C339" s="2"/>
      <c r="D339" s="2"/>
      <c r="E339" s="6"/>
      <c r="F339" s="2"/>
      <c r="G339" s="2"/>
      <c r="H339" s="5"/>
      <c r="I339" s="2"/>
      <c r="J339" s="2"/>
      <c r="K339" s="2"/>
      <c r="L339" s="2"/>
      <c r="M339" s="5"/>
      <c r="N339" s="2"/>
      <c r="O339" s="2"/>
    </row>
    <row r="340" spans="1:15">
      <c r="A340" s="12"/>
      <c r="B340" s="2"/>
      <c r="C340" s="2"/>
      <c r="D340" s="2"/>
      <c r="E340" s="6"/>
      <c r="F340" s="2"/>
      <c r="G340" s="2"/>
      <c r="H340" s="5"/>
      <c r="I340" s="2"/>
      <c r="J340" s="2"/>
      <c r="K340" s="2"/>
      <c r="L340" s="2"/>
      <c r="M340" s="5"/>
      <c r="N340" s="2"/>
      <c r="O340" s="2"/>
    </row>
    <row r="341" spans="1:15">
      <c r="A341" s="12"/>
      <c r="B341" s="2"/>
      <c r="C341" s="2"/>
      <c r="D341" s="2"/>
      <c r="E341" s="6"/>
      <c r="F341" s="2"/>
      <c r="G341" s="2"/>
      <c r="H341" s="5"/>
      <c r="I341" s="2"/>
      <c r="J341" s="2"/>
      <c r="K341" s="2"/>
      <c r="L341" s="2"/>
      <c r="M341" s="5"/>
      <c r="N341" s="2"/>
      <c r="O341" s="2"/>
    </row>
    <row r="342" spans="1:15">
      <c r="A342" s="12"/>
      <c r="B342" s="2"/>
      <c r="C342" s="2"/>
      <c r="D342" s="2"/>
      <c r="E342" s="6"/>
      <c r="F342" s="2"/>
      <c r="G342" s="2"/>
      <c r="H342" s="5"/>
      <c r="I342" s="2"/>
      <c r="J342" s="2"/>
      <c r="K342" s="2"/>
      <c r="L342" s="2"/>
      <c r="M342" s="5"/>
      <c r="N342" s="2"/>
      <c r="O342" s="2"/>
    </row>
    <row r="343" spans="1:15">
      <c r="A343" s="12"/>
      <c r="B343" s="2"/>
      <c r="C343" s="2"/>
      <c r="D343" s="2"/>
      <c r="E343" s="6"/>
      <c r="F343" s="2"/>
      <c r="G343" s="2"/>
      <c r="H343" s="5"/>
      <c r="I343" s="2"/>
      <c r="J343" s="2"/>
      <c r="K343" s="2"/>
      <c r="L343" s="2"/>
      <c r="M343" s="5"/>
      <c r="N343" s="2"/>
      <c r="O343" s="2"/>
    </row>
    <row r="344" spans="1:15">
      <c r="A344" s="12"/>
      <c r="B344" s="2"/>
      <c r="C344" s="2"/>
      <c r="D344" s="2"/>
      <c r="E344" s="6"/>
      <c r="F344" s="2"/>
      <c r="G344" s="2"/>
      <c r="H344" s="5"/>
      <c r="I344" s="2"/>
      <c r="J344" s="2"/>
      <c r="K344" s="2"/>
      <c r="L344" s="2"/>
      <c r="M344" s="5"/>
      <c r="N344" s="2"/>
      <c r="O344" s="2"/>
    </row>
    <row r="345" spans="1:15">
      <c r="A345" s="12"/>
      <c r="B345" s="2"/>
      <c r="C345" s="2"/>
      <c r="D345" s="2"/>
      <c r="E345" s="6"/>
      <c r="F345" s="2"/>
      <c r="G345" s="2"/>
      <c r="H345" s="5"/>
      <c r="I345" s="2"/>
      <c r="J345" s="2"/>
      <c r="K345" s="2"/>
      <c r="L345" s="2"/>
      <c r="M345" s="5"/>
      <c r="N345" s="2"/>
      <c r="O345" s="2"/>
    </row>
    <row r="346" spans="1:15">
      <c r="A346" s="12"/>
      <c r="B346" s="2"/>
      <c r="C346" s="2"/>
      <c r="D346" s="2"/>
      <c r="E346" s="6"/>
      <c r="F346" s="2"/>
      <c r="G346" s="2"/>
      <c r="H346" s="5"/>
      <c r="I346" s="2"/>
      <c r="J346" s="2"/>
      <c r="K346" s="2"/>
      <c r="L346" s="2"/>
      <c r="M346" s="5"/>
      <c r="N346" s="2"/>
      <c r="O346" s="2"/>
    </row>
    <row r="347" spans="1:15">
      <c r="A347" s="12"/>
      <c r="B347" s="2"/>
      <c r="C347" s="2"/>
      <c r="D347" s="2"/>
      <c r="E347" s="6"/>
      <c r="F347" s="2"/>
      <c r="G347" s="2"/>
      <c r="H347" s="5"/>
      <c r="I347" s="2"/>
      <c r="J347" s="2"/>
      <c r="K347" s="2"/>
      <c r="L347" s="2"/>
      <c r="M347" s="5"/>
      <c r="N347" s="2"/>
      <c r="O347" s="2"/>
    </row>
    <row r="348" spans="1:15">
      <c r="A348" s="12"/>
      <c r="B348" s="2"/>
      <c r="C348" s="2"/>
      <c r="D348" s="2"/>
      <c r="E348" s="6"/>
      <c r="F348" s="2"/>
      <c r="G348" s="2"/>
      <c r="H348" s="5"/>
      <c r="I348" s="2"/>
      <c r="J348" s="2"/>
      <c r="K348" s="2"/>
      <c r="L348" s="2"/>
      <c r="M348" s="5"/>
      <c r="N348" s="2"/>
      <c r="O348" s="2"/>
    </row>
    <row r="349" spans="1:15">
      <c r="A349" s="12"/>
      <c r="B349" s="2"/>
      <c r="C349" s="2"/>
      <c r="D349" s="2"/>
      <c r="E349" s="6"/>
      <c r="F349" s="2"/>
      <c r="G349" s="2"/>
      <c r="H349" s="5"/>
      <c r="I349" s="2"/>
      <c r="J349" s="2"/>
      <c r="K349" s="2"/>
      <c r="L349" s="2"/>
      <c r="M349" s="5"/>
      <c r="N349" s="2"/>
      <c r="O349" s="2"/>
    </row>
    <row r="350" spans="1:15">
      <c r="A350" s="12"/>
      <c r="B350" s="2"/>
      <c r="C350" s="2"/>
      <c r="D350" s="2"/>
      <c r="E350" s="6"/>
      <c r="F350" s="2"/>
      <c r="G350" s="2"/>
      <c r="H350" s="5"/>
      <c r="I350" s="2"/>
      <c r="J350" s="2"/>
      <c r="K350" s="2"/>
      <c r="L350" s="2"/>
      <c r="M350" s="5"/>
      <c r="N350" s="2"/>
      <c r="O350" s="2"/>
    </row>
    <row r="351" spans="1:15">
      <c r="A351" s="12"/>
      <c r="B351" s="2"/>
      <c r="C351" s="2"/>
      <c r="D351" s="2"/>
      <c r="E351" s="6"/>
      <c r="F351" s="2"/>
      <c r="G351" s="2"/>
      <c r="H351" s="5"/>
      <c r="I351" s="2"/>
      <c r="J351" s="2"/>
      <c r="K351" s="2"/>
      <c r="L351" s="2"/>
      <c r="M351" s="5"/>
      <c r="N351" s="2"/>
      <c r="O351" s="2"/>
    </row>
    <row r="352" spans="1:15">
      <c r="A352" s="12"/>
      <c r="B352" s="2"/>
      <c r="C352" s="2"/>
      <c r="D352" s="2"/>
      <c r="E352" s="6"/>
      <c r="F352" s="2"/>
      <c r="G352" s="2"/>
      <c r="H352" s="5"/>
      <c r="I352" s="2"/>
      <c r="J352" s="2"/>
      <c r="K352" s="2"/>
      <c r="L352" s="2"/>
      <c r="M352" s="5"/>
      <c r="N352" s="2"/>
      <c r="O352" s="2"/>
    </row>
    <row r="353" spans="1:15">
      <c r="A353" s="12"/>
      <c r="B353" s="2"/>
      <c r="C353" s="2"/>
      <c r="D353" s="2"/>
      <c r="E353" s="6"/>
      <c r="F353" s="2"/>
      <c r="G353" s="2"/>
      <c r="H353" s="5"/>
      <c r="I353" s="2"/>
      <c r="J353" s="2"/>
      <c r="K353" s="2"/>
      <c r="L353" s="2"/>
      <c r="M353" s="5"/>
      <c r="N353" s="2"/>
      <c r="O353" s="2"/>
    </row>
    <row r="354" spans="1:15">
      <c r="A354" s="12"/>
      <c r="B354" s="2"/>
      <c r="C354" s="2"/>
      <c r="D354" s="2"/>
      <c r="E354" s="6"/>
      <c r="F354" s="2"/>
      <c r="G354" s="2"/>
      <c r="H354" s="5"/>
      <c r="I354" s="2"/>
      <c r="J354" s="2"/>
      <c r="K354" s="2"/>
      <c r="L354" s="2"/>
      <c r="M354" s="5"/>
      <c r="N354" s="2"/>
      <c r="O354" s="2"/>
    </row>
    <row r="355" spans="1:15">
      <c r="A355" s="12"/>
      <c r="B355" s="2"/>
      <c r="C355" s="2"/>
      <c r="D355" s="2"/>
      <c r="E355" s="6"/>
      <c r="F355" s="2"/>
      <c r="G355" s="2"/>
      <c r="H355" s="5"/>
      <c r="I355" s="2"/>
      <c r="J355" s="2"/>
      <c r="K355" s="2"/>
      <c r="L355" s="2"/>
      <c r="M355" s="5"/>
      <c r="N355" s="2"/>
      <c r="O355" s="2"/>
    </row>
    <row r="356" spans="1:15">
      <c r="A356" s="12"/>
      <c r="B356" s="2"/>
      <c r="C356" s="2"/>
      <c r="D356" s="2"/>
      <c r="E356" s="6"/>
      <c r="F356" s="2"/>
      <c r="G356" s="2"/>
      <c r="H356" s="5"/>
      <c r="I356" s="2"/>
      <c r="J356" s="2"/>
      <c r="K356" s="2"/>
      <c r="L356" s="2"/>
      <c r="M356" s="5"/>
      <c r="N356" s="2"/>
      <c r="O356" s="2"/>
    </row>
    <row r="357" spans="1:15">
      <c r="A357" s="12"/>
      <c r="B357" s="2"/>
      <c r="C357" s="2"/>
      <c r="D357" s="2"/>
      <c r="E357" s="6"/>
      <c r="F357" s="2"/>
      <c r="G357" s="2"/>
      <c r="H357" s="5"/>
      <c r="I357" s="2"/>
      <c r="J357" s="2"/>
      <c r="K357" s="2"/>
      <c r="L357" s="2"/>
      <c r="M357" s="5"/>
      <c r="N357" s="2"/>
      <c r="O357" s="2"/>
    </row>
    <row r="358" spans="1:15">
      <c r="A358" s="12"/>
      <c r="B358" s="2"/>
      <c r="C358" s="2"/>
      <c r="D358" s="2"/>
      <c r="E358" s="6"/>
      <c r="F358" s="2"/>
      <c r="G358" s="2"/>
      <c r="H358" s="5"/>
      <c r="I358" s="2"/>
      <c r="J358" s="2"/>
      <c r="K358" s="2"/>
      <c r="L358" s="2"/>
      <c r="M358" s="5"/>
      <c r="N358" s="2"/>
      <c r="O358" s="2"/>
    </row>
    <row r="359" spans="1:15">
      <c r="A359" s="12"/>
      <c r="B359" s="2"/>
      <c r="C359" s="2"/>
      <c r="D359" s="2"/>
      <c r="E359" s="6"/>
      <c r="F359" s="2"/>
      <c r="G359" s="2"/>
      <c r="H359" s="5"/>
      <c r="I359" s="2"/>
      <c r="J359" s="2"/>
      <c r="K359" s="2"/>
      <c r="L359" s="2"/>
      <c r="M359" s="5"/>
      <c r="N359" s="2"/>
      <c r="O359" s="2"/>
    </row>
    <row r="360" spans="1:15">
      <c r="A360" s="12"/>
      <c r="B360" s="2"/>
      <c r="C360" s="2"/>
      <c r="D360" s="2"/>
      <c r="E360" s="6"/>
      <c r="F360" s="2"/>
      <c r="G360" s="2"/>
      <c r="H360" s="5"/>
      <c r="I360" s="2"/>
      <c r="J360" s="2"/>
      <c r="K360" s="2"/>
      <c r="L360" s="2"/>
      <c r="M360" s="5"/>
      <c r="N360" s="2"/>
      <c r="O360" s="2"/>
    </row>
    <row r="361" spans="1:15">
      <c r="A361" s="12"/>
      <c r="B361" s="2"/>
      <c r="C361" s="2"/>
      <c r="D361" s="2"/>
      <c r="E361" s="6"/>
      <c r="F361" s="2"/>
      <c r="G361" s="2"/>
      <c r="H361" s="5"/>
      <c r="I361" s="2"/>
      <c r="J361" s="2"/>
      <c r="K361" s="2"/>
      <c r="L361" s="2"/>
      <c r="M361" s="5"/>
      <c r="N361" s="2"/>
      <c r="O361" s="2"/>
    </row>
    <row r="362" spans="1:15">
      <c r="A362" s="12"/>
      <c r="B362" s="2"/>
      <c r="C362" s="2"/>
      <c r="D362" s="2"/>
      <c r="E362" s="6"/>
      <c r="F362" s="2"/>
      <c r="G362" s="2"/>
      <c r="H362" s="5"/>
      <c r="I362" s="2"/>
      <c r="J362" s="2"/>
      <c r="K362" s="2"/>
      <c r="L362" s="2"/>
      <c r="M362" s="5"/>
      <c r="N362" s="2"/>
      <c r="O362" s="2"/>
    </row>
    <row r="363" spans="1:15">
      <c r="A363" s="12"/>
      <c r="B363" s="2"/>
      <c r="C363" s="2"/>
      <c r="D363" s="2"/>
      <c r="E363" s="6"/>
      <c r="F363" s="2"/>
      <c r="G363" s="2"/>
      <c r="H363" s="5"/>
      <c r="I363" s="2"/>
      <c r="J363" s="2"/>
      <c r="K363" s="2"/>
      <c r="L363" s="2"/>
      <c r="M363" s="5"/>
      <c r="N363" s="2"/>
      <c r="O363" s="2"/>
    </row>
    <row r="364" spans="1:15">
      <c r="A364" s="12"/>
      <c r="B364" s="2"/>
      <c r="C364" s="2"/>
      <c r="D364" s="2"/>
      <c r="E364" s="6"/>
      <c r="F364" s="2"/>
      <c r="G364" s="2"/>
      <c r="H364" s="5"/>
      <c r="I364" s="2"/>
      <c r="J364" s="2"/>
      <c r="K364" s="2"/>
      <c r="L364" s="2"/>
      <c r="M364" s="5"/>
      <c r="N364" s="2"/>
      <c r="O364" s="2"/>
    </row>
    <row r="365" spans="1:15">
      <c r="A365" s="12"/>
      <c r="B365" s="2"/>
      <c r="C365" s="2"/>
      <c r="D365" s="2"/>
      <c r="E365" s="6"/>
      <c r="F365" s="2"/>
      <c r="G365" s="2"/>
      <c r="H365" s="5"/>
      <c r="I365" s="2"/>
      <c r="J365" s="2"/>
      <c r="K365" s="2"/>
      <c r="L365" s="2"/>
      <c r="M365" s="5"/>
      <c r="N365" s="2"/>
      <c r="O365" s="2"/>
    </row>
    <row r="366" spans="1:15">
      <c r="A366" s="12"/>
      <c r="B366" s="2"/>
      <c r="C366" s="2"/>
      <c r="D366" s="2"/>
      <c r="E366" s="6"/>
      <c r="F366" s="2"/>
      <c r="G366" s="2"/>
      <c r="H366" s="5"/>
      <c r="I366" s="2"/>
      <c r="J366" s="2"/>
      <c r="K366" s="2"/>
      <c r="L366" s="2"/>
      <c r="M366" s="5"/>
      <c r="N366" s="2"/>
      <c r="O366" s="2"/>
    </row>
    <row r="367" spans="1:15">
      <c r="A367" s="12"/>
      <c r="B367" s="2"/>
      <c r="C367" s="2"/>
      <c r="D367" s="2"/>
      <c r="E367" s="6"/>
      <c r="F367" s="2"/>
      <c r="G367" s="2"/>
      <c r="H367" s="5"/>
      <c r="I367" s="2"/>
      <c r="J367" s="2"/>
      <c r="K367" s="2"/>
      <c r="L367" s="2"/>
      <c r="M367" s="5"/>
      <c r="N367" s="2"/>
      <c r="O367" s="2"/>
    </row>
    <row r="368" spans="1:15">
      <c r="A368" s="12"/>
      <c r="B368" s="2"/>
      <c r="C368" s="2"/>
      <c r="D368" s="2"/>
      <c r="E368" s="6"/>
      <c r="F368" s="2"/>
      <c r="G368" s="2"/>
      <c r="H368" s="5"/>
      <c r="I368" s="2"/>
      <c r="J368" s="2"/>
      <c r="K368" s="2"/>
      <c r="L368" s="2"/>
      <c r="M368" s="5"/>
      <c r="N368" s="2"/>
      <c r="O368" s="2"/>
    </row>
    <row r="369" spans="1:15">
      <c r="A369" s="12"/>
      <c r="B369" s="2"/>
      <c r="C369" s="2"/>
      <c r="D369" s="2"/>
      <c r="E369" s="6"/>
      <c r="F369" s="2"/>
      <c r="G369" s="2"/>
      <c r="H369" s="5"/>
      <c r="I369" s="2"/>
      <c r="J369" s="2"/>
      <c r="K369" s="2"/>
      <c r="L369" s="2"/>
      <c r="M369" s="5"/>
      <c r="N369" s="2"/>
      <c r="O369" s="2"/>
    </row>
    <row r="370" spans="1:15">
      <c r="A370" s="12"/>
      <c r="B370" s="2"/>
      <c r="C370" s="2"/>
      <c r="D370" s="2"/>
      <c r="E370" s="6"/>
      <c r="F370" s="2"/>
      <c r="G370" s="2"/>
      <c r="H370" s="5"/>
      <c r="I370" s="2"/>
      <c r="J370" s="2"/>
      <c r="K370" s="2"/>
      <c r="L370" s="2"/>
      <c r="M370" s="5"/>
      <c r="N370" s="2"/>
      <c r="O370" s="2"/>
    </row>
    <row r="371" spans="1:15">
      <c r="A371" s="12"/>
      <c r="B371" s="2"/>
      <c r="C371" s="2"/>
      <c r="D371" s="2"/>
      <c r="E371" s="6"/>
      <c r="F371" s="2"/>
      <c r="G371" s="2"/>
      <c r="H371" s="5"/>
      <c r="I371" s="2"/>
      <c r="J371" s="2"/>
      <c r="K371" s="2"/>
      <c r="L371" s="2"/>
      <c r="M371" s="5"/>
      <c r="N371" s="2"/>
      <c r="O371" s="2"/>
    </row>
    <row r="372" spans="1:15">
      <c r="A372" s="12"/>
      <c r="B372" s="2"/>
      <c r="C372" s="2"/>
      <c r="D372" s="2"/>
      <c r="E372" s="6"/>
      <c r="F372" s="2"/>
      <c r="G372" s="2"/>
      <c r="H372" s="5"/>
      <c r="I372" s="2"/>
      <c r="J372" s="2"/>
      <c r="K372" s="2"/>
      <c r="L372" s="2"/>
      <c r="M372" s="5"/>
      <c r="N372" s="2"/>
      <c r="O372" s="2"/>
    </row>
    <row r="373" spans="1:15">
      <c r="A373" s="12"/>
      <c r="B373" s="2"/>
      <c r="C373" s="2"/>
      <c r="D373" s="2"/>
      <c r="E373" s="6"/>
      <c r="F373" s="2"/>
      <c r="G373" s="2"/>
      <c r="H373" s="5"/>
      <c r="I373" s="2"/>
      <c r="J373" s="2"/>
      <c r="K373" s="2"/>
      <c r="L373" s="2"/>
      <c r="M373" s="5"/>
      <c r="N373" s="2"/>
      <c r="O373" s="2"/>
    </row>
    <row r="374" spans="1:15">
      <c r="A374" s="12"/>
      <c r="B374" s="2"/>
      <c r="C374" s="2"/>
      <c r="D374" s="2"/>
      <c r="E374" s="6"/>
      <c r="F374" s="2"/>
      <c r="G374" s="2"/>
      <c r="H374" s="5"/>
      <c r="I374" s="2"/>
      <c r="J374" s="2"/>
      <c r="K374" s="2"/>
      <c r="L374" s="2"/>
      <c r="M374" s="5"/>
      <c r="N374" s="2"/>
      <c r="O374" s="2"/>
    </row>
    <row r="375" spans="1:15">
      <c r="A375" s="12"/>
      <c r="B375" s="2"/>
      <c r="C375" s="2"/>
      <c r="D375" s="2"/>
      <c r="E375" s="6"/>
      <c r="F375" s="2"/>
      <c r="G375" s="2"/>
      <c r="H375" s="5"/>
      <c r="I375" s="2"/>
      <c r="J375" s="2"/>
      <c r="K375" s="2"/>
      <c r="L375" s="2"/>
      <c r="M375" s="5"/>
      <c r="N375" s="2"/>
      <c r="O375" s="2"/>
    </row>
    <row r="376" spans="1:15">
      <c r="A376" s="12"/>
      <c r="B376" s="2"/>
      <c r="C376" s="2"/>
      <c r="D376" s="2"/>
      <c r="E376" s="6"/>
      <c r="F376" s="2"/>
      <c r="G376" s="2"/>
      <c r="H376" s="5"/>
      <c r="I376" s="2"/>
      <c r="J376" s="2"/>
      <c r="K376" s="2"/>
      <c r="L376" s="2"/>
      <c r="M376" s="5"/>
      <c r="N376" s="2"/>
      <c r="O376" s="2"/>
    </row>
    <row r="377" spans="1:15">
      <c r="A377" s="12"/>
      <c r="B377" s="2"/>
      <c r="C377" s="2"/>
      <c r="D377" s="2"/>
      <c r="E377" s="6"/>
      <c r="F377" s="2"/>
      <c r="G377" s="2"/>
      <c r="H377" s="5"/>
      <c r="I377" s="2"/>
      <c r="J377" s="2"/>
      <c r="K377" s="2"/>
      <c r="L377" s="2"/>
      <c r="M377" s="5"/>
      <c r="N377" s="2"/>
      <c r="O377" s="2"/>
    </row>
    <row r="378" spans="1:15">
      <c r="A378" s="12"/>
      <c r="B378" s="2"/>
      <c r="C378" s="2"/>
      <c r="D378" s="2"/>
      <c r="E378" s="6"/>
      <c r="F378" s="2"/>
      <c r="G378" s="2"/>
      <c r="H378" s="5"/>
      <c r="I378" s="2"/>
      <c r="J378" s="2"/>
      <c r="K378" s="2"/>
      <c r="L378" s="2"/>
      <c r="M378" s="5"/>
      <c r="N378" s="2"/>
      <c r="O378" s="2"/>
    </row>
    <row r="379" spans="1:15">
      <c r="A379" s="12"/>
      <c r="B379" s="2"/>
      <c r="C379" s="2"/>
      <c r="D379" s="2"/>
      <c r="E379" s="6"/>
      <c r="F379" s="2"/>
      <c r="G379" s="2"/>
      <c r="H379" s="5"/>
      <c r="I379" s="2"/>
      <c r="J379" s="2"/>
      <c r="K379" s="2"/>
      <c r="L379" s="2"/>
      <c r="M379" s="5"/>
      <c r="N379" s="2"/>
      <c r="O379" s="2"/>
    </row>
    <row r="380" spans="1:15">
      <c r="A380" s="12"/>
      <c r="B380" s="2"/>
      <c r="C380" s="2"/>
      <c r="D380" s="2"/>
      <c r="E380" s="6"/>
      <c r="F380" s="2"/>
      <c r="G380" s="2"/>
      <c r="H380" s="5"/>
      <c r="I380" s="2"/>
      <c r="J380" s="2"/>
      <c r="K380" s="2"/>
      <c r="L380" s="2"/>
      <c r="M380" s="5"/>
      <c r="N380" s="2"/>
      <c r="O380" s="2"/>
    </row>
    <row r="381" spans="1:15">
      <c r="A381" s="12"/>
      <c r="B381" s="2"/>
      <c r="C381" s="2"/>
      <c r="D381" s="2"/>
      <c r="E381" s="6"/>
      <c r="F381" s="2"/>
      <c r="G381" s="2"/>
      <c r="H381" s="5"/>
      <c r="I381" s="2"/>
      <c r="J381" s="2"/>
      <c r="K381" s="2"/>
      <c r="L381" s="2"/>
      <c r="M381" s="5"/>
      <c r="N381" s="2"/>
      <c r="O381" s="2"/>
    </row>
    <row r="382" spans="1:15">
      <c r="A382" s="12"/>
      <c r="B382" s="2"/>
      <c r="C382" s="2"/>
      <c r="D382" s="2"/>
      <c r="E382" s="6"/>
      <c r="F382" s="2"/>
      <c r="G382" s="2"/>
      <c r="H382" s="5"/>
      <c r="I382" s="2"/>
      <c r="J382" s="2"/>
      <c r="K382" s="2"/>
      <c r="L382" s="2"/>
      <c r="M382" s="5"/>
      <c r="N382" s="2"/>
      <c r="O382" s="2"/>
    </row>
    <row r="383" spans="1:15">
      <c r="A383" s="12"/>
      <c r="B383" s="2"/>
      <c r="C383" s="2"/>
      <c r="D383" s="2"/>
      <c r="E383" s="6"/>
      <c r="F383" s="2"/>
      <c r="G383" s="2"/>
      <c r="H383" s="5"/>
      <c r="I383" s="2"/>
      <c r="J383" s="2"/>
      <c r="K383" s="2"/>
      <c r="L383" s="2"/>
      <c r="M383" s="5"/>
      <c r="N383" s="2"/>
      <c r="O383" s="2"/>
    </row>
    <row r="384" spans="1:15">
      <c r="A384" s="12"/>
      <c r="B384" s="2"/>
      <c r="C384" s="2"/>
      <c r="D384" s="2"/>
      <c r="E384" s="6"/>
      <c r="F384" s="2"/>
      <c r="G384" s="2"/>
      <c r="H384" s="5"/>
      <c r="I384" s="2"/>
      <c r="J384" s="2"/>
      <c r="K384" s="2"/>
      <c r="L384" s="2"/>
      <c r="M384" s="5"/>
      <c r="N384" s="2"/>
      <c r="O384" s="2"/>
    </row>
    <row r="385" spans="1:15">
      <c r="A385" s="12"/>
      <c r="B385" s="2"/>
      <c r="C385" s="2"/>
      <c r="D385" s="2"/>
      <c r="E385" s="6"/>
      <c r="F385" s="2"/>
      <c r="G385" s="2"/>
      <c r="H385" s="5"/>
      <c r="I385" s="2"/>
      <c r="J385" s="2"/>
      <c r="K385" s="2"/>
      <c r="L385" s="2"/>
      <c r="M385" s="5"/>
      <c r="N385" s="2"/>
      <c r="O385" s="2"/>
    </row>
    <row r="386" spans="1:15">
      <c r="A386" s="12"/>
      <c r="B386" s="2"/>
      <c r="C386" s="2"/>
      <c r="D386" s="2"/>
      <c r="E386" s="6"/>
      <c r="F386" s="2"/>
      <c r="G386" s="2"/>
      <c r="H386" s="5"/>
      <c r="I386" s="2"/>
      <c r="J386" s="2"/>
      <c r="K386" s="2"/>
      <c r="L386" s="2"/>
      <c r="M386" s="5"/>
      <c r="N386" s="2"/>
      <c r="O386" s="2"/>
    </row>
    <row r="387" spans="1:15">
      <c r="A387" s="12"/>
      <c r="B387" s="2"/>
      <c r="C387" s="2"/>
      <c r="D387" s="2"/>
      <c r="E387" s="6"/>
      <c r="F387" s="2"/>
      <c r="G387" s="2"/>
      <c r="H387" s="5"/>
      <c r="I387" s="2"/>
      <c r="J387" s="2"/>
      <c r="K387" s="2"/>
      <c r="L387" s="2"/>
      <c r="M387" s="5"/>
      <c r="N387" s="2"/>
      <c r="O387" s="2"/>
    </row>
    <row r="388" spans="1:15">
      <c r="A388" s="12"/>
      <c r="B388" s="2"/>
      <c r="C388" s="2"/>
      <c r="D388" s="2"/>
      <c r="E388" s="6"/>
      <c r="F388" s="2"/>
      <c r="G388" s="2"/>
      <c r="H388" s="5"/>
      <c r="I388" s="2"/>
      <c r="J388" s="2"/>
      <c r="K388" s="2"/>
      <c r="L388" s="2"/>
      <c r="M388" s="5"/>
      <c r="N388" s="2"/>
      <c r="O388" s="2"/>
    </row>
    <row r="389" spans="1:15">
      <c r="A389" s="12"/>
      <c r="B389" s="2"/>
      <c r="C389" s="2"/>
      <c r="D389" s="2"/>
      <c r="E389" s="6"/>
      <c r="F389" s="2"/>
      <c r="G389" s="2"/>
      <c r="H389" s="5"/>
      <c r="I389" s="2"/>
      <c r="J389" s="2"/>
      <c r="K389" s="2"/>
      <c r="L389" s="2"/>
      <c r="M389" s="5"/>
      <c r="N389" s="2"/>
      <c r="O389" s="2"/>
    </row>
    <row r="390" spans="1:15">
      <c r="A390" s="12"/>
      <c r="B390" s="2"/>
      <c r="C390" s="2"/>
      <c r="D390" s="2"/>
      <c r="E390" s="6"/>
      <c r="F390" s="2"/>
      <c r="G390" s="2"/>
      <c r="H390" s="5"/>
      <c r="I390" s="2"/>
      <c r="J390" s="2"/>
      <c r="K390" s="2"/>
      <c r="L390" s="2"/>
      <c r="M390" s="5"/>
      <c r="N390" s="2"/>
      <c r="O390" s="2"/>
    </row>
    <row r="391" spans="1:15">
      <c r="A391" s="12"/>
      <c r="B391" s="2"/>
      <c r="C391" s="2"/>
      <c r="D391" s="2"/>
      <c r="E391" s="6"/>
      <c r="F391" s="2"/>
      <c r="G391" s="2"/>
      <c r="H391" s="5"/>
      <c r="I391" s="2"/>
      <c r="J391" s="2"/>
      <c r="K391" s="2"/>
      <c r="L391" s="2"/>
      <c r="M391" s="5"/>
      <c r="N391" s="2"/>
      <c r="O391" s="2"/>
    </row>
    <row r="392" spans="1:15">
      <c r="A392" s="12"/>
      <c r="B392" s="2"/>
      <c r="C392" s="2"/>
      <c r="D392" s="2"/>
      <c r="E392" s="6"/>
      <c r="F392" s="2"/>
      <c r="G392" s="2"/>
      <c r="H392" s="5"/>
      <c r="I392" s="2"/>
      <c r="J392" s="2"/>
      <c r="K392" s="2"/>
      <c r="L392" s="2"/>
      <c r="M392" s="5"/>
      <c r="N392" s="2"/>
      <c r="O392" s="2"/>
    </row>
    <row r="393" spans="1:15">
      <c r="A393" s="12"/>
      <c r="B393" s="2"/>
      <c r="C393" s="2"/>
      <c r="D393" s="2"/>
      <c r="E393" s="6"/>
      <c r="F393" s="2"/>
      <c r="G393" s="2"/>
      <c r="H393" s="5"/>
      <c r="I393" s="2"/>
      <c r="J393" s="2"/>
      <c r="K393" s="2"/>
      <c r="L393" s="2"/>
      <c r="M393" s="5"/>
      <c r="N393" s="2"/>
      <c r="O393" s="2"/>
    </row>
    <row r="394" spans="1:15">
      <c r="A394" s="12"/>
      <c r="B394" s="2"/>
      <c r="C394" s="2"/>
      <c r="D394" s="2"/>
      <c r="E394" s="6"/>
      <c r="F394" s="2"/>
      <c r="G394" s="2"/>
      <c r="H394" s="5"/>
      <c r="I394" s="2"/>
      <c r="J394" s="2"/>
      <c r="K394" s="2"/>
      <c r="L394" s="2"/>
      <c r="M394" s="5"/>
      <c r="N394" s="2"/>
      <c r="O394" s="2"/>
    </row>
    <row r="395" spans="1:15">
      <c r="A395" s="12"/>
      <c r="B395" s="2"/>
      <c r="C395" s="2"/>
      <c r="D395" s="2"/>
      <c r="E395" s="6"/>
      <c r="F395" s="2"/>
      <c r="G395" s="2"/>
      <c r="H395" s="5"/>
      <c r="I395" s="2"/>
      <c r="J395" s="2"/>
      <c r="K395" s="2"/>
      <c r="L395" s="2"/>
      <c r="M395" s="5"/>
      <c r="N395" s="2"/>
      <c r="O395" s="2"/>
    </row>
    <row r="396" spans="1:15">
      <c r="A396" s="12"/>
      <c r="B396" s="2"/>
      <c r="C396" s="2"/>
      <c r="D396" s="2"/>
      <c r="E396" s="6"/>
      <c r="F396" s="2"/>
      <c r="G396" s="2"/>
      <c r="H396" s="5"/>
      <c r="I396" s="2"/>
      <c r="J396" s="2"/>
      <c r="K396" s="2"/>
      <c r="L396" s="2"/>
      <c r="M396" s="5"/>
      <c r="N396" s="2"/>
      <c r="O396" s="2"/>
    </row>
    <row r="397" spans="1:15">
      <c r="A397" s="12"/>
      <c r="B397" s="2"/>
      <c r="C397" s="2"/>
      <c r="D397" s="2"/>
      <c r="E397" s="6"/>
      <c r="F397" s="2"/>
      <c r="G397" s="2"/>
      <c r="H397" s="5"/>
      <c r="I397" s="2"/>
      <c r="J397" s="2"/>
      <c r="K397" s="2"/>
      <c r="L397" s="2"/>
      <c r="M397" s="5"/>
      <c r="N397" s="2"/>
      <c r="O397" s="2"/>
    </row>
    <row r="398" spans="1:15">
      <c r="A398" s="12"/>
      <c r="B398" s="2"/>
      <c r="C398" s="2"/>
      <c r="D398" s="2"/>
      <c r="E398" s="6"/>
      <c r="F398" s="2"/>
      <c r="G398" s="2"/>
      <c r="H398" s="5"/>
      <c r="I398" s="2"/>
      <c r="J398" s="2"/>
      <c r="K398" s="2"/>
      <c r="L398" s="2"/>
      <c r="M398" s="5"/>
      <c r="N398" s="2"/>
      <c r="O398" s="2"/>
    </row>
    <row r="399" spans="1:15">
      <c r="A399" s="12"/>
      <c r="B399" s="2"/>
      <c r="C399" s="2"/>
      <c r="D399" s="2"/>
      <c r="E399" s="6"/>
      <c r="F399" s="2"/>
      <c r="G399" s="2"/>
      <c r="H399" s="5"/>
      <c r="I399" s="2"/>
      <c r="J399" s="2"/>
      <c r="K399" s="2"/>
      <c r="L399" s="2"/>
      <c r="M399" s="5"/>
      <c r="N399" s="2"/>
      <c r="O399" s="2"/>
    </row>
    <row r="400" spans="1:15">
      <c r="A400" s="12"/>
      <c r="B400" s="2"/>
      <c r="C400" s="2"/>
      <c r="D400" s="2"/>
      <c r="E400" s="6"/>
      <c r="F400" s="2"/>
      <c r="G400" s="2"/>
      <c r="H400" s="5"/>
      <c r="I400" s="2"/>
      <c r="J400" s="2"/>
      <c r="K400" s="2"/>
      <c r="L400" s="2"/>
      <c r="M400" s="5"/>
      <c r="N400" s="2"/>
      <c r="O400" s="2"/>
    </row>
    <row r="401" spans="1:15">
      <c r="A401" s="12"/>
      <c r="B401" s="2"/>
      <c r="C401" s="2"/>
      <c r="D401" s="2"/>
      <c r="E401" s="6"/>
      <c r="F401" s="2"/>
      <c r="G401" s="2"/>
      <c r="H401" s="5"/>
      <c r="I401" s="2"/>
      <c r="J401" s="2"/>
      <c r="K401" s="2"/>
      <c r="L401" s="2"/>
      <c r="M401" s="5"/>
      <c r="N401" s="2"/>
      <c r="O401" s="2"/>
    </row>
    <row r="402" spans="1:15">
      <c r="A402" s="12"/>
      <c r="B402" s="2"/>
      <c r="C402" s="2"/>
      <c r="D402" s="2"/>
      <c r="E402" s="6"/>
      <c r="F402" s="2"/>
      <c r="G402" s="2"/>
      <c r="H402" s="5"/>
      <c r="I402" s="2"/>
      <c r="J402" s="2"/>
      <c r="K402" s="2"/>
      <c r="L402" s="2"/>
      <c r="M402" s="5"/>
      <c r="N402" s="2"/>
      <c r="O402" s="2"/>
    </row>
    <row r="403" spans="1:15">
      <c r="A403" s="12"/>
      <c r="B403" s="2"/>
      <c r="C403" s="2"/>
      <c r="D403" s="2"/>
      <c r="E403" s="6"/>
      <c r="F403" s="2"/>
      <c r="G403" s="2"/>
      <c r="H403" s="5"/>
      <c r="I403" s="2"/>
      <c r="J403" s="2"/>
      <c r="K403" s="2"/>
      <c r="L403" s="2"/>
      <c r="M403" s="5"/>
      <c r="N403" s="2"/>
      <c r="O403" s="2"/>
    </row>
    <row r="404" spans="1:15">
      <c r="A404" s="12"/>
      <c r="B404" s="2"/>
      <c r="C404" s="2"/>
      <c r="D404" s="2"/>
      <c r="E404" s="6"/>
      <c r="F404" s="2"/>
      <c r="G404" s="2"/>
      <c r="H404" s="5"/>
      <c r="I404" s="2"/>
      <c r="J404" s="2"/>
      <c r="K404" s="2"/>
      <c r="L404" s="2"/>
      <c r="M404" s="5"/>
      <c r="N404" s="2"/>
      <c r="O404" s="2"/>
    </row>
    <row r="405" spans="1:15">
      <c r="A405" s="12"/>
      <c r="B405" s="2"/>
      <c r="C405" s="2"/>
      <c r="D405" s="2"/>
      <c r="E405" s="6"/>
      <c r="F405" s="2"/>
      <c r="G405" s="2"/>
      <c r="H405" s="5"/>
      <c r="I405" s="2"/>
      <c r="J405" s="2"/>
      <c r="K405" s="2"/>
      <c r="L405" s="2"/>
      <c r="M405" s="5"/>
      <c r="N405" s="2"/>
      <c r="O405" s="2"/>
    </row>
    <row r="406" spans="1:15">
      <c r="A406" s="12"/>
      <c r="B406" s="2"/>
      <c r="C406" s="2"/>
      <c r="D406" s="2"/>
      <c r="E406" s="6"/>
      <c r="F406" s="2"/>
      <c r="G406" s="2"/>
      <c r="H406" s="5"/>
      <c r="I406" s="2"/>
      <c r="J406" s="2"/>
      <c r="K406" s="2"/>
      <c r="L406" s="2"/>
      <c r="M406" s="5"/>
      <c r="N406" s="2"/>
      <c r="O406" s="2"/>
    </row>
    <row r="407" spans="1:15">
      <c r="A407" s="12"/>
      <c r="B407" s="2"/>
      <c r="C407" s="2"/>
      <c r="D407" s="2"/>
      <c r="E407" s="6"/>
      <c r="F407" s="2"/>
      <c r="G407" s="2"/>
      <c r="H407" s="5"/>
      <c r="I407" s="2"/>
      <c r="J407" s="2"/>
      <c r="K407" s="2"/>
      <c r="L407" s="2"/>
      <c r="M407" s="5"/>
      <c r="N407" s="2"/>
      <c r="O407" s="2"/>
    </row>
    <row r="408" spans="1:15">
      <c r="A408" s="12"/>
      <c r="B408" s="2"/>
      <c r="C408" s="2"/>
      <c r="D408" s="2"/>
      <c r="E408" s="6"/>
      <c r="F408" s="2"/>
      <c r="G408" s="2"/>
      <c r="H408" s="5"/>
      <c r="I408" s="2"/>
      <c r="J408" s="2"/>
      <c r="K408" s="2"/>
      <c r="L408" s="2"/>
      <c r="M408" s="5"/>
      <c r="N408" s="2"/>
      <c r="O408" s="2"/>
    </row>
    <row r="409" spans="1:15">
      <c r="A409" s="12"/>
      <c r="B409" s="2"/>
      <c r="C409" s="2"/>
      <c r="D409" s="2"/>
      <c r="E409" s="6"/>
      <c r="F409" s="2"/>
      <c r="G409" s="2"/>
      <c r="H409" s="5"/>
      <c r="I409" s="2"/>
      <c r="J409" s="2"/>
      <c r="K409" s="2"/>
      <c r="L409" s="2"/>
      <c r="M409" s="5"/>
      <c r="N409" s="2"/>
      <c r="O409" s="2"/>
    </row>
    <row r="410" spans="1:15">
      <c r="A410" s="12"/>
      <c r="B410" s="2"/>
      <c r="C410" s="2"/>
      <c r="D410" s="2"/>
      <c r="E410" s="6"/>
      <c r="F410" s="2"/>
      <c r="G410" s="2"/>
      <c r="H410" s="5"/>
      <c r="I410" s="2"/>
      <c r="J410" s="2"/>
      <c r="K410" s="2"/>
      <c r="L410" s="2"/>
      <c r="M410" s="5"/>
      <c r="N410" s="2"/>
      <c r="O410" s="2"/>
    </row>
    <row r="411" spans="1:15">
      <c r="A411" s="12"/>
      <c r="B411" s="2"/>
      <c r="C411" s="2"/>
      <c r="D411" s="2"/>
      <c r="E411" s="6"/>
      <c r="F411" s="2"/>
      <c r="G411" s="2"/>
      <c r="H411" s="5"/>
      <c r="I411" s="2"/>
      <c r="J411" s="2"/>
      <c r="K411" s="2"/>
      <c r="L411" s="2"/>
      <c r="M411" s="5"/>
      <c r="N411" s="2"/>
      <c r="O411" s="2"/>
    </row>
    <row r="412" spans="1:15">
      <c r="A412" s="12"/>
      <c r="B412" s="2"/>
      <c r="C412" s="2"/>
      <c r="D412" s="2"/>
      <c r="E412" s="6"/>
      <c r="F412" s="2"/>
      <c r="G412" s="2"/>
      <c r="H412" s="5"/>
      <c r="I412" s="2"/>
      <c r="J412" s="2"/>
      <c r="K412" s="2"/>
      <c r="L412" s="2"/>
      <c r="M412" s="5"/>
      <c r="N412" s="2"/>
      <c r="O412" s="2"/>
    </row>
    <row r="413" spans="1:15">
      <c r="A413" s="12"/>
      <c r="B413" s="2"/>
      <c r="C413" s="2"/>
      <c r="D413" s="2"/>
      <c r="E413" s="6"/>
      <c r="F413" s="2"/>
      <c r="G413" s="2"/>
      <c r="H413" s="5"/>
      <c r="I413" s="2"/>
      <c r="J413" s="2"/>
      <c r="K413" s="2"/>
      <c r="L413" s="2"/>
      <c r="M413" s="5"/>
      <c r="N413" s="2"/>
      <c r="O413" s="2"/>
    </row>
    <row r="414" spans="1:15">
      <c r="A414" s="12"/>
      <c r="B414" s="2"/>
      <c r="C414" s="2"/>
      <c r="D414" s="2"/>
      <c r="E414" s="6"/>
      <c r="F414" s="2"/>
      <c r="G414" s="2"/>
      <c r="H414" s="5"/>
      <c r="I414" s="2"/>
      <c r="J414" s="2"/>
      <c r="K414" s="2"/>
      <c r="L414" s="2"/>
      <c r="M414" s="5"/>
      <c r="N414" s="2"/>
      <c r="O414" s="2"/>
    </row>
    <row r="415" spans="1:15">
      <c r="A415" s="12"/>
      <c r="B415" s="2"/>
      <c r="C415" s="2"/>
      <c r="D415" s="2"/>
      <c r="E415" s="6"/>
      <c r="F415" s="2"/>
      <c r="G415" s="2"/>
      <c r="H415" s="5"/>
      <c r="I415" s="2"/>
      <c r="J415" s="2"/>
      <c r="K415" s="2"/>
      <c r="L415" s="2"/>
      <c r="M415" s="5"/>
      <c r="N415" s="2"/>
      <c r="O415" s="2"/>
    </row>
    <row r="416" spans="1:15">
      <c r="A416" s="12"/>
      <c r="B416" s="2"/>
      <c r="C416" s="2"/>
      <c r="D416" s="2"/>
      <c r="E416" s="6"/>
      <c r="F416" s="2"/>
      <c r="G416" s="2"/>
      <c r="H416" s="5"/>
      <c r="I416" s="2"/>
      <c r="J416" s="2"/>
      <c r="K416" s="2"/>
      <c r="L416" s="2"/>
      <c r="M416" s="5"/>
      <c r="N416" s="2"/>
      <c r="O416" s="2"/>
    </row>
    <row r="417" spans="1:15">
      <c r="A417" s="12"/>
      <c r="B417" s="2"/>
      <c r="C417" s="2"/>
      <c r="D417" s="2"/>
      <c r="E417" s="6"/>
      <c r="F417" s="2"/>
      <c r="G417" s="2"/>
      <c r="H417" s="5"/>
      <c r="I417" s="2"/>
      <c r="J417" s="2"/>
      <c r="K417" s="2"/>
      <c r="L417" s="2"/>
      <c r="M417" s="5"/>
      <c r="N417" s="2"/>
      <c r="O417" s="2"/>
    </row>
    <row r="418" spans="1:15">
      <c r="A418" s="12"/>
      <c r="B418" s="2"/>
      <c r="C418" s="2"/>
      <c r="D418" s="2"/>
      <c r="E418" s="6"/>
      <c r="F418" s="2"/>
      <c r="G418" s="2"/>
      <c r="H418" s="5"/>
      <c r="I418" s="2"/>
      <c r="J418" s="2"/>
      <c r="K418" s="2"/>
      <c r="L418" s="2"/>
      <c r="M418" s="5"/>
      <c r="N418" s="2"/>
      <c r="O418" s="2"/>
    </row>
    <row r="419" spans="1:15">
      <c r="A419" s="12"/>
      <c r="B419" s="2"/>
      <c r="C419" s="2"/>
      <c r="D419" s="2"/>
      <c r="E419" s="6"/>
      <c r="F419" s="2"/>
      <c r="G419" s="2"/>
      <c r="H419" s="5"/>
      <c r="I419" s="2"/>
      <c r="J419" s="2"/>
      <c r="K419" s="2"/>
      <c r="L419" s="2"/>
      <c r="M419" s="5"/>
      <c r="N419" s="2"/>
      <c r="O419" s="2"/>
    </row>
    <row r="420" spans="1:15">
      <c r="A420" s="12"/>
      <c r="B420" s="2"/>
      <c r="C420" s="2"/>
      <c r="D420" s="2"/>
      <c r="E420" s="6"/>
      <c r="F420" s="2"/>
      <c r="G420" s="2"/>
      <c r="H420" s="5"/>
      <c r="I420" s="2"/>
      <c r="J420" s="2"/>
      <c r="K420" s="2"/>
      <c r="L420" s="2"/>
      <c r="M420" s="5"/>
      <c r="N420" s="2"/>
      <c r="O420" s="2"/>
    </row>
    <row r="421" spans="1:15">
      <c r="A421" s="12"/>
      <c r="B421" s="2"/>
      <c r="C421" s="2"/>
      <c r="D421" s="2"/>
      <c r="E421" s="6"/>
      <c r="F421" s="2"/>
      <c r="G421" s="2"/>
      <c r="H421" s="5"/>
      <c r="I421" s="2"/>
      <c r="J421" s="2"/>
      <c r="K421" s="2"/>
      <c r="L421" s="2"/>
      <c r="M421" s="5"/>
      <c r="N421" s="2"/>
      <c r="O421" s="2"/>
    </row>
    <row r="422" spans="1:15">
      <c r="A422" s="12"/>
      <c r="B422" s="2"/>
      <c r="C422" s="2"/>
      <c r="D422" s="2"/>
      <c r="E422" s="6"/>
      <c r="F422" s="2"/>
      <c r="G422" s="2"/>
      <c r="H422" s="5"/>
      <c r="I422" s="2"/>
      <c r="J422" s="2"/>
      <c r="K422" s="2"/>
      <c r="L422" s="2"/>
      <c r="M422" s="5"/>
      <c r="N422" s="2"/>
      <c r="O422" s="2"/>
    </row>
    <row r="423" spans="1:15">
      <c r="A423" s="12"/>
      <c r="B423" s="2"/>
      <c r="C423" s="2"/>
      <c r="D423" s="2"/>
      <c r="E423" s="6"/>
      <c r="F423" s="2"/>
      <c r="G423" s="2"/>
      <c r="H423" s="5"/>
      <c r="I423" s="2"/>
      <c r="J423" s="2"/>
      <c r="K423" s="2"/>
      <c r="L423" s="2"/>
      <c r="M423" s="5"/>
      <c r="N423" s="2"/>
      <c r="O423" s="2"/>
    </row>
    <row r="424" spans="1:15">
      <c r="A424" s="12"/>
      <c r="B424" s="2"/>
      <c r="C424" s="2"/>
      <c r="D424" s="2"/>
      <c r="E424" s="6"/>
      <c r="F424" s="2"/>
      <c r="G424" s="2"/>
      <c r="H424" s="5"/>
      <c r="I424" s="2"/>
      <c r="J424" s="2"/>
      <c r="K424" s="2"/>
      <c r="L424" s="2"/>
      <c r="M424" s="5"/>
      <c r="N424" s="2"/>
      <c r="O424" s="2"/>
    </row>
    <row r="425" spans="1:15">
      <c r="A425" s="12"/>
      <c r="B425" s="2"/>
      <c r="C425" s="2"/>
      <c r="D425" s="2"/>
      <c r="E425" s="6"/>
      <c r="F425" s="2"/>
      <c r="G425" s="2"/>
      <c r="H425" s="5"/>
      <c r="I425" s="2"/>
      <c r="J425" s="2"/>
      <c r="K425" s="2"/>
      <c r="L425" s="2"/>
      <c r="M425" s="5"/>
      <c r="N425" s="2"/>
      <c r="O425" s="2"/>
    </row>
    <row r="426" spans="1:15">
      <c r="A426" s="12"/>
      <c r="B426" s="2"/>
      <c r="C426" s="2"/>
      <c r="D426" s="2"/>
      <c r="E426" s="6"/>
      <c r="F426" s="2"/>
      <c r="G426" s="2"/>
      <c r="H426" s="5"/>
      <c r="I426" s="2"/>
      <c r="J426" s="2"/>
      <c r="K426" s="2"/>
      <c r="L426" s="2"/>
      <c r="M426" s="5"/>
      <c r="N426" s="2"/>
      <c r="O426" s="2"/>
    </row>
    <row r="427" spans="1:15">
      <c r="A427" s="12"/>
      <c r="B427" s="2"/>
      <c r="C427" s="2"/>
      <c r="D427" s="2"/>
      <c r="E427" s="6"/>
      <c r="F427" s="2"/>
      <c r="G427" s="2"/>
      <c r="H427" s="5"/>
      <c r="I427" s="2"/>
      <c r="J427" s="2"/>
      <c r="K427" s="2"/>
      <c r="L427" s="2"/>
      <c r="M427" s="5"/>
      <c r="N427" s="2"/>
      <c r="O427" s="2"/>
    </row>
    <row r="428" spans="1:15">
      <c r="A428" s="12"/>
      <c r="B428" s="2"/>
      <c r="C428" s="2"/>
      <c r="D428" s="2"/>
      <c r="E428" s="6"/>
      <c r="F428" s="2"/>
      <c r="G428" s="2"/>
      <c r="H428" s="5"/>
      <c r="I428" s="2"/>
      <c r="J428" s="2"/>
      <c r="K428" s="2"/>
      <c r="L428" s="2"/>
      <c r="M428" s="5"/>
      <c r="N428" s="2"/>
      <c r="O428" s="2"/>
    </row>
    <row r="429" spans="1:15">
      <c r="A429" s="12"/>
      <c r="B429" s="2"/>
      <c r="C429" s="2"/>
      <c r="D429" s="2"/>
      <c r="E429" s="6"/>
      <c r="F429" s="2"/>
      <c r="G429" s="2"/>
      <c r="H429" s="5"/>
      <c r="I429" s="2"/>
      <c r="J429" s="2"/>
      <c r="K429" s="2"/>
      <c r="L429" s="2"/>
      <c r="M429" s="5"/>
      <c r="N429" s="2"/>
      <c r="O429" s="2"/>
    </row>
    <row r="430" spans="1:15">
      <c r="A430" s="12"/>
      <c r="B430" s="2"/>
      <c r="C430" s="2"/>
      <c r="D430" s="2"/>
      <c r="E430" s="6"/>
      <c r="F430" s="2"/>
      <c r="G430" s="2"/>
      <c r="H430" s="5"/>
      <c r="I430" s="2"/>
      <c r="J430" s="2"/>
      <c r="K430" s="2"/>
      <c r="L430" s="2"/>
      <c r="M430" s="5"/>
      <c r="N430" s="2"/>
      <c r="O430" s="2"/>
    </row>
    <row r="431" spans="1:15">
      <c r="A431" s="12"/>
      <c r="B431" s="2"/>
      <c r="C431" s="2"/>
      <c r="D431" s="2"/>
      <c r="E431" s="6"/>
      <c r="F431" s="2"/>
      <c r="G431" s="2"/>
      <c r="H431" s="5"/>
      <c r="I431" s="2"/>
      <c r="J431" s="2"/>
      <c r="K431" s="2"/>
      <c r="L431" s="2"/>
      <c r="M431" s="5"/>
      <c r="N431" s="2"/>
      <c r="O431" s="2"/>
    </row>
    <row r="432" spans="1:15">
      <c r="A432" s="12"/>
      <c r="B432" s="2"/>
      <c r="C432" s="2"/>
      <c r="D432" s="2"/>
      <c r="E432" s="6"/>
      <c r="F432" s="2"/>
      <c r="G432" s="2"/>
      <c r="H432" s="5"/>
      <c r="I432" s="2"/>
      <c r="J432" s="2"/>
      <c r="K432" s="2"/>
      <c r="L432" s="2"/>
      <c r="M432" s="5"/>
      <c r="N432" s="2"/>
      <c r="O432" s="2"/>
    </row>
    <row r="433" spans="1:15">
      <c r="A433" s="12"/>
      <c r="B433" s="2"/>
      <c r="C433" s="2"/>
      <c r="D433" s="2"/>
      <c r="E433" s="6"/>
      <c r="F433" s="2"/>
      <c r="G433" s="2"/>
      <c r="H433" s="5"/>
      <c r="I433" s="2"/>
      <c r="J433" s="2"/>
      <c r="K433" s="2"/>
      <c r="L433" s="2"/>
      <c r="M433" s="5"/>
      <c r="N433" s="2"/>
      <c r="O433" s="2"/>
    </row>
    <row r="434" spans="1:15">
      <c r="A434" s="12"/>
      <c r="B434" s="2"/>
      <c r="C434" s="2"/>
      <c r="D434" s="2"/>
      <c r="E434" s="6"/>
      <c r="F434" s="2"/>
      <c r="G434" s="2"/>
      <c r="H434" s="5"/>
      <c r="I434" s="2"/>
      <c r="J434" s="2"/>
      <c r="K434" s="2"/>
      <c r="L434" s="2"/>
      <c r="M434" s="5"/>
      <c r="N434" s="2"/>
      <c r="O434" s="2"/>
    </row>
    <row r="435" spans="1:15">
      <c r="A435" s="12"/>
      <c r="B435" s="2"/>
      <c r="C435" s="2"/>
      <c r="D435" s="2"/>
      <c r="E435" s="6"/>
      <c r="F435" s="2"/>
      <c r="G435" s="2"/>
      <c r="H435" s="5"/>
      <c r="I435" s="2"/>
      <c r="J435" s="2"/>
      <c r="K435" s="2"/>
      <c r="L435" s="2"/>
      <c r="M435" s="5"/>
      <c r="N435" s="2"/>
      <c r="O435" s="2"/>
    </row>
    <row r="436" spans="1:15">
      <c r="A436" s="12"/>
      <c r="B436" s="2"/>
      <c r="C436" s="2"/>
      <c r="D436" s="2"/>
      <c r="E436" s="6"/>
      <c r="F436" s="2"/>
      <c r="G436" s="2"/>
      <c r="H436" s="5"/>
      <c r="I436" s="2"/>
      <c r="J436" s="2"/>
      <c r="K436" s="2"/>
      <c r="L436" s="2"/>
      <c r="M436" s="5"/>
      <c r="N436" s="2"/>
      <c r="O436" s="2"/>
    </row>
    <row r="437" spans="1:15">
      <c r="A437" s="12"/>
      <c r="B437" s="2"/>
      <c r="C437" s="2"/>
      <c r="D437" s="2"/>
      <c r="E437" s="6"/>
      <c r="F437" s="2"/>
      <c r="G437" s="2"/>
      <c r="H437" s="5"/>
      <c r="I437" s="2"/>
      <c r="J437" s="2"/>
      <c r="K437" s="2"/>
      <c r="L437" s="2"/>
      <c r="M437" s="5"/>
      <c r="N437" s="2"/>
      <c r="O437" s="2"/>
    </row>
    <row r="438" spans="1:15">
      <c r="A438" s="12"/>
      <c r="B438" s="2"/>
      <c r="C438" s="2"/>
      <c r="D438" s="2"/>
      <c r="E438" s="6"/>
      <c r="F438" s="2"/>
      <c r="G438" s="2"/>
      <c r="H438" s="5"/>
      <c r="I438" s="2"/>
      <c r="J438" s="2"/>
      <c r="K438" s="2"/>
      <c r="L438" s="2"/>
      <c r="M438" s="5"/>
      <c r="N438" s="2"/>
      <c r="O438" s="2"/>
    </row>
    <row r="439" spans="1:15">
      <c r="A439" s="12"/>
      <c r="B439" s="2"/>
      <c r="C439" s="2"/>
      <c r="D439" s="2"/>
      <c r="E439" s="6"/>
      <c r="F439" s="2"/>
      <c r="G439" s="2"/>
      <c r="H439" s="5"/>
      <c r="I439" s="2"/>
      <c r="J439" s="2"/>
      <c r="K439" s="2"/>
      <c r="L439" s="2"/>
      <c r="M439" s="5"/>
      <c r="N439" s="2"/>
      <c r="O439" s="2"/>
    </row>
    <row r="440" spans="1:15">
      <c r="A440" s="12"/>
      <c r="B440" s="2"/>
      <c r="C440" s="2"/>
      <c r="D440" s="2"/>
      <c r="E440" s="6"/>
      <c r="F440" s="2"/>
      <c r="G440" s="2"/>
      <c r="H440" s="5"/>
      <c r="I440" s="2"/>
      <c r="J440" s="2"/>
      <c r="K440" s="2"/>
      <c r="L440" s="2"/>
      <c r="M440" s="5"/>
      <c r="N440" s="2"/>
      <c r="O440" s="2"/>
    </row>
    <row r="441" spans="1:15">
      <c r="A441" s="12"/>
      <c r="B441" s="2"/>
      <c r="C441" s="2"/>
      <c r="D441" s="2"/>
      <c r="E441" s="6"/>
      <c r="F441" s="2"/>
      <c r="G441" s="2"/>
      <c r="H441" s="5"/>
      <c r="I441" s="2"/>
      <c r="J441" s="2"/>
      <c r="K441" s="2"/>
      <c r="L441" s="2"/>
      <c r="M441" s="5"/>
      <c r="N441" s="2"/>
      <c r="O441" s="2"/>
    </row>
    <row r="442" spans="1:15">
      <c r="A442" s="12"/>
      <c r="B442" s="2"/>
      <c r="C442" s="2"/>
      <c r="D442" s="2"/>
      <c r="E442" s="6"/>
      <c r="F442" s="2"/>
      <c r="G442" s="2"/>
      <c r="H442" s="5"/>
      <c r="I442" s="2"/>
      <c r="J442" s="2"/>
      <c r="K442" s="2"/>
      <c r="L442" s="2"/>
      <c r="M442" s="5"/>
      <c r="N442" s="2"/>
      <c r="O442" s="2"/>
    </row>
    <row r="443" spans="1:15">
      <c r="A443" s="12"/>
      <c r="B443" s="2"/>
      <c r="C443" s="2"/>
      <c r="D443" s="2"/>
      <c r="E443" s="6"/>
      <c r="F443" s="2"/>
      <c r="G443" s="2"/>
      <c r="H443" s="5"/>
      <c r="I443" s="2"/>
      <c r="J443" s="2"/>
      <c r="K443" s="2"/>
      <c r="L443" s="2"/>
      <c r="M443" s="5"/>
      <c r="N443" s="2"/>
      <c r="O443" s="2"/>
    </row>
    <row r="444" spans="1:15">
      <c r="A444" s="12"/>
      <c r="B444" s="2"/>
      <c r="C444" s="2"/>
      <c r="D444" s="2"/>
      <c r="E444" s="6"/>
      <c r="F444" s="2"/>
      <c r="G444" s="2"/>
      <c r="H444" s="5"/>
      <c r="I444" s="2"/>
      <c r="J444" s="2"/>
      <c r="K444" s="2"/>
      <c r="L444" s="2"/>
      <c r="M444" s="5"/>
      <c r="N444" s="2"/>
      <c r="O444" s="2"/>
    </row>
    <row r="445" spans="1:15">
      <c r="A445" s="12"/>
      <c r="B445" s="2"/>
      <c r="C445" s="2"/>
      <c r="D445" s="2"/>
      <c r="E445" s="6"/>
      <c r="F445" s="2"/>
      <c r="G445" s="2"/>
      <c r="H445" s="5"/>
      <c r="I445" s="2"/>
      <c r="J445" s="2"/>
      <c r="K445" s="2"/>
      <c r="L445" s="2"/>
      <c r="M445" s="5"/>
      <c r="N445" s="2"/>
      <c r="O445" s="2"/>
    </row>
    <row r="446" spans="1:15">
      <c r="A446" s="12"/>
      <c r="B446" s="2"/>
      <c r="C446" s="2"/>
      <c r="D446" s="2"/>
      <c r="E446" s="6"/>
      <c r="F446" s="2"/>
      <c r="G446" s="2"/>
      <c r="H446" s="5"/>
      <c r="I446" s="2"/>
      <c r="J446" s="2"/>
      <c r="K446" s="2"/>
      <c r="L446" s="2"/>
      <c r="M446" s="5"/>
      <c r="N446" s="2"/>
      <c r="O446" s="2"/>
    </row>
    <row r="447" spans="1:15">
      <c r="A447" s="12"/>
      <c r="B447" s="2"/>
      <c r="C447" s="2"/>
      <c r="D447" s="2"/>
      <c r="E447" s="6"/>
      <c r="F447" s="2"/>
      <c r="G447" s="2"/>
      <c r="H447" s="5"/>
      <c r="I447" s="2"/>
      <c r="J447" s="2"/>
      <c r="K447" s="2"/>
      <c r="L447" s="2"/>
      <c r="M447" s="5"/>
      <c r="N447" s="2"/>
      <c r="O447" s="2"/>
    </row>
    <row r="448" spans="1:15">
      <c r="A448" s="12"/>
      <c r="B448" s="2"/>
      <c r="C448" s="2"/>
      <c r="D448" s="2"/>
      <c r="E448" s="6"/>
      <c r="F448" s="2"/>
      <c r="G448" s="2"/>
      <c r="H448" s="5"/>
      <c r="I448" s="2"/>
      <c r="J448" s="2"/>
      <c r="K448" s="2"/>
      <c r="L448" s="2"/>
      <c r="M448" s="5"/>
      <c r="N448" s="2"/>
      <c r="O448" s="2"/>
    </row>
    <row r="449" spans="1:15">
      <c r="A449" s="12"/>
      <c r="B449" s="2"/>
      <c r="C449" s="2"/>
      <c r="D449" s="2"/>
      <c r="E449" s="6"/>
      <c r="F449" s="2"/>
      <c r="G449" s="2"/>
      <c r="H449" s="5"/>
      <c r="I449" s="2"/>
      <c r="J449" s="2"/>
      <c r="K449" s="2"/>
      <c r="L449" s="2"/>
      <c r="M449" s="5"/>
      <c r="N449" s="2"/>
      <c r="O449" s="2"/>
    </row>
    <row r="450" spans="1:15">
      <c r="A450" s="12"/>
      <c r="B450" s="2"/>
      <c r="C450" s="2"/>
      <c r="D450" s="2"/>
      <c r="E450" s="6"/>
      <c r="F450" s="2"/>
      <c r="G450" s="2"/>
      <c r="H450" s="5"/>
      <c r="I450" s="2"/>
      <c r="J450" s="2"/>
      <c r="K450" s="2"/>
      <c r="L450" s="2"/>
      <c r="M450" s="5"/>
      <c r="N450" s="2"/>
      <c r="O450" s="2"/>
    </row>
    <row r="451" spans="1:15">
      <c r="A451" s="12"/>
      <c r="B451" s="2"/>
      <c r="C451" s="2"/>
      <c r="D451" s="2"/>
      <c r="E451" s="6"/>
      <c r="F451" s="2"/>
      <c r="G451" s="2"/>
      <c r="H451" s="5"/>
      <c r="I451" s="2"/>
      <c r="J451" s="2"/>
      <c r="K451" s="2"/>
      <c r="L451" s="2"/>
      <c r="M451" s="5"/>
      <c r="N451" s="2"/>
      <c r="O451" s="2"/>
    </row>
    <row r="452" spans="1:15">
      <c r="A452" s="12"/>
      <c r="B452" s="2"/>
      <c r="C452" s="2"/>
      <c r="D452" s="2"/>
      <c r="E452" s="6"/>
      <c r="F452" s="2"/>
      <c r="G452" s="2"/>
      <c r="H452" s="5"/>
      <c r="I452" s="2"/>
      <c r="J452" s="2"/>
      <c r="K452" s="2"/>
      <c r="L452" s="2"/>
      <c r="M452" s="5"/>
      <c r="N452" s="2"/>
      <c r="O452" s="2"/>
    </row>
    <row r="453" spans="1:15">
      <c r="A453" s="12"/>
      <c r="B453" s="2"/>
      <c r="C453" s="2"/>
      <c r="D453" s="2"/>
      <c r="E453" s="6"/>
      <c r="F453" s="2"/>
      <c r="G453" s="2"/>
      <c r="H453" s="5"/>
      <c r="I453" s="2"/>
      <c r="J453" s="2"/>
      <c r="K453" s="2"/>
      <c r="L453" s="2"/>
      <c r="M453" s="5"/>
      <c r="N453" s="2"/>
      <c r="O453" s="2"/>
    </row>
    <row r="454" spans="1:15">
      <c r="A454" s="12"/>
      <c r="B454" s="2"/>
      <c r="C454" s="2"/>
      <c r="D454" s="2"/>
      <c r="E454" s="6"/>
      <c r="F454" s="2"/>
      <c r="G454" s="2"/>
      <c r="H454" s="5"/>
      <c r="I454" s="2"/>
      <c r="J454" s="2"/>
      <c r="K454" s="2"/>
      <c r="L454" s="2"/>
      <c r="M454" s="5"/>
      <c r="N454" s="2"/>
      <c r="O454" s="2"/>
    </row>
    <row r="455" spans="1:15">
      <c r="A455" s="12"/>
      <c r="B455" s="2"/>
      <c r="C455" s="2"/>
      <c r="D455" s="2"/>
      <c r="E455" s="6"/>
      <c r="F455" s="2"/>
      <c r="G455" s="2"/>
      <c r="H455" s="5"/>
      <c r="I455" s="2"/>
      <c r="J455" s="2"/>
      <c r="K455" s="2"/>
      <c r="L455" s="2"/>
      <c r="M455" s="5"/>
      <c r="N455" s="2"/>
      <c r="O455" s="2"/>
    </row>
    <row r="456" spans="1:15">
      <c r="A456" s="12"/>
      <c r="B456" s="2"/>
      <c r="C456" s="2"/>
      <c r="D456" s="2"/>
      <c r="E456" s="6"/>
      <c r="F456" s="2"/>
      <c r="G456" s="2"/>
      <c r="H456" s="5"/>
      <c r="I456" s="2"/>
      <c r="J456" s="2"/>
      <c r="K456" s="2"/>
      <c r="L456" s="2"/>
      <c r="M456" s="5"/>
      <c r="N456" s="2"/>
      <c r="O456" s="2"/>
    </row>
    <row r="457" spans="1:15">
      <c r="A457" s="12"/>
      <c r="B457" s="2"/>
      <c r="C457" s="2"/>
      <c r="D457" s="2"/>
      <c r="E457" s="6"/>
      <c r="F457" s="2"/>
      <c r="G457" s="2"/>
      <c r="H457" s="5"/>
      <c r="I457" s="2"/>
      <c r="J457" s="2"/>
      <c r="K457" s="2"/>
      <c r="L457" s="2"/>
      <c r="M457" s="5"/>
      <c r="N457" s="2"/>
      <c r="O457" s="2"/>
    </row>
    <row r="458" spans="1:15">
      <c r="A458" s="12"/>
      <c r="B458" s="2"/>
      <c r="C458" s="2"/>
      <c r="D458" s="2"/>
      <c r="E458" s="6"/>
      <c r="F458" s="2"/>
      <c r="G458" s="2"/>
      <c r="H458" s="5"/>
      <c r="I458" s="2"/>
      <c r="J458" s="2"/>
      <c r="K458" s="2"/>
      <c r="L458" s="2"/>
      <c r="M458" s="5"/>
      <c r="N458" s="2"/>
      <c r="O458" s="2"/>
    </row>
    <row r="459" spans="1:15">
      <c r="A459" s="12"/>
      <c r="B459" s="2"/>
      <c r="C459" s="2"/>
      <c r="D459" s="2"/>
      <c r="E459" s="6"/>
      <c r="F459" s="2"/>
      <c r="G459" s="2"/>
      <c r="H459" s="5"/>
      <c r="I459" s="2"/>
      <c r="J459" s="2"/>
      <c r="K459" s="2"/>
      <c r="L459" s="2"/>
      <c r="M459" s="5"/>
      <c r="N459" s="2"/>
      <c r="O459" s="2"/>
    </row>
    <row r="460" spans="1:15">
      <c r="A460" s="12"/>
      <c r="B460" s="2"/>
      <c r="C460" s="2"/>
      <c r="D460" s="2"/>
      <c r="E460" s="6"/>
      <c r="F460" s="2"/>
      <c r="G460" s="2"/>
      <c r="H460" s="5"/>
      <c r="I460" s="2"/>
      <c r="J460" s="2"/>
      <c r="K460" s="2"/>
      <c r="L460" s="2"/>
      <c r="M460" s="5"/>
      <c r="N460" s="2"/>
      <c r="O460" s="2"/>
    </row>
    <row r="461" spans="1:15">
      <c r="A461" s="12"/>
      <c r="B461" s="2"/>
      <c r="C461" s="2"/>
      <c r="D461" s="2"/>
      <c r="E461" s="6"/>
      <c r="F461" s="2"/>
      <c r="G461" s="2"/>
      <c r="H461" s="5"/>
      <c r="I461" s="2"/>
      <c r="J461" s="2"/>
      <c r="K461" s="2"/>
      <c r="L461" s="2"/>
      <c r="M461" s="5"/>
      <c r="N461" s="2"/>
      <c r="O461" s="2"/>
    </row>
    <row r="462" spans="1:15">
      <c r="A462" s="12"/>
      <c r="B462" s="2"/>
      <c r="C462" s="2"/>
      <c r="D462" s="2"/>
      <c r="E462" s="6"/>
      <c r="F462" s="2"/>
      <c r="G462" s="2"/>
      <c r="H462" s="5"/>
      <c r="I462" s="2"/>
      <c r="J462" s="2"/>
      <c r="K462" s="2"/>
      <c r="L462" s="2"/>
      <c r="M462" s="5"/>
      <c r="N462" s="2"/>
      <c r="O462" s="2"/>
    </row>
    <row r="463" spans="1:15">
      <c r="A463" s="12"/>
      <c r="B463" s="2"/>
      <c r="C463" s="2"/>
      <c r="D463" s="2"/>
      <c r="E463" s="6"/>
      <c r="F463" s="2"/>
      <c r="G463" s="2"/>
      <c r="H463" s="5"/>
      <c r="I463" s="2"/>
      <c r="J463" s="2"/>
      <c r="K463" s="2"/>
      <c r="L463" s="2"/>
      <c r="M463" s="5"/>
      <c r="N463" s="2"/>
      <c r="O463" s="2"/>
    </row>
    <row r="464" spans="1:15">
      <c r="A464" s="12"/>
      <c r="B464" s="2"/>
      <c r="C464" s="2"/>
      <c r="D464" s="2"/>
      <c r="E464" s="6"/>
      <c r="F464" s="2"/>
      <c r="G464" s="2"/>
      <c r="H464" s="5"/>
      <c r="I464" s="2"/>
      <c r="J464" s="2"/>
      <c r="K464" s="2"/>
      <c r="L464" s="2"/>
      <c r="M464" s="5"/>
      <c r="N464" s="2"/>
      <c r="O464" s="2"/>
    </row>
    <row r="465" spans="1:15">
      <c r="A465" s="12"/>
      <c r="B465" s="2"/>
      <c r="C465" s="2"/>
      <c r="D465" s="2"/>
      <c r="E465" s="6"/>
      <c r="F465" s="2"/>
      <c r="G465" s="2"/>
      <c r="H465" s="5"/>
      <c r="I465" s="2"/>
      <c r="J465" s="2"/>
      <c r="K465" s="2"/>
      <c r="L465" s="2"/>
      <c r="M465" s="5"/>
      <c r="N465" s="2"/>
      <c r="O465" s="2"/>
    </row>
    <row r="466" spans="1:15">
      <c r="A466" s="12"/>
      <c r="B466" s="2"/>
      <c r="C466" s="2"/>
      <c r="D466" s="2"/>
      <c r="E466" s="6"/>
      <c r="F466" s="2"/>
      <c r="G466" s="2"/>
      <c r="H466" s="5"/>
      <c r="I466" s="2"/>
      <c r="J466" s="2"/>
      <c r="K466" s="2"/>
      <c r="L466" s="2"/>
      <c r="M466" s="5"/>
      <c r="N466" s="2"/>
      <c r="O466" s="2"/>
    </row>
    <row r="467" spans="1:15">
      <c r="A467" s="12"/>
      <c r="B467" s="2"/>
      <c r="C467" s="2"/>
      <c r="D467" s="2"/>
      <c r="E467" s="6"/>
      <c r="F467" s="2"/>
      <c r="G467" s="2"/>
      <c r="H467" s="5"/>
      <c r="I467" s="2"/>
      <c r="J467" s="2"/>
      <c r="K467" s="2"/>
      <c r="L467" s="2"/>
      <c r="M467" s="5"/>
      <c r="N467" s="2"/>
      <c r="O467" s="2"/>
    </row>
    <row r="468" spans="1:15">
      <c r="A468" s="12"/>
      <c r="B468" s="2"/>
      <c r="C468" s="2"/>
      <c r="D468" s="2"/>
      <c r="E468" s="6"/>
      <c r="F468" s="2"/>
      <c r="G468" s="2"/>
      <c r="H468" s="5"/>
      <c r="I468" s="2"/>
      <c r="J468" s="2"/>
      <c r="K468" s="2"/>
      <c r="L468" s="2"/>
      <c r="M468" s="5"/>
      <c r="N468" s="2"/>
      <c r="O468" s="2"/>
    </row>
    <row r="469" spans="1:15">
      <c r="A469" s="12"/>
      <c r="B469" s="2"/>
      <c r="C469" s="2"/>
      <c r="D469" s="2"/>
      <c r="E469" s="6"/>
      <c r="F469" s="2"/>
      <c r="G469" s="2"/>
      <c r="H469" s="5"/>
      <c r="I469" s="2"/>
      <c r="J469" s="2"/>
      <c r="K469" s="2"/>
      <c r="L469" s="2"/>
      <c r="M469" s="5"/>
      <c r="N469" s="2"/>
      <c r="O469" s="2"/>
    </row>
    <row r="470" spans="1:15">
      <c r="A470" s="12"/>
      <c r="B470" s="2"/>
      <c r="C470" s="2"/>
      <c r="D470" s="2"/>
      <c r="E470" s="6"/>
      <c r="F470" s="2"/>
      <c r="G470" s="2"/>
      <c r="H470" s="5"/>
      <c r="I470" s="2"/>
      <c r="J470" s="2"/>
      <c r="K470" s="2"/>
      <c r="L470" s="2"/>
      <c r="M470" s="5"/>
      <c r="N470" s="2"/>
      <c r="O470" s="2"/>
    </row>
    <row r="471" spans="1:15">
      <c r="A471" s="12"/>
      <c r="B471" s="2"/>
      <c r="C471" s="2"/>
      <c r="D471" s="2"/>
      <c r="E471" s="6"/>
      <c r="F471" s="2"/>
      <c r="G471" s="2"/>
      <c r="H471" s="5"/>
      <c r="I471" s="2"/>
      <c r="J471" s="2"/>
      <c r="K471" s="2"/>
      <c r="L471" s="2"/>
      <c r="M471" s="5"/>
      <c r="N471" s="2"/>
      <c r="O471" s="2"/>
    </row>
    <row r="472" spans="1:15">
      <c r="A472" s="12"/>
      <c r="B472" s="2"/>
      <c r="C472" s="2"/>
      <c r="D472" s="2"/>
      <c r="E472" s="6"/>
      <c r="F472" s="2"/>
      <c r="G472" s="2"/>
      <c r="H472" s="5"/>
      <c r="I472" s="2"/>
      <c r="J472" s="2"/>
      <c r="K472" s="2"/>
      <c r="L472" s="2"/>
      <c r="M472" s="5"/>
      <c r="N472" s="2"/>
      <c r="O472" s="2"/>
    </row>
    <row r="473" spans="1:15">
      <c r="A473" s="12"/>
      <c r="B473" s="2"/>
      <c r="C473" s="2"/>
      <c r="D473" s="2"/>
      <c r="E473" s="6"/>
      <c r="F473" s="2"/>
      <c r="G473" s="2"/>
      <c r="H473" s="5"/>
      <c r="I473" s="2"/>
      <c r="J473" s="2"/>
      <c r="K473" s="2"/>
      <c r="L473" s="2"/>
      <c r="M473" s="5"/>
      <c r="N473" s="2"/>
      <c r="O473" s="2"/>
    </row>
    <row r="474" spans="1:15">
      <c r="A474" s="12"/>
      <c r="B474" s="2"/>
      <c r="C474" s="2"/>
      <c r="D474" s="2"/>
      <c r="E474" s="6"/>
      <c r="F474" s="2"/>
      <c r="G474" s="2"/>
      <c r="H474" s="5"/>
      <c r="I474" s="2"/>
      <c r="J474" s="2"/>
      <c r="K474" s="2"/>
      <c r="L474" s="2"/>
      <c r="M474" s="5"/>
      <c r="N474" s="2"/>
      <c r="O474" s="2"/>
    </row>
    <row r="475" spans="1:15">
      <c r="A475" s="12"/>
      <c r="B475" s="2"/>
      <c r="C475" s="2"/>
      <c r="D475" s="2"/>
      <c r="E475" s="6"/>
      <c r="F475" s="2"/>
      <c r="G475" s="2"/>
      <c r="H475" s="5"/>
      <c r="I475" s="2"/>
      <c r="J475" s="2"/>
      <c r="K475" s="2"/>
      <c r="L475" s="2"/>
      <c r="M475" s="5"/>
      <c r="N475" s="2"/>
      <c r="O475" s="2"/>
    </row>
    <row r="476" spans="1:15">
      <c r="A476" s="12"/>
      <c r="B476" s="2"/>
      <c r="C476" s="2"/>
      <c r="D476" s="2"/>
      <c r="E476" s="6"/>
      <c r="F476" s="2"/>
      <c r="G476" s="2"/>
      <c r="H476" s="5"/>
      <c r="I476" s="2"/>
      <c r="J476" s="2"/>
      <c r="K476" s="2"/>
      <c r="L476" s="2"/>
      <c r="M476" s="5"/>
      <c r="N476" s="2"/>
      <c r="O476" s="2"/>
    </row>
    <row r="477" spans="1:15">
      <c r="A477" s="12"/>
      <c r="B477" s="2"/>
      <c r="C477" s="2"/>
      <c r="D477" s="2"/>
      <c r="E477" s="6"/>
      <c r="F477" s="2"/>
      <c r="G477" s="2"/>
      <c r="H477" s="5"/>
      <c r="I477" s="2"/>
      <c r="J477" s="2"/>
      <c r="K477" s="2"/>
      <c r="L477" s="2"/>
      <c r="M477" s="5"/>
      <c r="N477" s="2"/>
      <c r="O477" s="2"/>
    </row>
    <row r="478" spans="1:15">
      <c r="A478" s="12"/>
      <c r="B478" s="2"/>
      <c r="C478" s="2"/>
      <c r="D478" s="2"/>
      <c r="E478" s="6"/>
      <c r="F478" s="2"/>
      <c r="G478" s="2"/>
      <c r="H478" s="5"/>
      <c r="I478" s="2"/>
      <c r="J478" s="2"/>
      <c r="K478" s="2"/>
      <c r="L478" s="2"/>
      <c r="M478" s="5"/>
      <c r="N478" s="2"/>
      <c r="O478" s="2"/>
    </row>
    <row r="479" spans="1:15">
      <c r="A479" s="12"/>
      <c r="B479" s="2"/>
      <c r="C479" s="2"/>
      <c r="D479" s="2"/>
      <c r="E479" s="6"/>
      <c r="F479" s="2"/>
      <c r="G479" s="2"/>
      <c r="H479" s="5"/>
      <c r="I479" s="2"/>
      <c r="J479" s="2"/>
      <c r="K479" s="2"/>
      <c r="L479" s="2"/>
      <c r="M479" s="5"/>
      <c r="N479" s="2"/>
      <c r="O479" s="2"/>
    </row>
    <row r="480" spans="1:15">
      <c r="A480" s="12"/>
      <c r="B480" s="2"/>
      <c r="C480" s="2"/>
      <c r="D480" s="2"/>
      <c r="E480" s="6"/>
      <c r="F480" s="2"/>
      <c r="G480" s="2"/>
      <c r="H480" s="5"/>
      <c r="I480" s="2"/>
      <c r="J480" s="2"/>
      <c r="K480" s="2"/>
      <c r="L480" s="2"/>
      <c r="M480" s="5"/>
      <c r="N480" s="2"/>
      <c r="O480" s="2"/>
    </row>
    <row r="481" spans="1:15">
      <c r="A481" s="12"/>
      <c r="B481" s="2"/>
      <c r="C481" s="2"/>
      <c r="D481" s="2"/>
      <c r="E481" s="6"/>
      <c r="F481" s="2"/>
      <c r="G481" s="2"/>
      <c r="H481" s="5"/>
      <c r="I481" s="2"/>
      <c r="J481" s="2"/>
      <c r="K481" s="2"/>
      <c r="L481" s="2"/>
      <c r="M481" s="5"/>
      <c r="N481" s="2"/>
      <c r="O481" s="2"/>
    </row>
    <row r="482" spans="1:15">
      <c r="A482" s="12"/>
      <c r="B482" s="2"/>
      <c r="C482" s="2"/>
      <c r="D482" s="2"/>
      <c r="E482" s="6"/>
      <c r="F482" s="2"/>
      <c r="G482" s="2"/>
      <c r="H482" s="5"/>
      <c r="I482" s="2"/>
      <c r="J482" s="2"/>
      <c r="K482" s="2"/>
      <c r="L482" s="2"/>
      <c r="M482" s="5"/>
      <c r="N482" s="2"/>
      <c r="O482" s="2"/>
    </row>
    <row r="483" spans="1:15">
      <c r="A483" s="12"/>
      <c r="B483" s="2"/>
      <c r="C483" s="2"/>
      <c r="D483" s="2"/>
      <c r="E483" s="6"/>
      <c r="F483" s="2"/>
      <c r="G483" s="2"/>
      <c r="H483" s="5"/>
      <c r="I483" s="2"/>
      <c r="J483" s="2"/>
      <c r="K483" s="2"/>
      <c r="L483" s="2"/>
      <c r="M483" s="5"/>
      <c r="N483" s="2"/>
      <c r="O483" s="2"/>
    </row>
    <row r="484" spans="1:15">
      <c r="A484" s="12"/>
      <c r="B484" s="2"/>
      <c r="C484" s="2"/>
      <c r="D484" s="2"/>
      <c r="E484" s="6"/>
      <c r="F484" s="2"/>
      <c r="G484" s="2"/>
      <c r="H484" s="5"/>
      <c r="I484" s="2"/>
      <c r="J484" s="2"/>
      <c r="K484" s="2"/>
      <c r="L484" s="2"/>
      <c r="M484" s="5"/>
      <c r="N484" s="2"/>
      <c r="O484" s="2"/>
    </row>
    <row r="485" spans="1:15">
      <c r="A485" s="12"/>
      <c r="B485" s="2"/>
      <c r="C485" s="2"/>
      <c r="D485" s="2"/>
      <c r="E485" s="6"/>
      <c r="F485" s="2"/>
      <c r="G485" s="2"/>
      <c r="H485" s="5"/>
      <c r="I485" s="2"/>
      <c r="J485" s="2"/>
      <c r="K485" s="2"/>
      <c r="L485" s="2"/>
      <c r="M485" s="5"/>
      <c r="N485" s="2"/>
      <c r="O485" s="2"/>
    </row>
    <row r="486" spans="1:15">
      <c r="A486" s="12"/>
      <c r="B486" s="2"/>
      <c r="C486" s="2"/>
      <c r="D486" s="2"/>
      <c r="E486" s="6"/>
      <c r="F486" s="2"/>
      <c r="G486" s="2"/>
      <c r="H486" s="5"/>
      <c r="I486" s="2"/>
      <c r="J486" s="2"/>
      <c r="K486" s="2"/>
      <c r="L486" s="2"/>
      <c r="M486" s="5"/>
      <c r="N486" s="2"/>
      <c r="O486" s="2"/>
    </row>
    <row r="487" spans="1:15">
      <c r="A487" s="12"/>
      <c r="B487" s="2"/>
      <c r="C487" s="2"/>
      <c r="D487" s="2"/>
      <c r="E487" s="6"/>
      <c r="F487" s="2"/>
      <c r="G487" s="2"/>
      <c r="H487" s="5"/>
      <c r="I487" s="2"/>
      <c r="J487" s="2"/>
      <c r="K487" s="2"/>
      <c r="L487" s="2"/>
      <c r="M487" s="5"/>
      <c r="N487" s="2"/>
      <c r="O487" s="2"/>
    </row>
    <row r="488" spans="1:15">
      <c r="A488" s="12"/>
      <c r="B488" s="2"/>
      <c r="C488" s="2"/>
      <c r="D488" s="2"/>
      <c r="E488" s="6"/>
      <c r="F488" s="2"/>
      <c r="G488" s="2"/>
      <c r="H488" s="5"/>
      <c r="I488" s="2"/>
      <c r="J488" s="2"/>
      <c r="K488" s="2"/>
      <c r="L488" s="2"/>
      <c r="M488" s="5"/>
      <c r="N488" s="2"/>
      <c r="O488" s="2"/>
    </row>
    <row r="489" spans="1:15">
      <c r="A489" s="12"/>
      <c r="B489" s="2"/>
      <c r="C489" s="2"/>
      <c r="D489" s="2"/>
      <c r="E489" s="6"/>
      <c r="F489" s="2"/>
      <c r="G489" s="2"/>
      <c r="H489" s="5"/>
      <c r="I489" s="2"/>
      <c r="J489" s="2"/>
      <c r="K489" s="2"/>
      <c r="L489" s="2"/>
      <c r="M489" s="5"/>
      <c r="N489" s="2"/>
      <c r="O489" s="2"/>
    </row>
    <row r="490" spans="1:15">
      <c r="A490" s="12"/>
      <c r="B490" s="2"/>
      <c r="C490" s="2"/>
      <c r="D490" s="2"/>
      <c r="E490" s="6"/>
      <c r="F490" s="2"/>
      <c r="G490" s="2"/>
      <c r="H490" s="5"/>
      <c r="I490" s="2"/>
      <c r="J490" s="2"/>
      <c r="K490" s="2"/>
      <c r="L490" s="2"/>
      <c r="M490" s="5"/>
      <c r="N490" s="2"/>
      <c r="O490" s="2"/>
    </row>
    <row r="491" spans="1:15">
      <c r="A491" s="12"/>
      <c r="B491" s="2"/>
      <c r="C491" s="2"/>
      <c r="D491" s="2"/>
      <c r="E491" s="6"/>
      <c r="F491" s="2"/>
      <c r="G491" s="2"/>
      <c r="H491" s="5"/>
      <c r="I491" s="2"/>
      <c r="J491" s="2"/>
      <c r="K491" s="2"/>
      <c r="L491" s="2"/>
      <c r="M491" s="5"/>
      <c r="N491" s="2"/>
      <c r="O491" s="2"/>
    </row>
    <row r="492" spans="1:15">
      <c r="A492" s="12"/>
      <c r="B492" s="2"/>
      <c r="C492" s="2"/>
      <c r="D492" s="2"/>
      <c r="E492" s="6"/>
      <c r="F492" s="2"/>
      <c r="G492" s="2"/>
      <c r="H492" s="5"/>
      <c r="I492" s="2"/>
      <c r="J492" s="2"/>
      <c r="K492" s="2"/>
      <c r="L492" s="2"/>
      <c r="M492" s="5"/>
      <c r="N492" s="2"/>
      <c r="O492" s="2"/>
    </row>
    <row r="493" spans="1:15">
      <c r="A493" s="12"/>
      <c r="B493" s="2"/>
      <c r="C493" s="2"/>
      <c r="D493" s="2"/>
      <c r="E493" s="6"/>
      <c r="F493" s="2"/>
      <c r="G493" s="2"/>
      <c r="H493" s="5"/>
      <c r="I493" s="2"/>
      <c r="J493" s="2"/>
      <c r="K493" s="2"/>
      <c r="L493" s="2"/>
      <c r="M493" s="5"/>
      <c r="N493" s="2"/>
      <c r="O493" s="2"/>
    </row>
    <row r="494" spans="1:15">
      <c r="A494" s="12"/>
      <c r="B494" s="2"/>
      <c r="C494" s="2"/>
      <c r="D494" s="2"/>
      <c r="E494" s="6"/>
      <c r="F494" s="2"/>
      <c r="G494" s="2"/>
      <c r="H494" s="5"/>
      <c r="I494" s="2"/>
      <c r="J494" s="2"/>
      <c r="K494" s="2"/>
      <c r="L494" s="2"/>
      <c r="M494" s="5"/>
      <c r="N494" s="2"/>
      <c r="O494" s="2"/>
    </row>
    <row r="495" spans="1:15">
      <c r="A495" s="12"/>
      <c r="B495" s="2"/>
      <c r="C495" s="2"/>
      <c r="D495" s="2"/>
      <c r="E495" s="6"/>
      <c r="F495" s="2"/>
      <c r="G495" s="2"/>
      <c r="H495" s="5"/>
      <c r="I495" s="2"/>
      <c r="J495" s="2"/>
      <c r="K495" s="2"/>
      <c r="L495" s="2"/>
      <c r="M495" s="5"/>
      <c r="N495" s="2"/>
      <c r="O495" s="2"/>
    </row>
    <row r="496" spans="1:15">
      <c r="A496" s="12"/>
      <c r="B496" s="2"/>
      <c r="C496" s="2"/>
      <c r="D496" s="2"/>
      <c r="E496" s="6"/>
      <c r="F496" s="2"/>
      <c r="G496" s="2"/>
      <c r="H496" s="5"/>
      <c r="I496" s="2"/>
      <c r="J496" s="2"/>
      <c r="K496" s="2"/>
      <c r="L496" s="2"/>
      <c r="M496" s="5"/>
      <c r="N496" s="2"/>
      <c r="O496" s="2"/>
    </row>
    <row r="497" spans="1:15">
      <c r="A497" s="12"/>
      <c r="B497" s="2"/>
      <c r="C497" s="2"/>
      <c r="D497" s="2"/>
      <c r="E497" s="6"/>
      <c r="F497" s="2"/>
      <c r="G497" s="2"/>
      <c r="H497" s="5"/>
      <c r="I497" s="2"/>
      <c r="J497" s="2"/>
      <c r="K497" s="2"/>
      <c r="L497" s="2"/>
      <c r="M497" s="5"/>
      <c r="N497" s="2"/>
      <c r="O497" s="2"/>
    </row>
    <row r="498" spans="1:15">
      <c r="A498" s="12"/>
      <c r="B498" s="2"/>
      <c r="C498" s="2"/>
      <c r="D498" s="2"/>
      <c r="E498" s="6"/>
      <c r="F498" s="2"/>
      <c r="G498" s="2"/>
      <c r="H498" s="5"/>
      <c r="I498" s="2"/>
      <c r="J498" s="2"/>
      <c r="K498" s="2"/>
      <c r="L498" s="2"/>
      <c r="M498" s="5"/>
      <c r="N498" s="2"/>
      <c r="O498" s="2"/>
    </row>
    <row r="499" spans="1:15">
      <c r="A499" s="12"/>
      <c r="B499" s="2"/>
      <c r="C499" s="2"/>
      <c r="D499" s="2"/>
      <c r="E499" s="6"/>
      <c r="F499" s="2"/>
      <c r="G499" s="2"/>
      <c r="H499" s="5"/>
      <c r="I499" s="2"/>
      <c r="J499" s="2"/>
      <c r="K499" s="2"/>
      <c r="L499" s="2"/>
      <c r="M499" s="5"/>
      <c r="N499" s="2"/>
      <c r="O499" s="2"/>
    </row>
    <row r="500" spans="1:15">
      <c r="A500" s="12"/>
      <c r="B500" s="2"/>
      <c r="C500" s="2"/>
      <c r="D500" s="2"/>
      <c r="E500" s="6"/>
      <c r="F500" s="2"/>
      <c r="G500" s="2"/>
      <c r="H500" s="5"/>
      <c r="I500" s="2"/>
      <c r="J500" s="2"/>
      <c r="K500" s="2"/>
      <c r="L500" s="2"/>
      <c r="M500" s="5"/>
      <c r="N500" s="2"/>
      <c r="O500" s="2"/>
    </row>
  </sheetData>
  <mergeCells count="1">
    <mergeCell ref="A1:O1"/>
  </mergeCells>
  <conditionalFormatting sqref="J4:J500">
    <cfRule type="expression" dxfId="25" priority="1">
      <formula>J4="Pendiente"</formula>
    </cfRule>
    <cfRule type="expression" dxfId="24" priority="2">
      <formula>J4="Cumplida"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500"/>
  <sheetViews>
    <sheetView workbookViewId="0"/>
  </sheetViews>
  <sheetFormatPr baseColWidth="10" defaultColWidth="8.6640625" defaultRowHeight="14"/>
  <cols>
    <col min="1" max="1" width="4.1640625" customWidth="1"/>
    <col min="2" max="2" width="4.6640625" customWidth="1"/>
    <col min="3" max="3" width="6.1640625" customWidth="1"/>
    <col min="4" max="4" width="5.9140625" customWidth="1"/>
    <col min="5" max="5" width="6.1640625" customWidth="1"/>
    <col min="6" max="6" width="7.5" customWidth="1"/>
    <col min="7" max="7" width="12.08203125" customWidth="1"/>
    <col min="8" max="8" width="15.5" customWidth="1"/>
    <col min="9" max="9" width="12.58203125" customWidth="1"/>
    <col min="10" max="10" width="5.08203125" customWidth="1"/>
    <col min="11" max="11" width="9.9140625" customWidth="1"/>
    <col min="12" max="12" width="10.4140625" customWidth="1"/>
    <col min="13" max="13" width="16.08203125" customWidth="1"/>
    <col min="14" max="14" width="12.25" customWidth="1"/>
  </cols>
  <sheetData>
    <row r="1" spans="1:14" ht="15.15" customHeight="1">
      <c r="A1" s="43" t="s">
        <v>272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>
      <c r="A2" s="10"/>
    </row>
    <row r="3" spans="1:14" ht="13.4" customHeight="1">
      <c r="A3" s="11" t="s">
        <v>152</v>
      </c>
      <c r="B3" s="1" t="s">
        <v>178</v>
      </c>
      <c r="C3" s="1" t="s">
        <v>258</v>
      </c>
      <c r="D3" s="1" t="s">
        <v>273</v>
      </c>
      <c r="E3" s="1" t="s">
        <v>165</v>
      </c>
      <c r="F3" s="1" t="s">
        <v>274</v>
      </c>
      <c r="G3" s="1" t="s">
        <v>275</v>
      </c>
      <c r="H3" s="1" t="s">
        <v>276</v>
      </c>
      <c r="I3" s="1" t="s">
        <v>277</v>
      </c>
      <c r="J3" s="1" t="s">
        <v>278</v>
      </c>
      <c r="K3" s="1" t="s">
        <v>279</v>
      </c>
      <c r="L3" s="1" t="s">
        <v>280</v>
      </c>
      <c r="M3" s="1" t="s">
        <v>269</v>
      </c>
      <c r="N3" s="1" t="s">
        <v>198</v>
      </c>
    </row>
    <row r="4" spans="1:14">
      <c r="A4" s="12"/>
      <c r="B4" s="2"/>
      <c r="C4" s="2"/>
      <c r="D4" s="8"/>
      <c r="E4" s="2"/>
      <c r="F4" s="2"/>
      <c r="G4" s="5"/>
      <c r="H4" s="5"/>
      <c r="I4" s="8"/>
      <c r="J4" s="8" t="str">
        <f t="shared" ref="J4:J67" si="0">IF(D4="","",MAX(0,D4-I4))</f>
        <v/>
      </c>
      <c r="K4" s="5"/>
      <c r="L4" s="2"/>
      <c r="M4" s="2"/>
      <c r="N4" s="2"/>
    </row>
    <row r="5" spans="1:14">
      <c r="A5" s="12"/>
      <c r="B5" s="2"/>
      <c r="C5" s="2"/>
      <c r="D5" s="8"/>
      <c r="E5" s="2"/>
      <c r="F5" s="2"/>
      <c r="G5" s="5"/>
      <c r="H5" s="5"/>
      <c r="I5" s="8"/>
      <c r="J5" s="8" t="str">
        <f t="shared" si="0"/>
        <v/>
      </c>
      <c r="K5" s="5"/>
      <c r="L5" s="2"/>
      <c r="M5" s="2"/>
      <c r="N5" s="2"/>
    </row>
    <row r="6" spans="1:14">
      <c r="A6" s="12"/>
      <c r="B6" s="2"/>
      <c r="C6" s="2"/>
      <c r="D6" s="8"/>
      <c r="E6" s="2"/>
      <c r="F6" s="2"/>
      <c r="G6" s="5"/>
      <c r="H6" s="5"/>
      <c r="I6" s="8"/>
      <c r="J6" s="8" t="str">
        <f t="shared" si="0"/>
        <v/>
      </c>
      <c r="K6" s="5"/>
      <c r="L6" s="2"/>
      <c r="M6" s="2"/>
      <c r="N6" s="2"/>
    </row>
    <row r="7" spans="1:14">
      <c r="A7" s="12"/>
      <c r="B7" s="2"/>
      <c r="C7" s="2"/>
      <c r="D7" s="8"/>
      <c r="E7" s="2"/>
      <c r="F7" s="2"/>
      <c r="G7" s="5"/>
      <c r="H7" s="5"/>
      <c r="I7" s="8"/>
      <c r="J7" s="8" t="str">
        <f t="shared" si="0"/>
        <v/>
      </c>
      <c r="K7" s="5"/>
      <c r="L7" s="2"/>
      <c r="M7" s="2"/>
      <c r="N7" s="2"/>
    </row>
    <row r="8" spans="1:14">
      <c r="A8" s="12"/>
      <c r="B8" s="2"/>
      <c r="C8" s="2"/>
      <c r="D8" s="8"/>
      <c r="E8" s="2"/>
      <c r="F8" s="2"/>
      <c r="G8" s="5"/>
      <c r="H8" s="5"/>
      <c r="I8" s="8"/>
      <c r="J8" s="8" t="str">
        <f t="shared" si="0"/>
        <v/>
      </c>
      <c r="K8" s="5"/>
      <c r="L8" s="2"/>
      <c r="M8" s="2"/>
      <c r="N8" s="2"/>
    </row>
    <row r="9" spans="1:14">
      <c r="A9" s="12"/>
      <c r="B9" s="2"/>
      <c r="C9" s="2"/>
      <c r="D9" s="8"/>
      <c r="E9" s="2"/>
      <c r="F9" s="2"/>
      <c r="G9" s="5"/>
      <c r="H9" s="5"/>
      <c r="I9" s="8"/>
      <c r="J9" s="8" t="str">
        <f t="shared" si="0"/>
        <v/>
      </c>
      <c r="K9" s="5"/>
      <c r="L9" s="2"/>
      <c r="M9" s="2"/>
      <c r="N9" s="2"/>
    </row>
    <row r="10" spans="1:14">
      <c r="A10" s="12"/>
      <c r="B10" s="2"/>
      <c r="C10" s="2"/>
      <c r="D10" s="8"/>
      <c r="E10" s="2"/>
      <c r="F10" s="2"/>
      <c r="G10" s="5"/>
      <c r="H10" s="5"/>
      <c r="I10" s="8"/>
      <c r="J10" s="8" t="str">
        <f t="shared" si="0"/>
        <v/>
      </c>
      <c r="K10" s="5"/>
      <c r="L10" s="2"/>
      <c r="M10" s="2"/>
      <c r="N10" s="2"/>
    </row>
    <row r="11" spans="1:14">
      <c r="A11" s="12"/>
      <c r="B11" s="2"/>
      <c r="C11" s="2"/>
      <c r="D11" s="8"/>
      <c r="E11" s="2"/>
      <c r="F11" s="2"/>
      <c r="G11" s="5"/>
      <c r="H11" s="5"/>
      <c r="I11" s="8"/>
      <c r="J11" s="8" t="str">
        <f t="shared" si="0"/>
        <v/>
      </c>
      <c r="K11" s="5"/>
      <c r="L11" s="2"/>
      <c r="M11" s="2"/>
      <c r="N11" s="2"/>
    </row>
    <row r="12" spans="1:14">
      <c r="A12" s="12"/>
      <c r="B12" s="2"/>
      <c r="C12" s="2"/>
      <c r="D12" s="8"/>
      <c r="E12" s="2"/>
      <c r="F12" s="2"/>
      <c r="G12" s="5"/>
      <c r="H12" s="5"/>
      <c r="I12" s="8"/>
      <c r="J12" s="8" t="str">
        <f t="shared" si="0"/>
        <v/>
      </c>
      <c r="K12" s="5"/>
      <c r="L12" s="2"/>
      <c r="M12" s="2"/>
      <c r="N12" s="2"/>
    </row>
    <row r="13" spans="1:14">
      <c r="A13" s="12"/>
      <c r="B13" s="2"/>
      <c r="C13" s="2"/>
      <c r="D13" s="8"/>
      <c r="E13" s="2"/>
      <c r="F13" s="2"/>
      <c r="G13" s="5"/>
      <c r="H13" s="5"/>
      <c r="I13" s="8"/>
      <c r="J13" s="8" t="str">
        <f t="shared" si="0"/>
        <v/>
      </c>
      <c r="K13" s="5"/>
      <c r="L13" s="2"/>
      <c r="M13" s="2"/>
      <c r="N13" s="2"/>
    </row>
    <row r="14" spans="1:14">
      <c r="A14" s="12"/>
      <c r="B14" s="2"/>
      <c r="C14" s="2"/>
      <c r="D14" s="8"/>
      <c r="E14" s="2"/>
      <c r="F14" s="2"/>
      <c r="G14" s="5"/>
      <c r="H14" s="5"/>
      <c r="I14" s="8"/>
      <c r="J14" s="8" t="str">
        <f t="shared" si="0"/>
        <v/>
      </c>
      <c r="K14" s="5"/>
      <c r="L14" s="2"/>
      <c r="M14" s="2"/>
      <c r="N14" s="2"/>
    </row>
    <row r="15" spans="1:14">
      <c r="A15" s="12"/>
      <c r="B15" s="2"/>
      <c r="C15" s="2"/>
      <c r="D15" s="8"/>
      <c r="E15" s="2"/>
      <c r="F15" s="2"/>
      <c r="G15" s="5"/>
      <c r="H15" s="5"/>
      <c r="I15" s="8"/>
      <c r="J15" s="8" t="str">
        <f t="shared" si="0"/>
        <v/>
      </c>
      <c r="K15" s="5"/>
      <c r="L15" s="2"/>
      <c r="M15" s="2"/>
      <c r="N15" s="2"/>
    </row>
    <row r="16" spans="1:14">
      <c r="A16" s="12"/>
      <c r="B16" s="2"/>
      <c r="C16" s="2"/>
      <c r="D16" s="8"/>
      <c r="E16" s="2"/>
      <c r="F16" s="2"/>
      <c r="G16" s="5"/>
      <c r="H16" s="5"/>
      <c r="I16" s="8"/>
      <c r="J16" s="8" t="str">
        <f t="shared" si="0"/>
        <v/>
      </c>
      <c r="K16" s="5"/>
      <c r="L16" s="2"/>
      <c r="M16" s="2"/>
      <c r="N16" s="2"/>
    </row>
    <row r="17" spans="1:14">
      <c r="A17" s="12"/>
      <c r="B17" s="2"/>
      <c r="C17" s="2"/>
      <c r="D17" s="8"/>
      <c r="E17" s="2"/>
      <c r="F17" s="2"/>
      <c r="G17" s="5"/>
      <c r="H17" s="5"/>
      <c r="I17" s="8"/>
      <c r="J17" s="8" t="str">
        <f t="shared" si="0"/>
        <v/>
      </c>
      <c r="K17" s="5"/>
      <c r="L17" s="2"/>
      <c r="M17" s="2"/>
      <c r="N17" s="2"/>
    </row>
    <row r="18" spans="1:14">
      <c r="A18" s="12"/>
      <c r="B18" s="2"/>
      <c r="C18" s="2"/>
      <c r="D18" s="8"/>
      <c r="E18" s="2"/>
      <c r="F18" s="2"/>
      <c r="G18" s="5"/>
      <c r="H18" s="5"/>
      <c r="I18" s="8"/>
      <c r="J18" s="8" t="str">
        <f t="shared" si="0"/>
        <v/>
      </c>
      <c r="K18" s="5"/>
      <c r="L18" s="2"/>
      <c r="M18" s="2"/>
      <c r="N18" s="2"/>
    </row>
    <row r="19" spans="1:14">
      <c r="A19" s="12"/>
      <c r="B19" s="2"/>
      <c r="C19" s="2"/>
      <c r="D19" s="8"/>
      <c r="E19" s="2"/>
      <c r="F19" s="2"/>
      <c r="G19" s="5"/>
      <c r="H19" s="5"/>
      <c r="I19" s="8"/>
      <c r="J19" s="8" t="str">
        <f t="shared" si="0"/>
        <v/>
      </c>
      <c r="K19" s="5"/>
      <c r="L19" s="2"/>
      <c r="M19" s="2"/>
      <c r="N19" s="2"/>
    </row>
    <row r="20" spans="1:14">
      <c r="A20" s="12"/>
      <c r="B20" s="2"/>
      <c r="C20" s="2"/>
      <c r="D20" s="8"/>
      <c r="E20" s="2"/>
      <c r="F20" s="2"/>
      <c r="G20" s="5"/>
      <c r="H20" s="5"/>
      <c r="I20" s="8"/>
      <c r="J20" s="8" t="str">
        <f t="shared" si="0"/>
        <v/>
      </c>
      <c r="K20" s="5"/>
      <c r="L20" s="2"/>
      <c r="M20" s="2"/>
      <c r="N20" s="2"/>
    </row>
    <row r="21" spans="1:14">
      <c r="A21" s="12"/>
      <c r="B21" s="2"/>
      <c r="C21" s="2"/>
      <c r="D21" s="8"/>
      <c r="E21" s="2"/>
      <c r="F21" s="2"/>
      <c r="G21" s="5"/>
      <c r="H21" s="5"/>
      <c r="I21" s="8"/>
      <c r="J21" s="8" t="str">
        <f t="shared" si="0"/>
        <v/>
      </c>
      <c r="K21" s="5"/>
      <c r="L21" s="2"/>
      <c r="M21" s="2"/>
      <c r="N21" s="2"/>
    </row>
    <row r="22" spans="1:14">
      <c r="A22" s="12"/>
      <c r="B22" s="2"/>
      <c r="C22" s="2"/>
      <c r="D22" s="8"/>
      <c r="E22" s="2"/>
      <c r="F22" s="2"/>
      <c r="G22" s="5"/>
      <c r="H22" s="5"/>
      <c r="I22" s="8"/>
      <c r="J22" s="8" t="str">
        <f t="shared" si="0"/>
        <v/>
      </c>
      <c r="K22" s="5"/>
      <c r="L22" s="2"/>
      <c r="M22" s="2"/>
      <c r="N22" s="2"/>
    </row>
    <row r="23" spans="1:14">
      <c r="A23" s="12"/>
      <c r="B23" s="2"/>
      <c r="C23" s="2"/>
      <c r="D23" s="8"/>
      <c r="E23" s="2"/>
      <c r="F23" s="2"/>
      <c r="G23" s="5"/>
      <c r="H23" s="5"/>
      <c r="I23" s="8"/>
      <c r="J23" s="8" t="str">
        <f t="shared" si="0"/>
        <v/>
      </c>
      <c r="K23" s="5"/>
      <c r="L23" s="2"/>
      <c r="M23" s="2"/>
      <c r="N23" s="2"/>
    </row>
    <row r="24" spans="1:14">
      <c r="A24" s="12"/>
      <c r="B24" s="2"/>
      <c r="C24" s="2"/>
      <c r="D24" s="8"/>
      <c r="E24" s="2"/>
      <c r="F24" s="2"/>
      <c r="G24" s="5"/>
      <c r="H24" s="5"/>
      <c r="I24" s="8"/>
      <c r="J24" s="8" t="str">
        <f t="shared" si="0"/>
        <v/>
      </c>
      <c r="K24" s="5"/>
      <c r="L24" s="2"/>
      <c r="M24" s="2"/>
      <c r="N24" s="2"/>
    </row>
    <row r="25" spans="1:14">
      <c r="A25" s="12"/>
      <c r="B25" s="2"/>
      <c r="C25" s="2"/>
      <c r="D25" s="8"/>
      <c r="E25" s="2"/>
      <c r="F25" s="2"/>
      <c r="G25" s="5"/>
      <c r="H25" s="5"/>
      <c r="I25" s="8"/>
      <c r="J25" s="8" t="str">
        <f t="shared" si="0"/>
        <v/>
      </c>
      <c r="K25" s="5"/>
      <c r="L25" s="2"/>
      <c r="M25" s="2"/>
      <c r="N25" s="2"/>
    </row>
    <row r="26" spans="1:14">
      <c r="A26" s="12"/>
      <c r="B26" s="2"/>
      <c r="C26" s="2"/>
      <c r="D26" s="8"/>
      <c r="E26" s="2"/>
      <c r="F26" s="2"/>
      <c r="G26" s="5"/>
      <c r="H26" s="5"/>
      <c r="I26" s="8"/>
      <c r="J26" s="8" t="str">
        <f t="shared" si="0"/>
        <v/>
      </c>
      <c r="K26" s="5"/>
      <c r="L26" s="2"/>
      <c r="M26" s="2"/>
      <c r="N26" s="2"/>
    </row>
    <row r="27" spans="1:14">
      <c r="A27" s="12"/>
      <c r="B27" s="2"/>
      <c r="C27" s="2"/>
      <c r="D27" s="8"/>
      <c r="E27" s="2"/>
      <c r="F27" s="2"/>
      <c r="G27" s="5"/>
      <c r="H27" s="5"/>
      <c r="I27" s="8"/>
      <c r="J27" s="8" t="str">
        <f t="shared" si="0"/>
        <v/>
      </c>
      <c r="K27" s="5"/>
      <c r="L27" s="2"/>
      <c r="M27" s="2"/>
      <c r="N27" s="2"/>
    </row>
    <row r="28" spans="1:14">
      <c r="A28" s="12"/>
      <c r="B28" s="2"/>
      <c r="C28" s="2"/>
      <c r="D28" s="8"/>
      <c r="E28" s="2"/>
      <c r="F28" s="2"/>
      <c r="G28" s="5"/>
      <c r="H28" s="5"/>
      <c r="I28" s="8"/>
      <c r="J28" s="8" t="str">
        <f t="shared" si="0"/>
        <v/>
      </c>
      <c r="K28" s="5"/>
      <c r="L28" s="2"/>
      <c r="M28" s="2"/>
      <c r="N28" s="2"/>
    </row>
    <row r="29" spans="1:14">
      <c r="A29" s="12"/>
      <c r="B29" s="2"/>
      <c r="C29" s="2"/>
      <c r="D29" s="8"/>
      <c r="E29" s="2"/>
      <c r="F29" s="2"/>
      <c r="G29" s="5"/>
      <c r="H29" s="5"/>
      <c r="I29" s="8"/>
      <c r="J29" s="8" t="str">
        <f t="shared" si="0"/>
        <v/>
      </c>
      <c r="K29" s="5"/>
      <c r="L29" s="2"/>
      <c r="M29" s="2"/>
      <c r="N29" s="2"/>
    </row>
    <row r="30" spans="1:14">
      <c r="A30" s="12"/>
      <c r="B30" s="2"/>
      <c r="C30" s="2"/>
      <c r="D30" s="8"/>
      <c r="E30" s="2"/>
      <c r="F30" s="2"/>
      <c r="G30" s="5"/>
      <c r="H30" s="5"/>
      <c r="I30" s="8"/>
      <c r="J30" s="8" t="str">
        <f t="shared" si="0"/>
        <v/>
      </c>
      <c r="K30" s="5"/>
      <c r="L30" s="2"/>
      <c r="M30" s="2"/>
      <c r="N30" s="2"/>
    </row>
    <row r="31" spans="1:14">
      <c r="A31" s="12"/>
      <c r="B31" s="2"/>
      <c r="C31" s="2"/>
      <c r="D31" s="8"/>
      <c r="E31" s="2"/>
      <c r="F31" s="2"/>
      <c r="G31" s="5"/>
      <c r="H31" s="5"/>
      <c r="I31" s="8"/>
      <c r="J31" s="8" t="str">
        <f t="shared" si="0"/>
        <v/>
      </c>
      <c r="K31" s="5"/>
      <c r="L31" s="2"/>
      <c r="M31" s="2"/>
      <c r="N31" s="2"/>
    </row>
    <row r="32" spans="1:14">
      <c r="A32" s="12"/>
      <c r="B32" s="2"/>
      <c r="C32" s="2"/>
      <c r="D32" s="8"/>
      <c r="E32" s="2"/>
      <c r="F32" s="2"/>
      <c r="G32" s="5"/>
      <c r="H32" s="5"/>
      <c r="I32" s="8"/>
      <c r="J32" s="8" t="str">
        <f t="shared" si="0"/>
        <v/>
      </c>
      <c r="K32" s="5"/>
      <c r="L32" s="2"/>
      <c r="M32" s="2"/>
      <c r="N32" s="2"/>
    </row>
    <row r="33" spans="1:14">
      <c r="A33" s="12"/>
      <c r="B33" s="2"/>
      <c r="C33" s="2"/>
      <c r="D33" s="8"/>
      <c r="E33" s="2"/>
      <c r="F33" s="2"/>
      <c r="G33" s="5"/>
      <c r="H33" s="5"/>
      <c r="I33" s="8"/>
      <c r="J33" s="8" t="str">
        <f t="shared" si="0"/>
        <v/>
      </c>
      <c r="K33" s="5"/>
      <c r="L33" s="2"/>
      <c r="M33" s="2"/>
      <c r="N33" s="2"/>
    </row>
    <row r="34" spans="1:14">
      <c r="A34" s="12"/>
      <c r="B34" s="2"/>
      <c r="C34" s="2"/>
      <c r="D34" s="8"/>
      <c r="E34" s="2"/>
      <c r="F34" s="2"/>
      <c r="G34" s="5"/>
      <c r="H34" s="5"/>
      <c r="I34" s="8"/>
      <c r="J34" s="8" t="str">
        <f t="shared" si="0"/>
        <v/>
      </c>
      <c r="K34" s="5"/>
      <c r="L34" s="2"/>
      <c r="M34" s="2"/>
      <c r="N34" s="2"/>
    </row>
    <row r="35" spans="1:14">
      <c r="A35" s="12"/>
      <c r="B35" s="2"/>
      <c r="C35" s="2"/>
      <c r="D35" s="8"/>
      <c r="E35" s="2"/>
      <c r="F35" s="2"/>
      <c r="G35" s="5"/>
      <c r="H35" s="5"/>
      <c r="I35" s="8"/>
      <c r="J35" s="8" t="str">
        <f t="shared" si="0"/>
        <v/>
      </c>
      <c r="K35" s="5"/>
      <c r="L35" s="2"/>
      <c r="M35" s="2"/>
      <c r="N35" s="2"/>
    </row>
    <row r="36" spans="1:14">
      <c r="A36" s="12"/>
      <c r="B36" s="2"/>
      <c r="C36" s="2"/>
      <c r="D36" s="8"/>
      <c r="E36" s="2"/>
      <c r="F36" s="2"/>
      <c r="G36" s="5"/>
      <c r="H36" s="5"/>
      <c r="I36" s="8"/>
      <c r="J36" s="8" t="str">
        <f t="shared" si="0"/>
        <v/>
      </c>
      <c r="K36" s="5"/>
      <c r="L36" s="2"/>
      <c r="M36" s="2"/>
      <c r="N36" s="2"/>
    </row>
    <row r="37" spans="1:14">
      <c r="A37" s="12"/>
      <c r="B37" s="2"/>
      <c r="C37" s="2"/>
      <c r="D37" s="8"/>
      <c r="E37" s="2"/>
      <c r="F37" s="2"/>
      <c r="G37" s="5"/>
      <c r="H37" s="5"/>
      <c r="I37" s="8"/>
      <c r="J37" s="8" t="str">
        <f t="shared" si="0"/>
        <v/>
      </c>
      <c r="K37" s="5"/>
      <c r="L37" s="2"/>
      <c r="M37" s="2"/>
      <c r="N37" s="2"/>
    </row>
    <row r="38" spans="1:14">
      <c r="A38" s="12"/>
      <c r="B38" s="2"/>
      <c r="C38" s="2"/>
      <c r="D38" s="8"/>
      <c r="E38" s="2"/>
      <c r="F38" s="2"/>
      <c r="G38" s="5"/>
      <c r="H38" s="5"/>
      <c r="I38" s="8"/>
      <c r="J38" s="8" t="str">
        <f t="shared" si="0"/>
        <v/>
      </c>
      <c r="K38" s="5"/>
      <c r="L38" s="2"/>
      <c r="M38" s="2"/>
      <c r="N38" s="2"/>
    </row>
    <row r="39" spans="1:14">
      <c r="A39" s="12"/>
      <c r="B39" s="2"/>
      <c r="C39" s="2"/>
      <c r="D39" s="8"/>
      <c r="E39" s="2"/>
      <c r="F39" s="2"/>
      <c r="G39" s="5"/>
      <c r="H39" s="5"/>
      <c r="I39" s="8"/>
      <c r="J39" s="8" t="str">
        <f t="shared" si="0"/>
        <v/>
      </c>
      <c r="K39" s="5"/>
      <c r="L39" s="2"/>
      <c r="M39" s="2"/>
      <c r="N39" s="2"/>
    </row>
    <row r="40" spans="1:14">
      <c r="A40" s="12"/>
      <c r="B40" s="2"/>
      <c r="C40" s="2"/>
      <c r="D40" s="8"/>
      <c r="E40" s="2"/>
      <c r="F40" s="2"/>
      <c r="G40" s="5"/>
      <c r="H40" s="5"/>
      <c r="I40" s="8"/>
      <c r="J40" s="8" t="str">
        <f t="shared" si="0"/>
        <v/>
      </c>
      <c r="K40" s="5"/>
      <c r="L40" s="2"/>
      <c r="M40" s="2"/>
      <c r="N40" s="2"/>
    </row>
    <row r="41" spans="1:14">
      <c r="A41" s="12"/>
      <c r="B41" s="2"/>
      <c r="C41" s="2"/>
      <c r="D41" s="8"/>
      <c r="E41" s="2"/>
      <c r="F41" s="2"/>
      <c r="G41" s="5"/>
      <c r="H41" s="5"/>
      <c r="I41" s="8"/>
      <c r="J41" s="8" t="str">
        <f t="shared" si="0"/>
        <v/>
      </c>
      <c r="K41" s="5"/>
      <c r="L41" s="2"/>
      <c r="M41" s="2"/>
      <c r="N41" s="2"/>
    </row>
    <row r="42" spans="1:14">
      <c r="A42" s="12"/>
      <c r="B42" s="2"/>
      <c r="C42" s="2"/>
      <c r="D42" s="8"/>
      <c r="E42" s="2"/>
      <c r="F42" s="2"/>
      <c r="G42" s="5"/>
      <c r="H42" s="5"/>
      <c r="I42" s="8"/>
      <c r="J42" s="8" t="str">
        <f t="shared" si="0"/>
        <v/>
      </c>
      <c r="K42" s="5"/>
      <c r="L42" s="2"/>
      <c r="M42" s="2"/>
      <c r="N42" s="2"/>
    </row>
    <row r="43" spans="1:14">
      <c r="A43" s="12"/>
      <c r="B43" s="2"/>
      <c r="C43" s="2"/>
      <c r="D43" s="8"/>
      <c r="E43" s="2"/>
      <c r="F43" s="2"/>
      <c r="G43" s="5"/>
      <c r="H43" s="5"/>
      <c r="I43" s="8"/>
      <c r="J43" s="8" t="str">
        <f t="shared" si="0"/>
        <v/>
      </c>
      <c r="K43" s="5"/>
      <c r="L43" s="2"/>
      <c r="M43" s="2"/>
      <c r="N43" s="2"/>
    </row>
    <row r="44" spans="1:14">
      <c r="A44" s="12"/>
      <c r="B44" s="2"/>
      <c r="C44" s="2"/>
      <c r="D44" s="8"/>
      <c r="E44" s="2"/>
      <c r="F44" s="2"/>
      <c r="G44" s="5"/>
      <c r="H44" s="5"/>
      <c r="I44" s="8"/>
      <c r="J44" s="8" t="str">
        <f t="shared" si="0"/>
        <v/>
      </c>
      <c r="K44" s="5"/>
      <c r="L44" s="2"/>
      <c r="M44" s="2"/>
      <c r="N44" s="2"/>
    </row>
    <row r="45" spans="1:14">
      <c r="A45" s="12"/>
      <c r="B45" s="2"/>
      <c r="C45" s="2"/>
      <c r="D45" s="8"/>
      <c r="E45" s="2"/>
      <c r="F45" s="2"/>
      <c r="G45" s="5"/>
      <c r="H45" s="5"/>
      <c r="I45" s="8"/>
      <c r="J45" s="8" t="str">
        <f t="shared" si="0"/>
        <v/>
      </c>
      <c r="K45" s="5"/>
      <c r="L45" s="2"/>
      <c r="M45" s="2"/>
      <c r="N45" s="2"/>
    </row>
    <row r="46" spans="1:14">
      <c r="A46" s="12"/>
      <c r="B46" s="2"/>
      <c r="C46" s="2"/>
      <c r="D46" s="8"/>
      <c r="E46" s="2"/>
      <c r="F46" s="2"/>
      <c r="G46" s="5"/>
      <c r="H46" s="5"/>
      <c r="I46" s="8"/>
      <c r="J46" s="8" t="str">
        <f t="shared" si="0"/>
        <v/>
      </c>
      <c r="K46" s="5"/>
      <c r="L46" s="2"/>
      <c r="M46" s="2"/>
      <c r="N46" s="2"/>
    </row>
    <row r="47" spans="1:14">
      <c r="A47" s="12"/>
      <c r="B47" s="2"/>
      <c r="C47" s="2"/>
      <c r="D47" s="8"/>
      <c r="E47" s="2"/>
      <c r="F47" s="2"/>
      <c r="G47" s="5"/>
      <c r="H47" s="5"/>
      <c r="I47" s="8"/>
      <c r="J47" s="8" t="str">
        <f t="shared" si="0"/>
        <v/>
      </c>
      <c r="K47" s="5"/>
      <c r="L47" s="2"/>
      <c r="M47" s="2"/>
      <c r="N47" s="2"/>
    </row>
    <row r="48" spans="1:14">
      <c r="A48" s="12"/>
      <c r="B48" s="2"/>
      <c r="C48" s="2"/>
      <c r="D48" s="8"/>
      <c r="E48" s="2"/>
      <c r="F48" s="2"/>
      <c r="G48" s="5"/>
      <c r="H48" s="5"/>
      <c r="I48" s="8"/>
      <c r="J48" s="8" t="str">
        <f t="shared" si="0"/>
        <v/>
      </c>
      <c r="K48" s="5"/>
      <c r="L48" s="2"/>
      <c r="M48" s="2"/>
      <c r="N48" s="2"/>
    </row>
    <row r="49" spans="1:14">
      <c r="A49" s="12"/>
      <c r="B49" s="2"/>
      <c r="C49" s="2"/>
      <c r="D49" s="8"/>
      <c r="E49" s="2"/>
      <c r="F49" s="2"/>
      <c r="G49" s="5"/>
      <c r="H49" s="5"/>
      <c r="I49" s="8"/>
      <c r="J49" s="8" t="str">
        <f t="shared" si="0"/>
        <v/>
      </c>
      <c r="K49" s="5"/>
      <c r="L49" s="2"/>
      <c r="M49" s="2"/>
      <c r="N49" s="2"/>
    </row>
    <row r="50" spans="1:14">
      <c r="A50" s="12"/>
      <c r="B50" s="2"/>
      <c r="C50" s="2"/>
      <c r="D50" s="8"/>
      <c r="E50" s="2"/>
      <c r="F50" s="2"/>
      <c r="G50" s="5"/>
      <c r="H50" s="5"/>
      <c r="I50" s="8"/>
      <c r="J50" s="8" t="str">
        <f t="shared" si="0"/>
        <v/>
      </c>
      <c r="K50" s="5"/>
      <c r="L50" s="2"/>
      <c r="M50" s="2"/>
      <c r="N50" s="2"/>
    </row>
    <row r="51" spans="1:14">
      <c r="A51" s="12"/>
      <c r="B51" s="2"/>
      <c r="C51" s="2"/>
      <c r="D51" s="8"/>
      <c r="E51" s="2"/>
      <c r="F51" s="2"/>
      <c r="G51" s="5"/>
      <c r="H51" s="5"/>
      <c r="I51" s="8"/>
      <c r="J51" s="8" t="str">
        <f t="shared" si="0"/>
        <v/>
      </c>
      <c r="K51" s="5"/>
      <c r="L51" s="2"/>
      <c r="M51" s="2"/>
      <c r="N51" s="2"/>
    </row>
    <row r="52" spans="1:14">
      <c r="A52" s="12"/>
      <c r="B52" s="2"/>
      <c r="C52" s="2"/>
      <c r="D52" s="8"/>
      <c r="E52" s="2"/>
      <c r="F52" s="2"/>
      <c r="G52" s="5"/>
      <c r="H52" s="5"/>
      <c r="I52" s="8"/>
      <c r="J52" s="8" t="str">
        <f t="shared" si="0"/>
        <v/>
      </c>
      <c r="K52" s="5"/>
      <c r="L52" s="2"/>
      <c r="M52" s="2"/>
      <c r="N52" s="2"/>
    </row>
    <row r="53" spans="1:14">
      <c r="A53" s="12"/>
      <c r="B53" s="2"/>
      <c r="C53" s="2"/>
      <c r="D53" s="8"/>
      <c r="E53" s="2"/>
      <c r="F53" s="2"/>
      <c r="G53" s="5"/>
      <c r="H53" s="5"/>
      <c r="I53" s="8"/>
      <c r="J53" s="8" t="str">
        <f t="shared" si="0"/>
        <v/>
      </c>
      <c r="K53" s="5"/>
      <c r="L53" s="2"/>
      <c r="M53" s="2"/>
      <c r="N53" s="2"/>
    </row>
    <row r="54" spans="1:14">
      <c r="A54" s="12"/>
      <c r="B54" s="2"/>
      <c r="C54" s="2"/>
      <c r="D54" s="8"/>
      <c r="E54" s="2"/>
      <c r="F54" s="2"/>
      <c r="G54" s="5"/>
      <c r="H54" s="5"/>
      <c r="I54" s="8"/>
      <c r="J54" s="8" t="str">
        <f t="shared" si="0"/>
        <v/>
      </c>
      <c r="K54" s="5"/>
      <c r="L54" s="2"/>
      <c r="M54" s="2"/>
      <c r="N54" s="2"/>
    </row>
    <row r="55" spans="1:14">
      <c r="A55" s="12"/>
      <c r="B55" s="2"/>
      <c r="C55" s="2"/>
      <c r="D55" s="8"/>
      <c r="E55" s="2"/>
      <c r="F55" s="2"/>
      <c r="G55" s="5"/>
      <c r="H55" s="5"/>
      <c r="I55" s="8"/>
      <c r="J55" s="8" t="str">
        <f t="shared" si="0"/>
        <v/>
      </c>
      <c r="K55" s="5"/>
      <c r="L55" s="2"/>
      <c r="M55" s="2"/>
      <c r="N55" s="2"/>
    </row>
    <row r="56" spans="1:14">
      <c r="A56" s="12"/>
      <c r="B56" s="2"/>
      <c r="C56" s="2"/>
      <c r="D56" s="8"/>
      <c r="E56" s="2"/>
      <c r="F56" s="2"/>
      <c r="G56" s="5"/>
      <c r="H56" s="5"/>
      <c r="I56" s="8"/>
      <c r="J56" s="8" t="str">
        <f t="shared" si="0"/>
        <v/>
      </c>
      <c r="K56" s="5"/>
      <c r="L56" s="2"/>
      <c r="M56" s="2"/>
      <c r="N56" s="2"/>
    </row>
    <row r="57" spans="1:14">
      <c r="A57" s="12"/>
      <c r="B57" s="2"/>
      <c r="C57" s="2"/>
      <c r="D57" s="8"/>
      <c r="E57" s="2"/>
      <c r="F57" s="2"/>
      <c r="G57" s="5"/>
      <c r="H57" s="5"/>
      <c r="I57" s="8"/>
      <c r="J57" s="8" t="str">
        <f t="shared" si="0"/>
        <v/>
      </c>
      <c r="K57" s="5"/>
      <c r="L57" s="2"/>
      <c r="M57" s="2"/>
      <c r="N57" s="2"/>
    </row>
    <row r="58" spans="1:14">
      <c r="A58" s="12"/>
      <c r="B58" s="2"/>
      <c r="C58" s="2"/>
      <c r="D58" s="8"/>
      <c r="E58" s="2"/>
      <c r="F58" s="2"/>
      <c r="G58" s="5"/>
      <c r="H58" s="5"/>
      <c r="I58" s="8"/>
      <c r="J58" s="8" t="str">
        <f t="shared" si="0"/>
        <v/>
      </c>
      <c r="K58" s="5"/>
      <c r="L58" s="2"/>
      <c r="M58" s="2"/>
      <c r="N58" s="2"/>
    </row>
    <row r="59" spans="1:14">
      <c r="A59" s="12"/>
      <c r="B59" s="2"/>
      <c r="C59" s="2"/>
      <c r="D59" s="8"/>
      <c r="E59" s="2"/>
      <c r="F59" s="2"/>
      <c r="G59" s="5"/>
      <c r="H59" s="5"/>
      <c r="I59" s="8"/>
      <c r="J59" s="8" t="str">
        <f t="shared" si="0"/>
        <v/>
      </c>
      <c r="K59" s="5"/>
      <c r="L59" s="2"/>
      <c r="M59" s="2"/>
      <c r="N59" s="2"/>
    </row>
    <row r="60" spans="1:14">
      <c r="A60" s="12"/>
      <c r="B60" s="2"/>
      <c r="C60" s="2"/>
      <c r="D60" s="8"/>
      <c r="E60" s="2"/>
      <c r="F60" s="2"/>
      <c r="G60" s="5"/>
      <c r="H60" s="5"/>
      <c r="I60" s="8"/>
      <c r="J60" s="8" t="str">
        <f t="shared" si="0"/>
        <v/>
      </c>
      <c r="K60" s="5"/>
      <c r="L60" s="2"/>
      <c r="M60" s="2"/>
      <c r="N60" s="2"/>
    </row>
    <row r="61" spans="1:14">
      <c r="A61" s="12"/>
      <c r="B61" s="2"/>
      <c r="C61" s="2"/>
      <c r="D61" s="8"/>
      <c r="E61" s="2"/>
      <c r="F61" s="2"/>
      <c r="G61" s="5"/>
      <c r="H61" s="5"/>
      <c r="I61" s="8"/>
      <c r="J61" s="8" t="str">
        <f t="shared" si="0"/>
        <v/>
      </c>
      <c r="K61" s="5"/>
      <c r="L61" s="2"/>
      <c r="M61" s="2"/>
      <c r="N61" s="2"/>
    </row>
    <row r="62" spans="1:14">
      <c r="A62" s="12"/>
      <c r="B62" s="2"/>
      <c r="C62" s="2"/>
      <c r="D62" s="8"/>
      <c r="E62" s="2"/>
      <c r="F62" s="2"/>
      <c r="G62" s="5"/>
      <c r="H62" s="5"/>
      <c r="I62" s="8"/>
      <c r="J62" s="8" t="str">
        <f t="shared" si="0"/>
        <v/>
      </c>
      <c r="K62" s="5"/>
      <c r="L62" s="2"/>
      <c r="M62" s="2"/>
      <c r="N62" s="2"/>
    </row>
    <row r="63" spans="1:14">
      <c r="A63" s="12"/>
      <c r="B63" s="2"/>
      <c r="C63" s="2"/>
      <c r="D63" s="8"/>
      <c r="E63" s="2"/>
      <c r="F63" s="2"/>
      <c r="G63" s="5"/>
      <c r="H63" s="5"/>
      <c r="I63" s="8"/>
      <c r="J63" s="8" t="str">
        <f t="shared" si="0"/>
        <v/>
      </c>
      <c r="K63" s="5"/>
      <c r="L63" s="2"/>
      <c r="M63" s="2"/>
      <c r="N63" s="2"/>
    </row>
    <row r="64" spans="1:14">
      <c r="A64" s="12"/>
      <c r="B64" s="2"/>
      <c r="C64" s="2"/>
      <c r="D64" s="8"/>
      <c r="E64" s="2"/>
      <c r="F64" s="2"/>
      <c r="G64" s="5"/>
      <c r="H64" s="5"/>
      <c r="I64" s="8"/>
      <c r="J64" s="8" t="str">
        <f t="shared" si="0"/>
        <v/>
      </c>
      <c r="K64" s="5"/>
      <c r="L64" s="2"/>
      <c r="M64" s="2"/>
      <c r="N64" s="2"/>
    </row>
    <row r="65" spans="1:14">
      <c r="A65" s="12"/>
      <c r="B65" s="2"/>
      <c r="C65" s="2"/>
      <c r="D65" s="8"/>
      <c r="E65" s="2"/>
      <c r="F65" s="2"/>
      <c r="G65" s="5"/>
      <c r="H65" s="5"/>
      <c r="I65" s="8"/>
      <c r="J65" s="8" t="str">
        <f t="shared" si="0"/>
        <v/>
      </c>
      <c r="K65" s="5"/>
      <c r="L65" s="2"/>
      <c r="M65" s="2"/>
      <c r="N65" s="2"/>
    </row>
    <row r="66" spans="1:14">
      <c r="A66" s="12"/>
      <c r="B66" s="2"/>
      <c r="C66" s="2"/>
      <c r="D66" s="8"/>
      <c r="E66" s="2"/>
      <c r="F66" s="2"/>
      <c r="G66" s="5"/>
      <c r="H66" s="5"/>
      <c r="I66" s="8"/>
      <c r="J66" s="8" t="str">
        <f t="shared" si="0"/>
        <v/>
      </c>
      <c r="K66" s="5"/>
      <c r="L66" s="2"/>
      <c r="M66" s="2"/>
      <c r="N66" s="2"/>
    </row>
    <row r="67" spans="1:14">
      <c r="A67" s="12"/>
      <c r="B67" s="2"/>
      <c r="C67" s="2"/>
      <c r="D67" s="8"/>
      <c r="E67" s="2"/>
      <c r="F67" s="2"/>
      <c r="G67" s="5"/>
      <c r="H67" s="5"/>
      <c r="I67" s="8"/>
      <c r="J67" s="8" t="str">
        <f t="shared" si="0"/>
        <v/>
      </c>
      <c r="K67" s="5"/>
      <c r="L67" s="2"/>
      <c r="M67" s="2"/>
      <c r="N67" s="2"/>
    </row>
    <row r="68" spans="1:14">
      <c r="A68" s="12"/>
      <c r="B68" s="2"/>
      <c r="C68" s="2"/>
      <c r="D68" s="8"/>
      <c r="E68" s="2"/>
      <c r="F68" s="2"/>
      <c r="G68" s="5"/>
      <c r="H68" s="5"/>
      <c r="I68" s="8"/>
      <c r="J68" s="8" t="str">
        <f t="shared" ref="J68:J131" si="1">IF(D68="","",MAX(0,D68-I68))</f>
        <v/>
      </c>
      <c r="K68" s="5"/>
      <c r="L68" s="2"/>
      <c r="M68" s="2"/>
      <c r="N68" s="2"/>
    </row>
    <row r="69" spans="1:14">
      <c r="A69" s="12"/>
      <c r="B69" s="2"/>
      <c r="C69" s="2"/>
      <c r="D69" s="8"/>
      <c r="E69" s="2"/>
      <c r="F69" s="2"/>
      <c r="G69" s="5"/>
      <c r="H69" s="5"/>
      <c r="I69" s="8"/>
      <c r="J69" s="8" t="str">
        <f t="shared" si="1"/>
        <v/>
      </c>
      <c r="K69" s="5"/>
      <c r="L69" s="2"/>
      <c r="M69" s="2"/>
      <c r="N69" s="2"/>
    </row>
    <row r="70" spans="1:14">
      <c r="A70" s="12"/>
      <c r="B70" s="2"/>
      <c r="C70" s="2"/>
      <c r="D70" s="8"/>
      <c r="E70" s="2"/>
      <c r="F70" s="2"/>
      <c r="G70" s="5"/>
      <c r="H70" s="5"/>
      <c r="I70" s="8"/>
      <c r="J70" s="8" t="str">
        <f t="shared" si="1"/>
        <v/>
      </c>
      <c r="K70" s="5"/>
      <c r="L70" s="2"/>
      <c r="M70" s="2"/>
      <c r="N70" s="2"/>
    </row>
    <row r="71" spans="1:14">
      <c r="A71" s="12"/>
      <c r="B71" s="2"/>
      <c r="C71" s="2"/>
      <c r="D71" s="8"/>
      <c r="E71" s="2"/>
      <c r="F71" s="2"/>
      <c r="G71" s="5"/>
      <c r="H71" s="5"/>
      <c r="I71" s="8"/>
      <c r="J71" s="8" t="str">
        <f t="shared" si="1"/>
        <v/>
      </c>
      <c r="K71" s="5"/>
      <c r="L71" s="2"/>
      <c r="M71" s="2"/>
      <c r="N71" s="2"/>
    </row>
    <row r="72" spans="1:14">
      <c r="A72" s="12"/>
      <c r="B72" s="2"/>
      <c r="C72" s="2"/>
      <c r="D72" s="8"/>
      <c r="E72" s="2"/>
      <c r="F72" s="2"/>
      <c r="G72" s="5"/>
      <c r="H72" s="5"/>
      <c r="I72" s="8"/>
      <c r="J72" s="8" t="str">
        <f t="shared" si="1"/>
        <v/>
      </c>
      <c r="K72" s="5"/>
      <c r="L72" s="2"/>
      <c r="M72" s="2"/>
      <c r="N72" s="2"/>
    </row>
    <row r="73" spans="1:14">
      <c r="A73" s="12"/>
      <c r="B73" s="2"/>
      <c r="C73" s="2"/>
      <c r="D73" s="8"/>
      <c r="E73" s="2"/>
      <c r="F73" s="2"/>
      <c r="G73" s="5"/>
      <c r="H73" s="5"/>
      <c r="I73" s="8"/>
      <c r="J73" s="8" t="str">
        <f t="shared" si="1"/>
        <v/>
      </c>
      <c r="K73" s="5"/>
      <c r="L73" s="2"/>
      <c r="M73" s="2"/>
      <c r="N73" s="2"/>
    </row>
    <row r="74" spans="1:14">
      <c r="A74" s="12"/>
      <c r="B74" s="2"/>
      <c r="C74" s="2"/>
      <c r="D74" s="8"/>
      <c r="E74" s="2"/>
      <c r="F74" s="2"/>
      <c r="G74" s="5"/>
      <c r="H74" s="5"/>
      <c r="I74" s="8"/>
      <c r="J74" s="8" t="str">
        <f t="shared" si="1"/>
        <v/>
      </c>
      <c r="K74" s="5"/>
      <c r="L74" s="2"/>
      <c r="M74" s="2"/>
      <c r="N74" s="2"/>
    </row>
    <row r="75" spans="1:14">
      <c r="A75" s="12"/>
      <c r="B75" s="2"/>
      <c r="C75" s="2"/>
      <c r="D75" s="8"/>
      <c r="E75" s="2"/>
      <c r="F75" s="2"/>
      <c r="G75" s="5"/>
      <c r="H75" s="5"/>
      <c r="I75" s="8"/>
      <c r="J75" s="8" t="str">
        <f t="shared" si="1"/>
        <v/>
      </c>
      <c r="K75" s="5"/>
      <c r="L75" s="2"/>
      <c r="M75" s="2"/>
      <c r="N75" s="2"/>
    </row>
    <row r="76" spans="1:14">
      <c r="A76" s="12"/>
      <c r="B76" s="2"/>
      <c r="C76" s="2"/>
      <c r="D76" s="8"/>
      <c r="E76" s="2"/>
      <c r="F76" s="2"/>
      <c r="G76" s="5"/>
      <c r="H76" s="5"/>
      <c r="I76" s="8"/>
      <c r="J76" s="8" t="str">
        <f t="shared" si="1"/>
        <v/>
      </c>
      <c r="K76" s="5"/>
      <c r="L76" s="2"/>
      <c r="M76" s="2"/>
      <c r="N76" s="2"/>
    </row>
    <row r="77" spans="1:14">
      <c r="A77" s="12"/>
      <c r="B77" s="2"/>
      <c r="C77" s="2"/>
      <c r="D77" s="8"/>
      <c r="E77" s="2"/>
      <c r="F77" s="2"/>
      <c r="G77" s="5"/>
      <c r="H77" s="5"/>
      <c r="I77" s="8"/>
      <c r="J77" s="8" t="str">
        <f t="shared" si="1"/>
        <v/>
      </c>
      <c r="K77" s="5"/>
      <c r="L77" s="2"/>
      <c r="M77" s="2"/>
      <c r="N77" s="2"/>
    </row>
    <row r="78" spans="1:14">
      <c r="A78" s="12"/>
      <c r="B78" s="2"/>
      <c r="C78" s="2"/>
      <c r="D78" s="8"/>
      <c r="E78" s="2"/>
      <c r="F78" s="2"/>
      <c r="G78" s="5"/>
      <c r="H78" s="5"/>
      <c r="I78" s="8"/>
      <c r="J78" s="8" t="str">
        <f t="shared" si="1"/>
        <v/>
      </c>
      <c r="K78" s="5"/>
      <c r="L78" s="2"/>
      <c r="M78" s="2"/>
      <c r="N78" s="2"/>
    </row>
    <row r="79" spans="1:14">
      <c r="A79" s="12"/>
      <c r="B79" s="2"/>
      <c r="C79" s="2"/>
      <c r="D79" s="8"/>
      <c r="E79" s="2"/>
      <c r="F79" s="2"/>
      <c r="G79" s="5"/>
      <c r="H79" s="5"/>
      <c r="I79" s="8"/>
      <c r="J79" s="8" t="str">
        <f t="shared" si="1"/>
        <v/>
      </c>
      <c r="K79" s="5"/>
      <c r="L79" s="2"/>
      <c r="M79" s="2"/>
      <c r="N79" s="2"/>
    </row>
    <row r="80" spans="1:14">
      <c r="A80" s="12"/>
      <c r="B80" s="2"/>
      <c r="C80" s="2"/>
      <c r="D80" s="8"/>
      <c r="E80" s="2"/>
      <c r="F80" s="2"/>
      <c r="G80" s="5"/>
      <c r="H80" s="5"/>
      <c r="I80" s="8"/>
      <c r="J80" s="8" t="str">
        <f t="shared" si="1"/>
        <v/>
      </c>
      <c r="K80" s="5"/>
      <c r="L80" s="2"/>
      <c r="M80" s="2"/>
      <c r="N80" s="2"/>
    </row>
    <row r="81" spans="1:14">
      <c r="A81" s="12"/>
      <c r="B81" s="2"/>
      <c r="C81" s="2"/>
      <c r="D81" s="8"/>
      <c r="E81" s="2"/>
      <c r="F81" s="2"/>
      <c r="G81" s="5"/>
      <c r="H81" s="5"/>
      <c r="I81" s="8"/>
      <c r="J81" s="8" t="str">
        <f t="shared" si="1"/>
        <v/>
      </c>
      <c r="K81" s="5"/>
      <c r="L81" s="2"/>
      <c r="M81" s="2"/>
      <c r="N81" s="2"/>
    </row>
    <row r="82" spans="1:14">
      <c r="A82" s="12"/>
      <c r="B82" s="2"/>
      <c r="C82" s="2"/>
      <c r="D82" s="8"/>
      <c r="E82" s="2"/>
      <c r="F82" s="2"/>
      <c r="G82" s="5"/>
      <c r="H82" s="5"/>
      <c r="I82" s="8"/>
      <c r="J82" s="8" t="str">
        <f t="shared" si="1"/>
        <v/>
      </c>
      <c r="K82" s="5"/>
      <c r="L82" s="2"/>
      <c r="M82" s="2"/>
      <c r="N82" s="2"/>
    </row>
    <row r="83" spans="1:14">
      <c r="A83" s="12"/>
      <c r="B83" s="2"/>
      <c r="C83" s="2"/>
      <c r="D83" s="8"/>
      <c r="E83" s="2"/>
      <c r="F83" s="2"/>
      <c r="G83" s="5"/>
      <c r="H83" s="5"/>
      <c r="I83" s="8"/>
      <c r="J83" s="8" t="str">
        <f t="shared" si="1"/>
        <v/>
      </c>
      <c r="K83" s="5"/>
      <c r="L83" s="2"/>
      <c r="M83" s="2"/>
      <c r="N83" s="2"/>
    </row>
    <row r="84" spans="1:14">
      <c r="A84" s="12"/>
      <c r="B84" s="2"/>
      <c r="C84" s="2"/>
      <c r="D84" s="8"/>
      <c r="E84" s="2"/>
      <c r="F84" s="2"/>
      <c r="G84" s="5"/>
      <c r="H84" s="5"/>
      <c r="I84" s="8"/>
      <c r="J84" s="8" t="str">
        <f t="shared" si="1"/>
        <v/>
      </c>
      <c r="K84" s="5"/>
      <c r="L84" s="2"/>
      <c r="M84" s="2"/>
      <c r="N84" s="2"/>
    </row>
    <row r="85" spans="1:14">
      <c r="A85" s="12"/>
      <c r="B85" s="2"/>
      <c r="C85" s="2"/>
      <c r="D85" s="8"/>
      <c r="E85" s="2"/>
      <c r="F85" s="2"/>
      <c r="G85" s="5"/>
      <c r="H85" s="5"/>
      <c r="I85" s="8"/>
      <c r="J85" s="8" t="str">
        <f t="shared" si="1"/>
        <v/>
      </c>
      <c r="K85" s="5"/>
      <c r="L85" s="2"/>
      <c r="M85" s="2"/>
      <c r="N85" s="2"/>
    </row>
    <row r="86" spans="1:14">
      <c r="A86" s="12"/>
      <c r="B86" s="2"/>
      <c r="C86" s="2"/>
      <c r="D86" s="8"/>
      <c r="E86" s="2"/>
      <c r="F86" s="2"/>
      <c r="G86" s="5"/>
      <c r="H86" s="5"/>
      <c r="I86" s="8"/>
      <c r="J86" s="8" t="str">
        <f t="shared" si="1"/>
        <v/>
      </c>
      <c r="K86" s="5"/>
      <c r="L86" s="2"/>
      <c r="M86" s="2"/>
      <c r="N86" s="2"/>
    </row>
    <row r="87" spans="1:14">
      <c r="A87" s="12"/>
      <c r="B87" s="2"/>
      <c r="C87" s="2"/>
      <c r="D87" s="8"/>
      <c r="E87" s="2"/>
      <c r="F87" s="2"/>
      <c r="G87" s="5"/>
      <c r="H87" s="5"/>
      <c r="I87" s="8"/>
      <c r="J87" s="8" t="str">
        <f t="shared" si="1"/>
        <v/>
      </c>
      <c r="K87" s="5"/>
      <c r="L87" s="2"/>
      <c r="M87" s="2"/>
      <c r="N87" s="2"/>
    </row>
    <row r="88" spans="1:14">
      <c r="A88" s="12"/>
      <c r="B88" s="2"/>
      <c r="C88" s="2"/>
      <c r="D88" s="8"/>
      <c r="E88" s="2"/>
      <c r="F88" s="2"/>
      <c r="G88" s="5"/>
      <c r="H88" s="5"/>
      <c r="I88" s="8"/>
      <c r="J88" s="8" t="str">
        <f t="shared" si="1"/>
        <v/>
      </c>
      <c r="K88" s="5"/>
      <c r="L88" s="2"/>
      <c r="M88" s="2"/>
      <c r="N88" s="2"/>
    </row>
    <row r="89" spans="1:14">
      <c r="A89" s="12"/>
      <c r="B89" s="2"/>
      <c r="C89" s="2"/>
      <c r="D89" s="8"/>
      <c r="E89" s="2"/>
      <c r="F89" s="2"/>
      <c r="G89" s="5"/>
      <c r="H89" s="5"/>
      <c r="I89" s="8"/>
      <c r="J89" s="8" t="str">
        <f t="shared" si="1"/>
        <v/>
      </c>
      <c r="K89" s="5"/>
      <c r="L89" s="2"/>
      <c r="M89" s="2"/>
      <c r="N89" s="2"/>
    </row>
    <row r="90" spans="1:14">
      <c r="A90" s="12"/>
      <c r="B90" s="2"/>
      <c r="C90" s="2"/>
      <c r="D90" s="8"/>
      <c r="E90" s="2"/>
      <c r="F90" s="2"/>
      <c r="G90" s="5"/>
      <c r="H90" s="5"/>
      <c r="I90" s="8"/>
      <c r="J90" s="8" t="str">
        <f t="shared" si="1"/>
        <v/>
      </c>
      <c r="K90" s="5"/>
      <c r="L90" s="2"/>
      <c r="M90" s="2"/>
      <c r="N90" s="2"/>
    </row>
    <row r="91" spans="1:14">
      <c r="A91" s="12"/>
      <c r="B91" s="2"/>
      <c r="C91" s="2"/>
      <c r="D91" s="8"/>
      <c r="E91" s="2"/>
      <c r="F91" s="2"/>
      <c r="G91" s="5"/>
      <c r="H91" s="5"/>
      <c r="I91" s="8"/>
      <c r="J91" s="8" t="str">
        <f t="shared" si="1"/>
        <v/>
      </c>
      <c r="K91" s="5"/>
      <c r="L91" s="2"/>
      <c r="M91" s="2"/>
      <c r="N91" s="2"/>
    </row>
    <row r="92" spans="1:14">
      <c r="A92" s="12"/>
      <c r="B92" s="2"/>
      <c r="C92" s="2"/>
      <c r="D92" s="8"/>
      <c r="E92" s="2"/>
      <c r="F92" s="2"/>
      <c r="G92" s="5"/>
      <c r="H92" s="5"/>
      <c r="I92" s="8"/>
      <c r="J92" s="8" t="str">
        <f t="shared" si="1"/>
        <v/>
      </c>
      <c r="K92" s="5"/>
      <c r="L92" s="2"/>
      <c r="M92" s="2"/>
      <c r="N92" s="2"/>
    </row>
    <row r="93" spans="1:14">
      <c r="A93" s="12"/>
      <c r="B93" s="2"/>
      <c r="C93" s="2"/>
      <c r="D93" s="8"/>
      <c r="E93" s="2"/>
      <c r="F93" s="2"/>
      <c r="G93" s="5"/>
      <c r="H93" s="5"/>
      <c r="I93" s="8"/>
      <c r="J93" s="8" t="str">
        <f t="shared" si="1"/>
        <v/>
      </c>
      <c r="K93" s="5"/>
      <c r="L93" s="2"/>
      <c r="M93" s="2"/>
      <c r="N93" s="2"/>
    </row>
    <row r="94" spans="1:14">
      <c r="A94" s="12"/>
      <c r="B94" s="2"/>
      <c r="C94" s="2"/>
      <c r="D94" s="8"/>
      <c r="E94" s="2"/>
      <c r="F94" s="2"/>
      <c r="G94" s="5"/>
      <c r="H94" s="5"/>
      <c r="I94" s="8"/>
      <c r="J94" s="8" t="str">
        <f t="shared" si="1"/>
        <v/>
      </c>
      <c r="K94" s="5"/>
      <c r="L94" s="2"/>
      <c r="M94" s="2"/>
      <c r="N94" s="2"/>
    </row>
    <row r="95" spans="1:14">
      <c r="A95" s="12"/>
      <c r="B95" s="2"/>
      <c r="C95" s="2"/>
      <c r="D95" s="8"/>
      <c r="E95" s="2"/>
      <c r="F95" s="2"/>
      <c r="G95" s="5"/>
      <c r="H95" s="5"/>
      <c r="I95" s="8"/>
      <c r="J95" s="8" t="str">
        <f t="shared" si="1"/>
        <v/>
      </c>
      <c r="K95" s="5"/>
      <c r="L95" s="2"/>
      <c r="M95" s="2"/>
      <c r="N95" s="2"/>
    </row>
    <row r="96" spans="1:14">
      <c r="A96" s="12"/>
      <c r="B96" s="2"/>
      <c r="C96" s="2"/>
      <c r="D96" s="8"/>
      <c r="E96" s="2"/>
      <c r="F96" s="2"/>
      <c r="G96" s="5"/>
      <c r="H96" s="5"/>
      <c r="I96" s="8"/>
      <c r="J96" s="8" t="str">
        <f t="shared" si="1"/>
        <v/>
      </c>
      <c r="K96" s="5"/>
      <c r="L96" s="2"/>
      <c r="M96" s="2"/>
      <c r="N96" s="2"/>
    </row>
    <row r="97" spans="1:14">
      <c r="A97" s="12"/>
      <c r="B97" s="2"/>
      <c r="C97" s="2"/>
      <c r="D97" s="8"/>
      <c r="E97" s="2"/>
      <c r="F97" s="2"/>
      <c r="G97" s="5"/>
      <c r="H97" s="5"/>
      <c r="I97" s="8"/>
      <c r="J97" s="8" t="str">
        <f t="shared" si="1"/>
        <v/>
      </c>
      <c r="K97" s="5"/>
      <c r="L97" s="2"/>
      <c r="M97" s="2"/>
      <c r="N97" s="2"/>
    </row>
    <row r="98" spans="1:14">
      <c r="A98" s="12"/>
      <c r="B98" s="2"/>
      <c r="C98" s="2"/>
      <c r="D98" s="8"/>
      <c r="E98" s="2"/>
      <c r="F98" s="2"/>
      <c r="G98" s="5"/>
      <c r="H98" s="5"/>
      <c r="I98" s="8"/>
      <c r="J98" s="8" t="str">
        <f t="shared" si="1"/>
        <v/>
      </c>
      <c r="K98" s="5"/>
      <c r="L98" s="2"/>
      <c r="M98" s="2"/>
      <c r="N98" s="2"/>
    </row>
    <row r="99" spans="1:14">
      <c r="A99" s="12"/>
      <c r="B99" s="2"/>
      <c r="C99" s="2"/>
      <c r="D99" s="8"/>
      <c r="E99" s="2"/>
      <c r="F99" s="2"/>
      <c r="G99" s="5"/>
      <c r="H99" s="5"/>
      <c r="I99" s="8"/>
      <c r="J99" s="8" t="str">
        <f t="shared" si="1"/>
        <v/>
      </c>
      <c r="K99" s="5"/>
      <c r="L99" s="2"/>
      <c r="M99" s="2"/>
      <c r="N99" s="2"/>
    </row>
    <row r="100" spans="1:14">
      <c r="A100" s="12"/>
      <c r="B100" s="2"/>
      <c r="C100" s="2"/>
      <c r="D100" s="8"/>
      <c r="E100" s="2"/>
      <c r="F100" s="2"/>
      <c r="G100" s="5"/>
      <c r="H100" s="5"/>
      <c r="I100" s="8"/>
      <c r="J100" s="8" t="str">
        <f t="shared" si="1"/>
        <v/>
      </c>
      <c r="K100" s="5"/>
      <c r="L100" s="2"/>
      <c r="M100" s="2"/>
      <c r="N100" s="2"/>
    </row>
    <row r="101" spans="1:14">
      <c r="A101" s="12"/>
      <c r="B101" s="2"/>
      <c r="C101" s="2"/>
      <c r="D101" s="8"/>
      <c r="E101" s="2"/>
      <c r="F101" s="2"/>
      <c r="G101" s="5"/>
      <c r="H101" s="5"/>
      <c r="I101" s="8"/>
      <c r="J101" s="8" t="str">
        <f t="shared" si="1"/>
        <v/>
      </c>
      <c r="K101" s="5"/>
      <c r="L101" s="2"/>
      <c r="M101" s="2"/>
      <c r="N101" s="2"/>
    </row>
    <row r="102" spans="1:14">
      <c r="A102" s="12"/>
      <c r="B102" s="2"/>
      <c r="C102" s="2"/>
      <c r="D102" s="8"/>
      <c r="E102" s="2"/>
      <c r="F102" s="2"/>
      <c r="G102" s="5"/>
      <c r="H102" s="5"/>
      <c r="I102" s="8"/>
      <c r="J102" s="8" t="str">
        <f t="shared" si="1"/>
        <v/>
      </c>
      <c r="K102" s="5"/>
      <c r="L102" s="2"/>
      <c r="M102" s="2"/>
      <c r="N102" s="2"/>
    </row>
    <row r="103" spans="1:14">
      <c r="A103" s="12"/>
      <c r="B103" s="2"/>
      <c r="C103" s="2"/>
      <c r="D103" s="8"/>
      <c r="E103" s="2"/>
      <c r="F103" s="2"/>
      <c r="G103" s="5"/>
      <c r="H103" s="5"/>
      <c r="I103" s="8"/>
      <c r="J103" s="8" t="str">
        <f t="shared" si="1"/>
        <v/>
      </c>
      <c r="K103" s="5"/>
      <c r="L103" s="2"/>
      <c r="M103" s="2"/>
      <c r="N103" s="2"/>
    </row>
    <row r="104" spans="1:14">
      <c r="A104" s="12"/>
      <c r="B104" s="2"/>
      <c r="C104" s="2"/>
      <c r="D104" s="8"/>
      <c r="E104" s="2"/>
      <c r="F104" s="2"/>
      <c r="G104" s="5"/>
      <c r="H104" s="5"/>
      <c r="I104" s="8"/>
      <c r="J104" s="8" t="str">
        <f t="shared" si="1"/>
        <v/>
      </c>
      <c r="K104" s="5"/>
      <c r="L104" s="2"/>
      <c r="M104" s="2"/>
      <c r="N104" s="2"/>
    </row>
    <row r="105" spans="1:14">
      <c r="A105" s="12"/>
      <c r="B105" s="2"/>
      <c r="C105" s="2"/>
      <c r="D105" s="8"/>
      <c r="E105" s="2"/>
      <c r="F105" s="2"/>
      <c r="G105" s="5"/>
      <c r="H105" s="5"/>
      <c r="I105" s="8"/>
      <c r="J105" s="8" t="str">
        <f t="shared" si="1"/>
        <v/>
      </c>
      <c r="K105" s="5"/>
      <c r="L105" s="2"/>
      <c r="M105" s="2"/>
      <c r="N105" s="2"/>
    </row>
    <row r="106" spans="1:14">
      <c r="A106" s="12"/>
      <c r="B106" s="2"/>
      <c r="C106" s="2"/>
      <c r="D106" s="8"/>
      <c r="E106" s="2"/>
      <c r="F106" s="2"/>
      <c r="G106" s="5"/>
      <c r="H106" s="5"/>
      <c r="I106" s="8"/>
      <c r="J106" s="8" t="str">
        <f t="shared" si="1"/>
        <v/>
      </c>
      <c r="K106" s="5"/>
      <c r="L106" s="2"/>
      <c r="M106" s="2"/>
      <c r="N106" s="2"/>
    </row>
    <row r="107" spans="1:14">
      <c r="A107" s="12"/>
      <c r="B107" s="2"/>
      <c r="C107" s="2"/>
      <c r="D107" s="8"/>
      <c r="E107" s="2"/>
      <c r="F107" s="2"/>
      <c r="G107" s="5"/>
      <c r="H107" s="5"/>
      <c r="I107" s="8"/>
      <c r="J107" s="8" t="str">
        <f t="shared" si="1"/>
        <v/>
      </c>
      <c r="K107" s="5"/>
      <c r="L107" s="2"/>
      <c r="M107" s="2"/>
      <c r="N107" s="2"/>
    </row>
    <row r="108" spans="1:14">
      <c r="A108" s="12"/>
      <c r="B108" s="2"/>
      <c r="C108" s="2"/>
      <c r="D108" s="8"/>
      <c r="E108" s="2"/>
      <c r="F108" s="2"/>
      <c r="G108" s="5"/>
      <c r="H108" s="5"/>
      <c r="I108" s="8"/>
      <c r="J108" s="8" t="str">
        <f t="shared" si="1"/>
        <v/>
      </c>
      <c r="K108" s="5"/>
      <c r="L108" s="2"/>
      <c r="M108" s="2"/>
      <c r="N108" s="2"/>
    </row>
    <row r="109" spans="1:14">
      <c r="A109" s="12"/>
      <c r="B109" s="2"/>
      <c r="C109" s="2"/>
      <c r="D109" s="8"/>
      <c r="E109" s="2"/>
      <c r="F109" s="2"/>
      <c r="G109" s="5"/>
      <c r="H109" s="5"/>
      <c r="I109" s="8"/>
      <c r="J109" s="8" t="str">
        <f t="shared" si="1"/>
        <v/>
      </c>
      <c r="K109" s="5"/>
      <c r="L109" s="2"/>
      <c r="M109" s="2"/>
      <c r="N109" s="2"/>
    </row>
    <row r="110" spans="1:14">
      <c r="A110" s="12"/>
      <c r="B110" s="2"/>
      <c r="C110" s="2"/>
      <c r="D110" s="8"/>
      <c r="E110" s="2"/>
      <c r="F110" s="2"/>
      <c r="G110" s="5"/>
      <c r="H110" s="5"/>
      <c r="I110" s="8"/>
      <c r="J110" s="8" t="str">
        <f t="shared" si="1"/>
        <v/>
      </c>
      <c r="K110" s="5"/>
      <c r="L110" s="2"/>
      <c r="M110" s="2"/>
      <c r="N110" s="2"/>
    </row>
    <row r="111" spans="1:14">
      <c r="A111" s="12"/>
      <c r="B111" s="2"/>
      <c r="C111" s="2"/>
      <c r="D111" s="8"/>
      <c r="E111" s="2"/>
      <c r="F111" s="2"/>
      <c r="G111" s="5"/>
      <c r="H111" s="5"/>
      <c r="I111" s="8"/>
      <c r="J111" s="8" t="str">
        <f t="shared" si="1"/>
        <v/>
      </c>
      <c r="K111" s="5"/>
      <c r="L111" s="2"/>
      <c r="M111" s="2"/>
      <c r="N111" s="2"/>
    </row>
    <row r="112" spans="1:14">
      <c r="A112" s="12"/>
      <c r="B112" s="2"/>
      <c r="C112" s="2"/>
      <c r="D112" s="8"/>
      <c r="E112" s="2"/>
      <c r="F112" s="2"/>
      <c r="G112" s="5"/>
      <c r="H112" s="5"/>
      <c r="I112" s="8"/>
      <c r="J112" s="8" t="str">
        <f t="shared" si="1"/>
        <v/>
      </c>
      <c r="K112" s="5"/>
      <c r="L112" s="2"/>
      <c r="M112" s="2"/>
      <c r="N112" s="2"/>
    </row>
    <row r="113" spans="1:14">
      <c r="A113" s="12"/>
      <c r="B113" s="2"/>
      <c r="C113" s="2"/>
      <c r="D113" s="8"/>
      <c r="E113" s="2"/>
      <c r="F113" s="2"/>
      <c r="G113" s="5"/>
      <c r="H113" s="5"/>
      <c r="I113" s="8"/>
      <c r="J113" s="8" t="str">
        <f t="shared" si="1"/>
        <v/>
      </c>
      <c r="K113" s="5"/>
      <c r="L113" s="2"/>
      <c r="M113" s="2"/>
      <c r="N113" s="2"/>
    </row>
    <row r="114" spans="1:14">
      <c r="A114" s="12"/>
      <c r="B114" s="2"/>
      <c r="C114" s="2"/>
      <c r="D114" s="8"/>
      <c r="E114" s="2"/>
      <c r="F114" s="2"/>
      <c r="G114" s="5"/>
      <c r="H114" s="5"/>
      <c r="I114" s="8"/>
      <c r="J114" s="8" t="str">
        <f t="shared" si="1"/>
        <v/>
      </c>
      <c r="K114" s="5"/>
      <c r="L114" s="2"/>
      <c r="M114" s="2"/>
      <c r="N114" s="2"/>
    </row>
    <row r="115" spans="1:14">
      <c r="A115" s="12"/>
      <c r="B115" s="2"/>
      <c r="C115" s="2"/>
      <c r="D115" s="8"/>
      <c r="E115" s="2"/>
      <c r="F115" s="2"/>
      <c r="G115" s="5"/>
      <c r="H115" s="5"/>
      <c r="I115" s="8"/>
      <c r="J115" s="8" t="str">
        <f t="shared" si="1"/>
        <v/>
      </c>
      <c r="K115" s="5"/>
      <c r="L115" s="2"/>
      <c r="M115" s="2"/>
      <c r="N115" s="2"/>
    </row>
    <row r="116" spans="1:14">
      <c r="A116" s="12"/>
      <c r="B116" s="2"/>
      <c r="C116" s="2"/>
      <c r="D116" s="8"/>
      <c r="E116" s="2"/>
      <c r="F116" s="2"/>
      <c r="G116" s="5"/>
      <c r="H116" s="5"/>
      <c r="I116" s="8"/>
      <c r="J116" s="8" t="str">
        <f t="shared" si="1"/>
        <v/>
      </c>
      <c r="K116" s="5"/>
      <c r="L116" s="2"/>
      <c r="M116" s="2"/>
      <c r="N116" s="2"/>
    </row>
    <row r="117" spans="1:14">
      <c r="A117" s="12"/>
      <c r="B117" s="2"/>
      <c r="C117" s="2"/>
      <c r="D117" s="8"/>
      <c r="E117" s="2"/>
      <c r="F117" s="2"/>
      <c r="G117" s="5"/>
      <c r="H117" s="5"/>
      <c r="I117" s="8"/>
      <c r="J117" s="8" t="str">
        <f t="shared" si="1"/>
        <v/>
      </c>
      <c r="K117" s="5"/>
      <c r="L117" s="2"/>
      <c r="M117" s="2"/>
      <c r="N117" s="2"/>
    </row>
    <row r="118" spans="1:14">
      <c r="A118" s="12"/>
      <c r="B118" s="2"/>
      <c r="C118" s="2"/>
      <c r="D118" s="8"/>
      <c r="E118" s="2"/>
      <c r="F118" s="2"/>
      <c r="G118" s="5"/>
      <c r="H118" s="5"/>
      <c r="I118" s="8"/>
      <c r="J118" s="8" t="str">
        <f t="shared" si="1"/>
        <v/>
      </c>
      <c r="K118" s="5"/>
      <c r="L118" s="2"/>
      <c r="M118" s="2"/>
      <c r="N118" s="2"/>
    </row>
    <row r="119" spans="1:14">
      <c r="A119" s="12"/>
      <c r="B119" s="2"/>
      <c r="C119" s="2"/>
      <c r="D119" s="8"/>
      <c r="E119" s="2"/>
      <c r="F119" s="2"/>
      <c r="G119" s="5"/>
      <c r="H119" s="5"/>
      <c r="I119" s="8"/>
      <c r="J119" s="8" t="str">
        <f t="shared" si="1"/>
        <v/>
      </c>
      <c r="K119" s="5"/>
      <c r="L119" s="2"/>
      <c r="M119" s="2"/>
      <c r="N119" s="2"/>
    </row>
    <row r="120" spans="1:14">
      <c r="A120" s="12"/>
      <c r="B120" s="2"/>
      <c r="C120" s="2"/>
      <c r="D120" s="8"/>
      <c r="E120" s="2"/>
      <c r="F120" s="2"/>
      <c r="G120" s="5"/>
      <c r="H120" s="5"/>
      <c r="I120" s="8"/>
      <c r="J120" s="8" t="str">
        <f t="shared" si="1"/>
        <v/>
      </c>
      <c r="K120" s="5"/>
      <c r="L120" s="2"/>
      <c r="M120" s="2"/>
      <c r="N120" s="2"/>
    </row>
    <row r="121" spans="1:14">
      <c r="A121" s="12"/>
      <c r="B121" s="2"/>
      <c r="C121" s="2"/>
      <c r="D121" s="8"/>
      <c r="E121" s="2"/>
      <c r="F121" s="2"/>
      <c r="G121" s="5"/>
      <c r="H121" s="5"/>
      <c r="I121" s="8"/>
      <c r="J121" s="8" t="str">
        <f t="shared" si="1"/>
        <v/>
      </c>
      <c r="K121" s="5"/>
      <c r="L121" s="2"/>
      <c r="M121" s="2"/>
      <c r="N121" s="2"/>
    </row>
    <row r="122" spans="1:14">
      <c r="A122" s="12"/>
      <c r="B122" s="2"/>
      <c r="C122" s="2"/>
      <c r="D122" s="8"/>
      <c r="E122" s="2"/>
      <c r="F122" s="2"/>
      <c r="G122" s="5"/>
      <c r="H122" s="5"/>
      <c r="I122" s="8"/>
      <c r="J122" s="8" t="str">
        <f t="shared" si="1"/>
        <v/>
      </c>
      <c r="K122" s="5"/>
      <c r="L122" s="2"/>
      <c r="M122" s="2"/>
      <c r="N122" s="2"/>
    </row>
    <row r="123" spans="1:14">
      <c r="A123" s="12"/>
      <c r="B123" s="2"/>
      <c r="C123" s="2"/>
      <c r="D123" s="8"/>
      <c r="E123" s="2"/>
      <c r="F123" s="2"/>
      <c r="G123" s="5"/>
      <c r="H123" s="5"/>
      <c r="I123" s="8"/>
      <c r="J123" s="8" t="str">
        <f t="shared" si="1"/>
        <v/>
      </c>
      <c r="K123" s="5"/>
      <c r="L123" s="2"/>
      <c r="M123" s="2"/>
      <c r="N123" s="2"/>
    </row>
    <row r="124" spans="1:14">
      <c r="A124" s="12"/>
      <c r="B124" s="2"/>
      <c r="C124" s="2"/>
      <c r="D124" s="8"/>
      <c r="E124" s="2"/>
      <c r="F124" s="2"/>
      <c r="G124" s="5"/>
      <c r="H124" s="5"/>
      <c r="I124" s="8"/>
      <c r="J124" s="8" t="str">
        <f t="shared" si="1"/>
        <v/>
      </c>
      <c r="K124" s="5"/>
      <c r="L124" s="2"/>
      <c r="M124" s="2"/>
      <c r="N124" s="2"/>
    </row>
    <row r="125" spans="1:14">
      <c r="A125" s="12"/>
      <c r="B125" s="2"/>
      <c r="C125" s="2"/>
      <c r="D125" s="8"/>
      <c r="E125" s="2"/>
      <c r="F125" s="2"/>
      <c r="G125" s="5"/>
      <c r="H125" s="5"/>
      <c r="I125" s="8"/>
      <c r="J125" s="8" t="str">
        <f t="shared" si="1"/>
        <v/>
      </c>
      <c r="K125" s="5"/>
      <c r="L125" s="2"/>
      <c r="M125" s="2"/>
      <c r="N125" s="2"/>
    </row>
    <row r="126" spans="1:14">
      <c r="A126" s="12"/>
      <c r="B126" s="2"/>
      <c r="C126" s="2"/>
      <c r="D126" s="8"/>
      <c r="E126" s="2"/>
      <c r="F126" s="2"/>
      <c r="G126" s="5"/>
      <c r="H126" s="5"/>
      <c r="I126" s="8"/>
      <c r="J126" s="8" t="str">
        <f t="shared" si="1"/>
        <v/>
      </c>
      <c r="K126" s="5"/>
      <c r="L126" s="2"/>
      <c r="M126" s="2"/>
      <c r="N126" s="2"/>
    </row>
    <row r="127" spans="1:14">
      <c r="A127" s="12"/>
      <c r="B127" s="2"/>
      <c r="C127" s="2"/>
      <c r="D127" s="8"/>
      <c r="E127" s="2"/>
      <c r="F127" s="2"/>
      <c r="G127" s="5"/>
      <c r="H127" s="5"/>
      <c r="I127" s="8"/>
      <c r="J127" s="8" t="str">
        <f t="shared" si="1"/>
        <v/>
      </c>
      <c r="K127" s="5"/>
      <c r="L127" s="2"/>
      <c r="M127" s="2"/>
      <c r="N127" s="2"/>
    </row>
    <row r="128" spans="1:14">
      <c r="A128" s="12"/>
      <c r="B128" s="2"/>
      <c r="C128" s="2"/>
      <c r="D128" s="8"/>
      <c r="E128" s="2"/>
      <c r="F128" s="2"/>
      <c r="G128" s="5"/>
      <c r="H128" s="5"/>
      <c r="I128" s="8"/>
      <c r="J128" s="8" t="str">
        <f t="shared" si="1"/>
        <v/>
      </c>
      <c r="K128" s="5"/>
      <c r="L128" s="2"/>
      <c r="M128" s="2"/>
      <c r="N128" s="2"/>
    </row>
    <row r="129" spans="1:14">
      <c r="A129" s="12"/>
      <c r="B129" s="2"/>
      <c r="C129" s="2"/>
      <c r="D129" s="8"/>
      <c r="E129" s="2"/>
      <c r="F129" s="2"/>
      <c r="G129" s="5"/>
      <c r="H129" s="5"/>
      <c r="I129" s="8"/>
      <c r="J129" s="8" t="str">
        <f t="shared" si="1"/>
        <v/>
      </c>
      <c r="K129" s="5"/>
      <c r="L129" s="2"/>
      <c r="M129" s="2"/>
      <c r="N129" s="2"/>
    </row>
    <row r="130" spans="1:14">
      <c r="A130" s="12"/>
      <c r="B130" s="2"/>
      <c r="C130" s="2"/>
      <c r="D130" s="8"/>
      <c r="E130" s="2"/>
      <c r="F130" s="2"/>
      <c r="G130" s="5"/>
      <c r="H130" s="5"/>
      <c r="I130" s="8"/>
      <c r="J130" s="8" t="str">
        <f t="shared" si="1"/>
        <v/>
      </c>
      <c r="K130" s="5"/>
      <c r="L130" s="2"/>
      <c r="M130" s="2"/>
      <c r="N130" s="2"/>
    </row>
    <row r="131" spans="1:14">
      <c r="A131" s="12"/>
      <c r="B131" s="2"/>
      <c r="C131" s="2"/>
      <c r="D131" s="8"/>
      <c r="E131" s="2"/>
      <c r="F131" s="2"/>
      <c r="G131" s="5"/>
      <c r="H131" s="5"/>
      <c r="I131" s="8"/>
      <c r="J131" s="8" t="str">
        <f t="shared" si="1"/>
        <v/>
      </c>
      <c r="K131" s="5"/>
      <c r="L131" s="2"/>
      <c r="M131" s="2"/>
      <c r="N131" s="2"/>
    </row>
    <row r="132" spans="1:14">
      <c r="A132" s="12"/>
      <c r="B132" s="2"/>
      <c r="C132" s="2"/>
      <c r="D132" s="8"/>
      <c r="E132" s="2"/>
      <c r="F132" s="2"/>
      <c r="G132" s="5"/>
      <c r="H132" s="5"/>
      <c r="I132" s="8"/>
      <c r="J132" s="8" t="str">
        <f t="shared" ref="J132:J195" si="2">IF(D132="","",MAX(0,D132-I132))</f>
        <v/>
      </c>
      <c r="K132" s="5"/>
      <c r="L132" s="2"/>
      <c r="M132" s="2"/>
      <c r="N132" s="2"/>
    </row>
    <row r="133" spans="1:14">
      <c r="A133" s="12"/>
      <c r="B133" s="2"/>
      <c r="C133" s="2"/>
      <c r="D133" s="8"/>
      <c r="E133" s="2"/>
      <c r="F133" s="2"/>
      <c r="G133" s="5"/>
      <c r="H133" s="5"/>
      <c r="I133" s="8"/>
      <c r="J133" s="8" t="str">
        <f t="shared" si="2"/>
        <v/>
      </c>
      <c r="K133" s="5"/>
      <c r="L133" s="2"/>
      <c r="M133" s="2"/>
      <c r="N133" s="2"/>
    </row>
    <row r="134" spans="1:14">
      <c r="A134" s="12"/>
      <c r="B134" s="2"/>
      <c r="C134" s="2"/>
      <c r="D134" s="8"/>
      <c r="E134" s="2"/>
      <c r="F134" s="2"/>
      <c r="G134" s="5"/>
      <c r="H134" s="5"/>
      <c r="I134" s="8"/>
      <c r="J134" s="8" t="str">
        <f t="shared" si="2"/>
        <v/>
      </c>
      <c r="K134" s="5"/>
      <c r="L134" s="2"/>
      <c r="M134" s="2"/>
      <c r="N134" s="2"/>
    </row>
    <row r="135" spans="1:14">
      <c r="A135" s="12"/>
      <c r="B135" s="2"/>
      <c r="C135" s="2"/>
      <c r="D135" s="8"/>
      <c r="E135" s="2"/>
      <c r="F135" s="2"/>
      <c r="G135" s="5"/>
      <c r="H135" s="5"/>
      <c r="I135" s="8"/>
      <c r="J135" s="8" t="str">
        <f t="shared" si="2"/>
        <v/>
      </c>
      <c r="K135" s="5"/>
      <c r="L135" s="2"/>
      <c r="M135" s="2"/>
      <c r="N135" s="2"/>
    </row>
    <row r="136" spans="1:14">
      <c r="A136" s="12"/>
      <c r="B136" s="2"/>
      <c r="C136" s="2"/>
      <c r="D136" s="8"/>
      <c r="E136" s="2"/>
      <c r="F136" s="2"/>
      <c r="G136" s="5"/>
      <c r="H136" s="5"/>
      <c r="I136" s="8"/>
      <c r="J136" s="8" t="str">
        <f t="shared" si="2"/>
        <v/>
      </c>
      <c r="K136" s="5"/>
      <c r="L136" s="2"/>
      <c r="M136" s="2"/>
      <c r="N136" s="2"/>
    </row>
    <row r="137" spans="1:14">
      <c r="A137" s="12"/>
      <c r="B137" s="2"/>
      <c r="C137" s="2"/>
      <c r="D137" s="8"/>
      <c r="E137" s="2"/>
      <c r="F137" s="2"/>
      <c r="G137" s="5"/>
      <c r="H137" s="5"/>
      <c r="I137" s="8"/>
      <c r="J137" s="8" t="str">
        <f t="shared" si="2"/>
        <v/>
      </c>
      <c r="K137" s="5"/>
      <c r="L137" s="2"/>
      <c r="M137" s="2"/>
      <c r="N137" s="2"/>
    </row>
    <row r="138" spans="1:14">
      <c r="A138" s="12"/>
      <c r="B138" s="2"/>
      <c r="C138" s="2"/>
      <c r="D138" s="8"/>
      <c r="E138" s="2"/>
      <c r="F138" s="2"/>
      <c r="G138" s="5"/>
      <c r="H138" s="5"/>
      <c r="I138" s="8"/>
      <c r="J138" s="8" t="str">
        <f t="shared" si="2"/>
        <v/>
      </c>
      <c r="K138" s="5"/>
      <c r="L138" s="2"/>
      <c r="M138" s="2"/>
      <c r="N138" s="2"/>
    </row>
    <row r="139" spans="1:14">
      <c r="A139" s="12"/>
      <c r="B139" s="2"/>
      <c r="C139" s="2"/>
      <c r="D139" s="8"/>
      <c r="E139" s="2"/>
      <c r="F139" s="2"/>
      <c r="G139" s="5"/>
      <c r="H139" s="5"/>
      <c r="I139" s="8"/>
      <c r="J139" s="8" t="str">
        <f t="shared" si="2"/>
        <v/>
      </c>
      <c r="K139" s="5"/>
      <c r="L139" s="2"/>
      <c r="M139" s="2"/>
      <c r="N139" s="2"/>
    </row>
    <row r="140" spans="1:14">
      <c r="A140" s="12"/>
      <c r="B140" s="2"/>
      <c r="C140" s="2"/>
      <c r="D140" s="8"/>
      <c r="E140" s="2"/>
      <c r="F140" s="2"/>
      <c r="G140" s="5"/>
      <c r="H140" s="5"/>
      <c r="I140" s="8"/>
      <c r="J140" s="8" t="str">
        <f t="shared" si="2"/>
        <v/>
      </c>
      <c r="K140" s="5"/>
      <c r="L140" s="2"/>
      <c r="M140" s="2"/>
      <c r="N140" s="2"/>
    </row>
    <row r="141" spans="1:14">
      <c r="A141" s="12"/>
      <c r="B141" s="2"/>
      <c r="C141" s="2"/>
      <c r="D141" s="8"/>
      <c r="E141" s="2"/>
      <c r="F141" s="2"/>
      <c r="G141" s="5"/>
      <c r="H141" s="5"/>
      <c r="I141" s="8"/>
      <c r="J141" s="8" t="str">
        <f t="shared" si="2"/>
        <v/>
      </c>
      <c r="K141" s="5"/>
      <c r="L141" s="2"/>
      <c r="M141" s="2"/>
      <c r="N141" s="2"/>
    </row>
    <row r="142" spans="1:14">
      <c r="A142" s="12"/>
      <c r="B142" s="2"/>
      <c r="C142" s="2"/>
      <c r="D142" s="8"/>
      <c r="E142" s="2"/>
      <c r="F142" s="2"/>
      <c r="G142" s="5"/>
      <c r="H142" s="5"/>
      <c r="I142" s="8"/>
      <c r="J142" s="8" t="str">
        <f t="shared" si="2"/>
        <v/>
      </c>
      <c r="K142" s="5"/>
      <c r="L142" s="2"/>
      <c r="M142" s="2"/>
      <c r="N142" s="2"/>
    </row>
    <row r="143" spans="1:14">
      <c r="A143" s="12"/>
      <c r="B143" s="2"/>
      <c r="C143" s="2"/>
      <c r="D143" s="8"/>
      <c r="E143" s="2"/>
      <c r="F143" s="2"/>
      <c r="G143" s="5"/>
      <c r="H143" s="5"/>
      <c r="I143" s="8"/>
      <c r="J143" s="8" t="str">
        <f t="shared" si="2"/>
        <v/>
      </c>
      <c r="K143" s="5"/>
      <c r="L143" s="2"/>
      <c r="M143" s="2"/>
      <c r="N143" s="2"/>
    </row>
    <row r="144" spans="1:14">
      <c r="A144" s="12"/>
      <c r="B144" s="2"/>
      <c r="C144" s="2"/>
      <c r="D144" s="8"/>
      <c r="E144" s="2"/>
      <c r="F144" s="2"/>
      <c r="G144" s="5"/>
      <c r="H144" s="5"/>
      <c r="I144" s="8"/>
      <c r="J144" s="8" t="str">
        <f t="shared" si="2"/>
        <v/>
      </c>
      <c r="K144" s="5"/>
      <c r="L144" s="2"/>
      <c r="M144" s="2"/>
      <c r="N144" s="2"/>
    </row>
    <row r="145" spans="1:14">
      <c r="A145" s="12"/>
      <c r="B145" s="2"/>
      <c r="C145" s="2"/>
      <c r="D145" s="8"/>
      <c r="E145" s="2"/>
      <c r="F145" s="2"/>
      <c r="G145" s="5"/>
      <c r="H145" s="5"/>
      <c r="I145" s="8"/>
      <c r="J145" s="8" t="str">
        <f t="shared" si="2"/>
        <v/>
      </c>
      <c r="K145" s="5"/>
      <c r="L145" s="2"/>
      <c r="M145" s="2"/>
      <c r="N145" s="2"/>
    </row>
    <row r="146" spans="1:14">
      <c r="A146" s="12"/>
      <c r="B146" s="2"/>
      <c r="C146" s="2"/>
      <c r="D146" s="8"/>
      <c r="E146" s="2"/>
      <c r="F146" s="2"/>
      <c r="G146" s="5"/>
      <c r="H146" s="5"/>
      <c r="I146" s="8"/>
      <c r="J146" s="8" t="str">
        <f t="shared" si="2"/>
        <v/>
      </c>
      <c r="K146" s="5"/>
      <c r="L146" s="2"/>
      <c r="M146" s="2"/>
      <c r="N146" s="2"/>
    </row>
    <row r="147" spans="1:14">
      <c r="A147" s="12"/>
      <c r="B147" s="2"/>
      <c r="C147" s="2"/>
      <c r="D147" s="8"/>
      <c r="E147" s="2"/>
      <c r="F147" s="2"/>
      <c r="G147" s="5"/>
      <c r="H147" s="5"/>
      <c r="I147" s="8"/>
      <c r="J147" s="8" t="str">
        <f t="shared" si="2"/>
        <v/>
      </c>
      <c r="K147" s="5"/>
      <c r="L147" s="2"/>
      <c r="M147" s="2"/>
      <c r="N147" s="2"/>
    </row>
    <row r="148" spans="1:14">
      <c r="A148" s="12"/>
      <c r="B148" s="2"/>
      <c r="C148" s="2"/>
      <c r="D148" s="8"/>
      <c r="E148" s="2"/>
      <c r="F148" s="2"/>
      <c r="G148" s="5"/>
      <c r="H148" s="5"/>
      <c r="I148" s="8"/>
      <c r="J148" s="8" t="str">
        <f t="shared" si="2"/>
        <v/>
      </c>
      <c r="K148" s="5"/>
      <c r="L148" s="2"/>
      <c r="M148" s="2"/>
      <c r="N148" s="2"/>
    </row>
    <row r="149" spans="1:14">
      <c r="A149" s="12"/>
      <c r="B149" s="2"/>
      <c r="C149" s="2"/>
      <c r="D149" s="8"/>
      <c r="E149" s="2"/>
      <c r="F149" s="2"/>
      <c r="G149" s="5"/>
      <c r="H149" s="5"/>
      <c r="I149" s="8"/>
      <c r="J149" s="8" t="str">
        <f t="shared" si="2"/>
        <v/>
      </c>
      <c r="K149" s="5"/>
      <c r="L149" s="2"/>
      <c r="M149" s="2"/>
      <c r="N149" s="2"/>
    </row>
    <row r="150" spans="1:14">
      <c r="A150" s="12"/>
      <c r="B150" s="2"/>
      <c r="C150" s="2"/>
      <c r="D150" s="8"/>
      <c r="E150" s="2"/>
      <c r="F150" s="2"/>
      <c r="G150" s="5"/>
      <c r="H150" s="5"/>
      <c r="I150" s="8"/>
      <c r="J150" s="8" t="str">
        <f t="shared" si="2"/>
        <v/>
      </c>
      <c r="K150" s="5"/>
      <c r="L150" s="2"/>
      <c r="M150" s="2"/>
      <c r="N150" s="2"/>
    </row>
    <row r="151" spans="1:14">
      <c r="A151" s="12"/>
      <c r="B151" s="2"/>
      <c r="C151" s="2"/>
      <c r="D151" s="8"/>
      <c r="E151" s="2"/>
      <c r="F151" s="2"/>
      <c r="G151" s="5"/>
      <c r="H151" s="5"/>
      <c r="I151" s="8"/>
      <c r="J151" s="8" t="str">
        <f t="shared" si="2"/>
        <v/>
      </c>
      <c r="K151" s="5"/>
      <c r="L151" s="2"/>
      <c r="M151" s="2"/>
      <c r="N151" s="2"/>
    </row>
    <row r="152" spans="1:14">
      <c r="A152" s="12"/>
      <c r="B152" s="2"/>
      <c r="C152" s="2"/>
      <c r="D152" s="8"/>
      <c r="E152" s="2"/>
      <c r="F152" s="2"/>
      <c r="G152" s="5"/>
      <c r="H152" s="5"/>
      <c r="I152" s="8"/>
      <c r="J152" s="8" t="str">
        <f t="shared" si="2"/>
        <v/>
      </c>
      <c r="K152" s="5"/>
      <c r="L152" s="2"/>
      <c r="M152" s="2"/>
      <c r="N152" s="2"/>
    </row>
    <row r="153" spans="1:14">
      <c r="A153" s="12"/>
      <c r="B153" s="2"/>
      <c r="C153" s="2"/>
      <c r="D153" s="8"/>
      <c r="E153" s="2"/>
      <c r="F153" s="2"/>
      <c r="G153" s="5"/>
      <c r="H153" s="5"/>
      <c r="I153" s="8"/>
      <c r="J153" s="8" t="str">
        <f t="shared" si="2"/>
        <v/>
      </c>
      <c r="K153" s="5"/>
      <c r="L153" s="2"/>
      <c r="M153" s="2"/>
      <c r="N153" s="2"/>
    </row>
    <row r="154" spans="1:14">
      <c r="A154" s="12"/>
      <c r="B154" s="2"/>
      <c r="C154" s="2"/>
      <c r="D154" s="8"/>
      <c r="E154" s="2"/>
      <c r="F154" s="2"/>
      <c r="G154" s="5"/>
      <c r="H154" s="5"/>
      <c r="I154" s="8"/>
      <c r="J154" s="8" t="str">
        <f t="shared" si="2"/>
        <v/>
      </c>
      <c r="K154" s="5"/>
      <c r="L154" s="2"/>
      <c r="M154" s="2"/>
      <c r="N154" s="2"/>
    </row>
    <row r="155" spans="1:14">
      <c r="A155" s="12"/>
      <c r="B155" s="2"/>
      <c r="C155" s="2"/>
      <c r="D155" s="8"/>
      <c r="E155" s="2"/>
      <c r="F155" s="2"/>
      <c r="G155" s="5"/>
      <c r="H155" s="5"/>
      <c r="I155" s="8"/>
      <c r="J155" s="8" t="str">
        <f t="shared" si="2"/>
        <v/>
      </c>
      <c r="K155" s="5"/>
      <c r="L155" s="2"/>
      <c r="M155" s="2"/>
      <c r="N155" s="2"/>
    </row>
    <row r="156" spans="1:14">
      <c r="A156" s="12"/>
      <c r="B156" s="2"/>
      <c r="C156" s="2"/>
      <c r="D156" s="8"/>
      <c r="E156" s="2"/>
      <c r="F156" s="2"/>
      <c r="G156" s="5"/>
      <c r="H156" s="5"/>
      <c r="I156" s="8"/>
      <c r="J156" s="8" t="str">
        <f t="shared" si="2"/>
        <v/>
      </c>
      <c r="K156" s="5"/>
      <c r="L156" s="2"/>
      <c r="M156" s="2"/>
      <c r="N156" s="2"/>
    </row>
    <row r="157" spans="1:14">
      <c r="A157" s="12"/>
      <c r="B157" s="2"/>
      <c r="C157" s="2"/>
      <c r="D157" s="8"/>
      <c r="E157" s="2"/>
      <c r="F157" s="2"/>
      <c r="G157" s="5"/>
      <c r="H157" s="5"/>
      <c r="I157" s="8"/>
      <c r="J157" s="8" t="str">
        <f t="shared" si="2"/>
        <v/>
      </c>
      <c r="K157" s="5"/>
      <c r="L157" s="2"/>
      <c r="M157" s="2"/>
      <c r="N157" s="2"/>
    </row>
    <row r="158" spans="1:14">
      <c r="A158" s="12"/>
      <c r="B158" s="2"/>
      <c r="C158" s="2"/>
      <c r="D158" s="8"/>
      <c r="E158" s="2"/>
      <c r="F158" s="2"/>
      <c r="G158" s="5"/>
      <c r="H158" s="5"/>
      <c r="I158" s="8"/>
      <c r="J158" s="8" t="str">
        <f t="shared" si="2"/>
        <v/>
      </c>
      <c r="K158" s="5"/>
      <c r="L158" s="2"/>
      <c r="M158" s="2"/>
      <c r="N158" s="2"/>
    </row>
    <row r="159" spans="1:14">
      <c r="A159" s="12"/>
      <c r="B159" s="2"/>
      <c r="C159" s="2"/>
      <c r="D159" s="8"/>
      <c r="E159" s="2"/>
      <c r="F159" s="2"/>
      <c r="G159" s="5"/>
      <c r="H159" s="5"/>
      <c r="I159" s="8"/>
      <c r="J159" s="8" t="str">
        <f t="shared" si="2"/>
        <v/>
      </c>
      <c r="K159" s="5"/>
      <c r="L159" s="2"/>
      <c r="M159" s="2"/>
      <c r="N159" s="2"/>
    </row>
    <row r="160" spans="1:14">
      <c r="A160" s="12"/>
      <c r="B160" s="2"/>
      <c r="C160" s="2"/>
      <c r="D160" s="8"/>
      <c r="E160" s="2"/>
      <c r="F160" s="2"/>
      <c r="G160" s="5"/>
      <c r="H160" s="5"/>
      <c r="I160" s="8"/>
      <c r="J160" s="8" t="str">
        <f t="shared" si="2"/>
        <v/>
      </c>
      <c r="K160" s="5"/>
      <c r="L160" s="2"/>
      <c r="M160" s="2"/>
      <c r="N160" s="2"/>
    </row>
    <row r="161" spans="1:14">
      <c r="A161" s="12"/>
      <c r="B161" s="2"/>
      <c r="C161" s="2"/>
      <c r="D161" s="8"/>
      <c r="E161" s="2"/>
      <c r="F161" s="2"/>
      <c r="G161" s="5"/>
      <c r="H161" s="5"/>
      <c r="I161" s="8"/>
      <c r="J161" s="8" t="str">
        <f t="shared" si="2"/>
        <v/>
      </c>
      <c r="K161" s="5"/>
      <c r="L161" s="2"/>
      <c r="M161" s="2"/>
      <c r="N161" s="2"/>
    </row>
    <row r="162" spans="1:14">
      <c r="A162" s="12"/>
      <c r="B162" s="2"/>
      <c r="C162" s="2"/>
      <c r="D162" s="8"/>
      <c r="E162" s="2"/>
      <c r="F162" s="2"/>
      <c r="G162" s="5"/>
      <c r="H162" s="5"/>
      <c r="I162" s="8"/>
      <c r="J162" s="8" t="str">
        <f t="shared" si="2"/>
        <v/>
      </c>
      <c r="K162" s="5"/>
      <c r="L162" s="2"/>
      <c r="M162" s="2"/>
      <c r="N162" s="2"/>
    </row>
    <row r="163" spans="1:14">
      <c r="A163" s="12"/>
      <c r="B163" s="2"/>
      <c r="C163" s="2"/>
      <c r="D163" s="8"/>
      <c r="E163" s="2"/>
      <c r="F163" s="2"/>
      <c r="G163" s="5"/>
      <c r="H163" s="5"/>
      <c r="I163" s="8"/>
      <c r="J163" s="8" t="str">
        <f t="shared" si="2"/>
        <v/>
      </c>
      <c r="K163" s="5"/>
      <c r="L163" s="2"/>
      <c r="M163" s="2"/>
      <c r="N163" s="2"/>
    </row>
    <row r="164" spans="1:14">
      <c r="A164" s="12"/>
      <c r="B164" s="2"/>
      <c r="C164" s="2"/>
      <c r="D164" s="8"/>
      <c r="E164" s="2"/>
      <c r="F164" s="2"/>
      <c r="G164" s="5"/>
      <c r="H164" s="5"/>
      <c r="I164" s="8"/>
      <c r="J164" s="8" t="str">
        <f t="shared" si="2"/>
        <v/>
      </c>
      <c r="K164" s="5"/>
      <c r="L164" s="2"/>
      <c r="M164" s="2"/>
      <c r="N164" s="2"/>
    </row>
    <row r="165" spans="1:14">
      <c r="A165" s="12"/>
      <c r="B165" s="2"/>
      <c r="C165" s="2"/>
      <c r="D165" s="8"/>
      <c r="E165" s="2"/>
      <c r="F165" s="2"/>
      <c r="G165" s="5"/>
      <c r="H165" s="5"/>
      <c r="I165" s="8"/>
      <c r="J165" s="8" t="str">
        <f t="shared" si="2"/>
        <v/>
      </c>
      <c r="K165" s="5"/>
      <c r="L165" s="2"/>
      <c r="M165" s="2"/>
      <c r="N165" s="2"/>
    </row>
    <row r="166" spans="1:14">
      <c r="A166" s="12"/>
      <c r="B166" s="2"/>
      <c r="C166" s="2"/>
      <c r="D166" s="8"/>
      <c r="E166" s="2"/>
      <c r="F166" s="2"/>
      <c r="G166" s="5"/>
      <c r="H166" s="5"/>
      <c r="I166" s="8"/>
      <c r="J166" s="8" t="str">
        <f t="shared" si="2"/>
        <v/>
      </c>
      <c r="K166" s="5"/>
      <c r="L166" s="2"/>
      <c r="M166" s="2"/>
      <c r="N166" s="2"/>
    </row>
    <row r="167" spans="1:14">
      <c r="A167" s="12"/>
      <c r="B167" s="2"/>
      <c r="C167" s="2"/>
      <c r="D167" s="8"/>
      <c r="E167" s="2"/>
      <c r="F167" s="2"/>
      <c r="G167" s="5"/>
      <c r="H167" s="5"/>
      <c r="I167" s="8"/>
      <c r="J167" s="8" t="str">
        <f t="shared" si="2"/>
        <v/>
      </c>
      <c r="K167" s="5"/>
      <c r="L167" s="2"/>
      <c r="M167" s="2"/>
      <c r="N167" s="2"/>
    </row>
    <row r="168" spans="1:14">
      <c r="A168" s="12"/>
      <c r="B168" s="2"/>
      <c r="C168" s="2"/>
      <c r="D168" s="8"/>
      <c r="E168" s="2"/>
      <c r="F168" s="2"/>
      <c r="G168" s="5"/>
      <c r="H168" s="5"/>
      <c r="I168" s="8"/>
      <c r="J168" s="8" t="str">
        <f t="shared" si="2"/>
        <v/>
      </c>
      <c r="K168" s="5"/>
      <c r="L168" s="2"/>
      <c r="M168" s="2"/>
      <c r="N168" s="2"/>
    </row>
    <row r="169" spans="1:14">
      <c r="A169" s="12"/>
      <c r="B169" s="2"/>
      <c r="C169" s="2"/>
      <c r="D169" s="8"/>
      <c r="E169" s="2"/>
      <c r="F169" s="2"/>
      <c r="G169" s="5"/>
      <c r="H169" s="5"/>
      <c r="I169" s="8"/>
      <c r="J169" s="8" t="str">
        <f t="shared" si="2"/>
        <v/>
      </c>
      <c r="K169" s="5"/>
      <c r="L169" s="2"/>
      <c r="M169" s="2"/>
      <c r="N169" s="2"/>
    </row>
    <row r="170" spans="1:14">
      <c r="A170" s="12"/>
      <c r="B170" s="2"/>
      <c r="C170" s="2"/>
      <c r="D170" s="8"/>
      <c r="E170" s="2"/>
      <c r="F170" s="2"/>
      <c r="G170" s="5"/>
      <c r="H170" s="5"/>
      <c r="I170" s="8"/>
      <c r="J170" s="8" t="str">
        <f t="shared" si="2"/>
        <v/>
      </c>
      <c r="K170" s="5"/>
      <c r="L170" s="2"/>
      <c r="M170" s="2"/>
      <c r="N170" s="2"/>
    </row>
    <row r="171" spans="1:14">
      <c r="A171" s="12"/>
      <c r="B171" s="2"/>
      <c r="C171" s="2"/>
      <c r="D171" s="8"/>
      <c r="E171" s="2"/>
      <c r="F171" s="2"/>
      <c r="G171" s="5"/>
      <c r="H171" s="5"/>
      <c r="I171" s="8"/>
      <c r="J171" s="8" t="str">
        <f t="shared" si="2"/>
        <v/>
      </c>
      <c r="K171" s="5"/>
      <c r="L171" s="2"/>
      <c r="M171" s="2"/>
      <c r="N171" s="2"/>
    </row>
    <row r="172" spans="1:14">
      <c r="A172" s="12"/>
      <c r="B172" s="2"/>
      <c r="C172" s="2"/>
      <c r="D172" s="8"/>
      <c r="E172" s="2"/>
      <c r="F172" s="2"/>
      <c r="G172" s="5"/>
      <c r="H172" s="5"/>
      <c r="I172" s="8"/>
      <c r="J172" s="8" t="str">
        <f t="shared" si="2"/>
        <v/>
      </c>
      <c r="K172" s="5"/>
      <c r="L172" s="2"/>
      <c r="M172" s="2"/>
      <c r="N172" s="2"/>
    </row>
    <row r="173" spans="1:14">
      <c r="A173" s="12"/>
      <c r="B173" s="2"/>
      <c r="C173" s="2"/>
      <c r="D173" s="8"/>
      <c r="E173" s="2"/>
      <c r="F173" s="2"/>
      <c r="G173" s="5"/>
      <c r="H173" s="5"/>
      <c r="I173" s="8"/>
      <c r="J173" s="8" t="str">
        <f t="shared" si="2"/>
        <v/>
      </c>
      <c r="K173" s="5"/>
      <c r="L173" s="2"/>
      <c r="M173" s="2"/>
      <c r="N173" s="2"/>
    </row>
    <row r="174" spans="1:14">
      <c r="A174" s="12"/>
      <c r="B174" s="2"/>
      <c r="C174" s="2"/>
      <c r="D174" s="8"/>
      <c r="E174" s="2"/>
      <c r="F174" s="2"/>
      <c r="G174" s="5"/>
      <c r="H174" s="5"/>
      <c r="I174" s="8"/>
      <c r="J174" s="8" t="str">
        <f t="shared" si="2"/>
        <v/>
      </c>
      <c r="K174" s="5"/>
      <c r="L174" s="2"/>
      <c r="M174" s="2"/>
      <c r="N174" s="2"/>
    </row>
    <row r="175" spans="1:14">
      <c r="A175" s="12"/>
      <c r="B175" s="2"/>
      <c r="C175" s="2"/>
      <c r="D175" s="8"/>
      <c r="E175" s="2"/>
      <c r="F175" s="2"/>
      <c r="G175" s="5"/>
      <c r="H175" s="5"/>
      <c r="I175" s="8"/>
      <c r="J175" s="8" t="str">
        <f t="shared" si="2"/>
        <v/>
      </c>
      <c r="K175" s="5"/>
      <c r="L175" s="2"/>
      <c r="M175" s="2"/>
      <c r="N175" s="2"/>
    </row>
    <row r="176" spans="1:14">
      <c r="A176" s="12"/>
      <c r="B176" s="2"/>
      <c r="C176" s="2"/>
      <c r="D176" s="8"/>
      <c r="E176" s="2"/>
      <c r="F176" s="2"/>
      <c r="G176" s="5"/>
      <c r="H176" s="5"/>
      <c r="I176" s="8"/>
      <c r="J176" s="8" t="str">
        <f t="shared" si="2"/>
        <v/>
      </c>
      <c r="K176" s="5"/>
      <c r="L176" s="2"/>
      <c r="M176" s="2"/>
      <c r="N176" s="2"/>
    </row>
    <row r="177" spans="1:14">
      <c r="A177" s="12"/>
      <c r="B177" s="2"/>
      <c r="C177" s="2"/>
      <c r="D177" s="8"/>
      <c r="E177" s="2"/>
      <c r="F177" s="2"/>
      <c r="G177" s="5"/>
      <c r="H177" s="5"/>
      <c r="I177" s="8"/>
      <c r="J177" s="8" t="str">
        <f t="shared" si="2"/>
        <v/>
      </c>
      <c r="K177" s="5"/>
      <c r="L177" s="2"/>
      <c r="M177" s="2"/>
      <c r="N177" s="2"/>
    </row>
    <row r="178" spans="1:14">
      <c r="A178" s="12"/>
      <c r="B178" s="2"/>
      <c r="C178" s="2"/>
      <c r="D178" s="8"/>
      <c r="E178" s="2"/>
      <c r="F178" s="2"/>
      <c r="G178" s="5"/>
      <c r="H178" s="5"/>
      <c r="I178" s="8"/>
      <c r="J178" s="8" t="str">
        <f t="shared" si="2"/>
        <v/>
      </c>
      <c r="K178" s="5"/>
      <c r="L178" s="2"/>
      <c r="M178" s="2"/>
      <c r="N178" s="2"/>
    </row>
    <row r="179" spans="1:14">
      <c r="A179" s="12"/>
      <c r="B179" s="2"/>
      <c r="C179" s="2"/>
      <c r="D179" s="8"/>
      <c r="E179" s="2"/>
      <c r="F179" s="2"/>
      <c r="G179" s="5"/>
      <c r="H179" s="5"/>
      <c r="I179" s="8"/>
      <c r="J179" s="8" t="str">
        <f t="shared" si="2"/>
        <v/>
      </c>
      <c r="K179" s="5"/>
      <c r="L179" s="2"/>
      <c r="M179" s="2"/>
      <c r="N179" s="2"/>
    </row>
    <row r="180" spans="1:14">
      <c r="A180" s="12"/>
      <c r="B180" s="2"/>
      <c r="C180" s="2"/>
      <c r="D180" s="8"/>
      <c r="E180" s="2"/>
      <c r="F180" s="2"/>
      <c r="G180" s="5"/>
      <c r="H180" s="5"/>
      <c r="I180" s="8"/>
      <c r="J180" s="8" t="str">
        <f t="shared" si="2"/>
        <v/>
      </c>
      <c r="K180" s="5"/>
      <c r="L180" s="2"/>
      <c r="M180" s="2"/>
      <c r="N180" s="2"/>
    </row>
    <row r="181" spans="1:14">
      <c r="A181" s="12"/>
      <c r="B181" s="2"/>
      <c r="C181" s="2"/>
      <c r="D181" s="8"/>
      <c r="E181" s="2"/>
      <c r="F181" s="2"/>
      <c r="G181" s="5"/>
      <c r="H181" s="5"/>
      <c r="I181" s="8"/>
      <c r="J181" s="8" t="str">
        <f t="shared" si="2"/>
        <v/>
      </c>
      <c r="K181" s="5"/>
      <c r="L181" s="2"/>
      <c r="M181" s="2"/>
      <c r="N181" s="2"/>
    </row>
    <row r="182" spans="1:14">
      <c r="A182" s="12"/>
      <c r="B182" s="2"/>
      <c r="C182" s="2"/>
      <c r="D182" s="8"/>
      <c r="E182" s="2"/>
      <c r="F182" s="2"/>
      <c r="G182" s="5"/>
      <c r="H182" s="5"/>
      <c r="I182" s="8"/>
      <c r="J182" s="8" t="str">
        <f t="shared" si="2"/>
        <v/>
      </c>
      <c r="K182" s="5"/>
      <c r="L182" s="2"/>
      <c r="M182" s="2"/>
      <c r="N182" s="2"/>
    </row>
    <row r="183" spans="1:14">
      <c r="A183" s="12"/>
      <c r="B183" s="2"/>
      <c r="C183" s="2"/>
      <c r="D183" s="8"/>
      <c r="E183" s="2"/>
      <c r="F183" s="2"/>
      <c r="G183" s="5"/>
      <c r="H183" s="5"/>
      <c r="I183" s="8"/>
      <c r="J183" s="8" t="str">
        <f t="shared" si="2"/>
        <v/>
      </c>
      <c r="K183" s="5"/>
      <c r="L183" s="2"/>
      <c r="M183" s="2"/>
      <c r="N183" s="2"/>
    </row>
    <row r="184" spans="1:14">
      <c r="A184" s="12"/>
      <c r="B184" s="2"/>
      <c r="C184" s="2"/>
      <c r="D184" s="8"/>
      <c r="E184" s="2"/>
      <c r="F184" s="2"/>
      <c r="G184" s="5"/>
      <c r="H184" s="5"/>
      <c r="I184" s="8"/>
      <c r="J184" s="8" t="str">
        <f t="shared" si="2"/>
        <v/>
      </c>
      <c r="K184" s="5"/>
      <c r="L184" s="2"/>
      <c r="M184" s="2"/>
      <c r="N184" s="2"/>
    </row>
    <row r="185" spans="1:14">
      <c r="A185" s="12"/>
      <c r="B185" s="2"/>
      <c r="C185" s="2"/>
      <c r="D185" s="8"/>
      <c r="E185" s="2"/>
      <c r="F185" s="2"/>
      <c r="G185" s="5"/>
      <c r="H185" s="5"/>
      <c r="I185" s="8"/>
      <c r="J185" s="8" t="str">
        <f t="shared" si="2"/>
        <v/>
      </c>
      <c r="K185" s="5"/>
      <c r="L185" s="2"/>
      <c r="M185" s="2"/>
      <c r="N185" s="2"/>
    </row>
    <row r="186" spans="1:14">
      <c r="A186" s="12"/>
      <c r="B186" s="2"/>
      <c r="C186" s="2"/>
      <c r="D186" s="8"/>
      <c r="E186" s="2"/>
      <c r="F186" s="2"/>
      <c r="G186" s="5"/>
      <c r="H186" s="5"/>
      <c r="I186" s="8"/>
      <c r="J186" s="8" t="str">
        <f t="shared" si="2"/>
        <v/>
      </c>
      <c r="K186" s="5"/>
      <c r="L186" s="2"/>
      <c r="M186" s="2"/>
      <c r="N186" s="2"/>
    </row>
    <row r="187" spans="1:14">
      <c r="A187" s="12"/>
      <c r="B187" s="2"/>
      <c r="C187" s="2"/>
      <c r="D187" s="8"/>
      <c r="E187" s="2"/>
      <c r="F187" s="2"/>
      <c r="G187" s="5"/>
      <c r="H187" s="5"/>
      <c r="I187" s="8"/>
      <c r="J187" s="8" t="str">
        <f t="shared" si="2"/>
        <v/>
      </c>
      <c r="K187" s="5"/>
      <c r="L187" s="2"/>
      <c r="M187" s="2"/>
      <c r="N187" s="2"/>
    </row>
    <row r="188" spans="1:14">
      <c r="A188" s="12"/>
      <c r="B188" s="2"/>
      <c r="C188" s="2"/>
      <c r="D188" s="8"/>
      <c r="E188" s="2"/>
      <c r="F188" s="2"/>
      <c r="G188" s="5"/>
      <c r="H188" s="5"/>
      <c r="I188" s="8"/>
      <c r="J188" s="8" t="str">
        <f t="shared" si="2"/>
        <v/>
      </c>
      <c r="K188" s="5"/>
      <c r="L188" s="2"/>
      <c r="M188" s="2"/>
      <c r="N188" s="2"/>
    </row>
    <row r="189" spans="1:14">
      <c r="A189" s="12"/>
      <c r="B189" s="2"/>
      <c r="C189" s="2"/>
      <c r="D189" s="8"/>
      <c r="E189" s="2"/>
      <c r="F189" s="2"/>
      <c r="G189" s="5"/>
      <c r="H189" s="5"/>
      <c r="I189" s="8"/>
      <c r="J189" s="8" t="str">
        <f t="shared" si="2"/>
        <v/>
      </c>
      <c r="K189" s="5"/>
      <c r="L189" s="2"/>
      <c r="M189" s="2"/>
      <c r="N189" s="2"/>
    </row>
    <row r="190" spans="1:14">
      <c r="A190" s="12"/>
      <c r="B190" s="2"/>
      <c r="C190" s="2"/>
      <c r="D190" s="8"/>
      <c r="E190" s="2"/>
      <c r="F190" s="2"/>
      <c r="G190" s="5"/>
      <c r="H190" s="5"/>
      <c r="I190" s="8"/>
      <c r="J190" s="8" t="str">
        <f t="shared" si="2"/>
        <v/>
      </c>
      <c r="K190" s="5"/>
      <c r="L190" s="2"/>
      <c r="M190" s="2"/>
      <c r="N190" s="2"/>
    </row>
    <row r="191" spans="1:14">
      <c r="A191" s="12"/>
      <c r="B191" s="2"/>
      <c r="C191" s="2"/>
      <c r="D191" s="8"/>
      <c r="E191" s="2"/>
      <c r="F191" s="2"/>
      <c r="G191" s="5"/>
      <c r="H191" s="5"/>
      <c r="I191" s="8"/>
      <c r="J191" s="8" t="str">
        <f t="shared" si="2"/>
        <v/>
      </c>
      <c r="K191" s="5"/>
      <c r="L191" s="2"/>
      <c r="M191" s="2"/>
      <c r="N191" s="2"/>
    </row>
    <row r="192" spans="1:14">
      <c r="A192" s="12"/>
      <c r="B192" s="2"/>
      <c r="C192" s="2"/>
      <c r="D192" s="8"/>
      <c r="E192" s="2"/>
      <c r="F192" s="2"/>
      <c r="G192" s="5"/>
      <c r="H192" s="5"/>
      <c r="I192" s="8"/>
      <c r="J192" s="8" t="str">
        <f t="shared" si="2"/>
        <v/>
      </c>
      <c r="K192" s="5"/>
      <c r="L192" s="2"/>
      <c r="M192" s="2"/>
      <c r="N192" s="2"/>
    </row>
    <row r="193" spans="1:14">
      <c r="A193" s="12"/>
      <c r="B193" s="2"/>
      <c r="C193" s="2"/>
      <c r="D193" s="8"/>
      <c r="E193" s="2"/>
      <c r="F193" s="2"/>
      <c r="G193" s="5"/>
      <c r="H193" s="5"/>
      <c r="I193" s="8"/>
      <c r="J193" s="8" t="str">
        <f t="shared" si="2"/>
        <v/>
      </c>
      <c r="K193" s="5"/>
      <c r="L193" s="2"/>
      <c r="M193" s="2"/>
      <c r="N193" s="2"/>
    </row>
    <row r="194" spans="1:14">
      <c r="A194" s="12"/>
      <c r="B194" s="2"/>
      <c r="C194" s="2"/>
      <c r="D194" s="8"/>
      <c r="E194" s="2"/>
      <c r="F194" s="2"/>
      <c r="G194" s="5"/>
      <c r="H194" s="5"/>
      <c r="I194" s="8"/>
      <c r="J194" s="8" t="str">
        <f t="shared" si="2"/>
        <v/>
      </c>
      <c r="K194" s="5"/>
      <c r="L194" s="2"/>
      <c r="M194" s="2"/>
      <c r="N194" s="2"/>
    </row>
    <row r="195" spans="1:14">
      <c r="A195" s="12"/>
      <c r="B195" s="2"/>
      <c r="C195" s="2"/>
      <c r="D195" s="8"/>
      <c r="E195" s="2"/>
      <c r="F195" s="2"/>
      <c r="G195" s="5"/>
      <c r="H195" s="5"/>
      <c r="I195" s="8"/>
      <c r="J195" s="8" t="str">
        <f t="shared" si="2"/>
        <v/>
      </c>
      <c r="K195" s="5"/>
      <c r="L195" s="2"/>
      <c r="M195" s="2"/>
      <c r="N195" s="2"/>
    </row>
    <row r="196" spans="1:14">
      <c r="A196" s="12"/>
      <c r="B196" s="2"/>
      <c r="C196" s="2"/>
      <c r="D196" s="8"/>
      <c r="E196" s="2"/>
      <c r="F196" s="2"/>
      <c r="G196" s="5"/>
      <c r="H196" s="5"/>
      <c r="I196" s="8"/>
      <c r="J196" s="8" t="str">
        <f t="shared" ref="J196:J259" si="3">IF(D196="","",MAX(0,D196-I196))</f>
        <v/>
      </c>
      <c r="K196" s="5"/>
      <c r="L196" s="2"/>
      <c r="M196" s="2"/>
      <c r="N196" s="2"/>
    </row>
    <row r="197" spans="1:14">
      <c r="A197" s="12"/>
      <c r="B197" s="2"/>
      <c r="C197" s="2"/>
      <c r="D197" s="8"/>
      <c r="E197" s="2"/>
      <c r="F197" s="2"/>
      <c r="G197" s="5"/>
      <c r="H197" s="5"/>
      <c r="I197" s="8"/>
      <c r="J197" s="8" t="str">
        <f t="shared" si="3"/>
        <v/>
      </c>
      <c r="K197" s="5"/>
      <c r="L197" s="2"/>
      <c r="M197" s="2"/>
      <c r="N197" s="2"/>
    </row>
    <row r="198" spans="1:14">
      <c r="A198" s="12"/>
      <c r="B198" s="2"/>
      <c r="C198" s="2"/>
      <c r="D198" s="8"/>
      <c r="E198" s="2"/>
      <c r="F198" s="2"/>
      <c r="G198" s="5"/>
      <c r="H198" s="5"/>
      <c r="I198" s="8"/>
      <c r="J198" s="8" t="str">
        <f t="shared" si="3"/>
        <v/>
      </c>
      <c r="K198" s="5"/>
      <c r="L198" s="2"/>
      <c r="M198" s="2"/>
      <c r="N198" s="2"/>
    </row>
    <row r="199" spans="1:14">
      <c r="A199" s="12"/>
      <c r="B199" s="2"/>
      <c r="C199" s="2"/>
      <c r="D199" s="8"/>
      <c r="E199" s="2"/>
      <c r="F199" s="2"/>
      <c r="G199" s="5"/>
      <c r="H199" s="5"/>
      <c r="I199" s="8"/>
      <c r="J199" s="8" t="str">
        <f t="shared" si="3"/>
        <v/>
      </c>
      <c r="K199" s="5"/>
      <c r="L199" s="2"/>
      <c r="M199" s="2"/>
      <c r="N199" s="2"/>
    </row>
    <row r="200" spans="1:14">
      <c r="A200" s="12"/>
      <c r="B200" s="2"/>
      <c r="C200" s="2"/>
      <c r="D200" s="8"/>
      <c r="E200" s="2"/>
      <c r="F200" s="2"/>
      <c r="G200" s="5"/>
      <c r="H200" s="5"/>
      <c r="I200" s="8"/>
      <c r="J200" s="8" t="str">
        <f t="shared" si="3"/>
        <v/>
      </c>
      <c r="K200" s="5"/>
      <c r="L200" s="2"/>
      <c r="M200" s="2"/>
      <c r="N200" s="2"/>
    </row>
    <row r="201" spans="1:14">
      <c r="A201" s="12"/>
      <c r="B201" s="2"/>
      <c r="C201" s="2"/>
      <c r="D201" s="8"/>
      <c r="E201" s="2"/>
      <c r="F201" s="2"/>
      <c r="G201" s="5"/>
      <c r="H201" s="5"/>
      <c r="I201" s="8"/>
      <c r="J201" s="8" t="str">
        <f t="shared" si="3"/>
        <v/>
      </c>
      <c r="K201" s="5"/>
      <c r="L201" s="2"/>
      <c r="M201" s="2"/>
      <c r="N201" s="2"/>
    </row>
    <row r="202" spans="1:14">
      <c r="A202" s="12"/>
      <c r="B202" s="2"/>
      <c r="C202" s="2"/>
      <c r="D202" s="8"/>
      <c r="E202" s="2"/>
      <c r="F202" s="2"/>
      <c r="G202" s="5"/>
      <c r="H202" s="5"/>
      <c r="I202" s="8"/>
      <c r="J202" s="8" t="str">
        <f t="shared" si="3"/>
        <v/>
      </c>
      <c r="K202" s="5"/>
      <c r="L202" s="2"/>
      <c r="M202" s="2"/>
      <c r="N202" s="2"/>
    </row>
    <row r="203" spans="1:14">
      <c r="A203" s="12"/>
      <c r="B203" s="2"/>
      <c r="C203" s="2"/>
      <c r="D203" s="8"/>
      <c r="E203" s="2"/>
      <c r="F203" s="2"/>
      <c r="G203" s="5"/>
      <c r="H203" s="5"/>
      <c r="I203" s="8"/>
      <c r="J203" s="8" t="str">
        <f t="shared" si="3"/>
        <v/>
      </c>
      <c r="K203" s="5"/>
      <c r="L203" s="2"/>
      <c r="M203" s="2"/>
      <c r="N203" s="2"/>
    </row>
    <row r="204" spans="1:14">
      <c r="A204" s="12"/>
      <c r="B204" s="2"/>
      <c r="C204" s="2"/>
      <c r="D204" s="8"/>
      <c r="E204" s="2"/>
      <c r="F204" s="2"/>
      <c r="G204" s="5"/>
      <c r="H204" s="5"/>
      <c r="I204" s="8"/>
      <c r="J204" s="8" t="str">
        <f t="shared" si="3"/>
        <v/>
      </c>
      <c r="K204" s="5"/>
      <c r="L204" s="2"/>
      <c r="M204" s="2"/>
      <c r="N204" s="2"/>
    </row>
    <row r="205" spans="1:14">
      <c r="A205" s="12"/>
      <c r="B205" s="2"/>
      <c r="C205" s="2"/>
      <c r="D205" s="8"/>
      <c r="E205" s="2"/>
      <c r="F205" s="2"/>
      <c r="G205" s="5"/>
      <c r="H205" s="5"/>
      <c r="I205" s="8"/>
      <c r="J205" s="8" t="str">
        <f t="shared" si="3"/>
        <v/>
      </c>
      <c r="K205" s="5"/>
      <c r="L205" s="2"/>
      <c r="M205" s="2"/>
      <c r="N205" s="2"/>
    </row>
    <row r="206" spans="1:14">
      <c r="A206" s="12"/>
      <c r="B206" s="2"/>
      <c r="C206" s="2"/>
      <c r="D206" s="8"/>
      <c r="E206" s="2"/>
      <c r="F206" s="2"/>
      <c r="G206" s="5"/>
      <c r="H206" s="5"/>
      <c r="I206" s="8"/>
      <c r="J206" s="8" t="str">
        <f t="shared" si="3"/>
        <v/>
      </c>
      <c r="K206" s="5"/>
      <c r="L206" s="2"/>
      <c r="M206" s="2"/>
      <c r="N206" s="2"/>
    </row>
    <row r="207" spans="1:14">
      <c r="A207" s="12"/>
      <c r="B207" s="2"/>
      <c r="C207" s="2"/>
      <c r="D207" s="8"/>
      <c r="E207" s="2"/>
      <c r="F207" s="2"/>
      <c r="G207" s="5"/>
      <c r="H207" s="5"/>
      <c r="I207" s="8"/>
      <c r="J207" s="8" t="str">
        <f t="shared" si="3"/>
        <v/>
      </c>
      <c r="K207" s="5"/>
      <c r="L207" s="2"/>
      <c r="M207" s="2"/>
      <c r="N207" s="2"/>
    </row>
    <row r="208" spans="1:14">
      <c r="A208" s="12"/>
      <c r="B208" s="2"/>
      <c r="C208" s="2"/>
      <c r="D208" s="8"/>
      <c r="E208" s="2"/>
      <c r="F208" s="2"/>
      <c r="G208" s="5"/>
      <c r="H208" s="5"/>
      <c r="I208" s="8"/>
      <c r="J208" s="8" t="str">
        <f t="shared" si="3"/>
        <v/>
      </c>
      <c r="K208" s="5"/>
      <c r="L208" s="2"/>
      <c r="M208" s="2"/>
      <c r="N208" s="2"/>
    </row>
    <row r="209" spans="1:14">
      <c r="A209" s="12"/>
      <c r="B209" s="2"/>
      <c r="C209" s="2"/>
      <c r="D209" s="8"/>
      <c r="E209" s="2"/>
      <c r="F209" s="2"/>
      <c r="G209" s="5"/>
      <c r="H209" s="5"/>
      <c r="I209" s="8"/>
      <c r="J209" s="8" t="str">
        <f t="shared" si="3"/>
        <v/>
      </c>
      <c r="K209" s="5"/>
      <c r="L209" s="2"/>
      <c r="M209" s="2"/>
      <c r="N209" s="2"/>
    </row>
    <row r="210" spans="1:14">
      <c r="A210" s="12"/>
      <c r="B210" s="2"/>
      <c r="C210" s="2"/>
      <c r="D210" s="8"/>
      <c r="E210" s="2"/>
      <c r="F210" s="2"/>
      <c r="G210" s="5"/>
      <c r="H210" s="5"/>
      <c r="I210" s="8"/>
      <c r="J210" s="8" t="str">
        <f t="shared" si="3"/>
        <v/>
      </c>
      <c r="K210" s="5"/>
      <c r="L210" s="2"/>
      <c r="M210" s="2"/>
      <c r="N210" s="2"/>
    </row>
    <row r="211" spans="1:14">
      <c r="A211" s="12"/>
      <c r="B211" s="2"/>
      <c r="C211" s="2"/>
      <c r="D211" s="8"/>
      <c r="E211" s="2"/>
      <c r="F211" s="2"/>
      <c r="G211" s="5"/>
      <c r="H211" s="5"/>
      <c r="I211" s="8"/>
      <c r="J211" s="8" t="str">
        <f t="shared" si="3"/>
        <v/>
      </c>
      <c r="K211" s="5"/>
      <c r="L211" s="2"/>
      <c r="M211" s="2"/>
      <c r="N211" s="2"/>
    </row>
    <row r="212" spans="1:14">
      <c r="A212" s="12"/>
      <c r="B212" s="2"/>
      <c r="C212" s="2"/>
      <c r="D212" s="8"/>
      <c r="E212" s="2"/>
      <c r="F212" s="2"/>
      <c r="G212" s="5"/>
      <c r="H212" s="5"/>
      <c r="I212" s="8"/>
      <c r="J212" s="8" t="str">
        <f t="shared" si="3"/>
        <v/>
      </c>
      <c r="K212" s="5"/>
      <c r="L212" s="2"/>
      <c r="M212" s="2"/>
      <c r="N212" s="2"/>
    </row>
    <row r="213" spans="1:14">
      <c r="A213" s="12"/>
      <c r="B213" s="2"/>
      <c r="C213" s="2"/>
      <c r="D213" s="8"/>
      <c r="E213" s="2"/>
      <c r="F213" s="2"/>
      <c r="G213" s="5"/>
      <c r="H213" s="5"/>
      <c r="I213" s="8"/>
      <c r="J213" s="8" t="str">
        <f t="shared" si="3"/>
        <v/>
      </c>
      <c r="K213" s="5"/>
      <c r="L213" s="2"/>
      <c r="M213" s="2"/>
      <c r="N213" s="2"/>
    </row>
    <row r="214" spans="1:14">
      <c r="A214" s="12"/>
      <c r="B214" s="2"/>
      <c r="C214" s="2"/>
      <c r="D214" s="8"/>
      <c r="E214" s="2"/>
      <c r="F214" s="2"/>
      <c r="G214" s="5"/>
      <c r="H214" s="5"/>
      <c r="I214" s="8"/>
      <c r="J214" s="8" t="str">
        <f t="shared" si="3"/>
        <v/>
      </c>
      <c r="K214" s="5"/>
      <c r="L214" s="2"/>
      <c r="M214" s="2"/>
      <c r="N214" s="2"/>
    </row>
    <row r="215" spans="1:14">
      <c r="A215" s="12"/>
      <c r="B215" s="2"/>
      <c r="C215" s="2"/>
      <c r="D215" s="8"/>
      <c r="E215" s="2"/>
      <c r="F215" s="2"/>
      <c r="G215" s="5"/>
      <c r="H215" s="5"/>
      <c r="I215" s="8"/>
      <c r="J215" s="8" t="str">
        <f t="shared" si="3"/>
        <v/>
      </c>
      <c r="K215" s="5"/>
      <c r="L215" s="2"/>
      <c r="M215" s="2"/>
      <c r="N215" s="2"/>
    </row>
    <row r="216" spans="1:14">
      <c r="A216" s="12"/>
      <c r="B216" s="2"/>
      <c r="C216" s="2"/>
      <c r="D216" s="8"/>
      <c r="E216" s="2"/>
      <c r="F216" s="2"/>
      <c r="G216" s="5"/>
      <c r="H216" s="5"/>
      <c r="I216" s="8"/>
      <c r="J216" s="8" t="str">
        <f t="shared" si="3"/>
        <v/>
      </c>
      <c r="K216" s="5"/>
      <c r="L216" s="2"/>
      <c r="M216" s="2"/>
      <c r="N216" s="2"/>
    </row>
    <row r="217" spans="1:14">
      <c r="A217" s="12"/>
      <c r="B217" s="2"/>
      <c r="C217" s="2"/>
      <c r="D217" s="8"/>
      <c r="E217" s="2"/>
      <c r="F217" s="2"/>
      <c r="G217" s="5"/>
      <c r="H217" s="5"/>
      <c r="I217" s="8"/>
      <c r="J217" s="8" t="str">
        <f t="shared" si="3"/>
        <v/>
      </c>
      <c r="K217" s="5"/>
      <c r="L217" s="2"/>
      <c r="M217" s="2"/>
      <c r="N217" s="2"/>
    </row>
    <row r="218" spans="1:14">
      <c r="A218" s="12"/>
      <c r="B218" s="2"/>
      <c r="C218" s="2"/>
      <c r="D218" s="8"/>
      <c r="E218" s="2"/>
      <c r="F218" s="2"/>
      <c r="G218" s="5"/>
      <c r="H218" s="5"/>
      <c r="I218" s="8"/>
      <c r="J218" s="8" t="str">
        <f t="shared" si="3"/>
        <v/>
      </c>
      <c r="K218" s="5"/>
      <c r="L218" s="2"/>
      <c r="M218" s="2"/>
      <c r="N218" s="2"/>
    </row>
    <row r="219" spans="1:14">
      <c r="A219" s="12"/>
      <c r="B219" s="2"/>
      <c r="C219" s="2"/>
      <c r="D219" s="8"/>
      <c r="E219" s="2"/>
      <c r="F219" s="2"/>
      <c r="G219" s="5"/>
      <c r="H219" s="5"/>
      <c r="I219" s="8"/>
      <c r="J219" s="8" t="str">
        <f t="shared" si="3"/>
        <v/>
      </c>
      <c r="K219" s="5"/>
      <c r="L219" s="2"/>
      <c r="M219" s="2"/>
      <c r="N219" s="2"/>
    </row>
    <row r="220" spans="1:14">
      <c r="A220" s="12"/>
      <c r="B220" s="2"/>
      <c r="C220" s="2"/>
      <c r="D220" s="8"/>
      <c r="E220" s="2"/>
      <c r="F220" s="2"/>
      <c r="G220" s="5"/>
      <c r="H220" s="5"/>
      <c r="I220" s="8"/>
      <c r="J220" s="8" t="str">
        <f t="shared" si="3"/>
        <v/>
      </c>
      <c r="K220" s="5"/>
      <c r="L220" s="2"/>
      <c r="M220" s="2"/>
      <c r="N220" s="2"/>
    </row>
    <row r="221" spans="1:14">
      <c r="A221" s="12"/>
      <c r="B221" s="2"/>
      <c r="C221" s="2"/>
      <c r="D221" s="8"/>
      <c r="E221" s="2"/>
      <c r="F221" s="2"/>
      <c r="G221" s="5"/>
      <c r="H221" s="5"/>
      <c r="I221" s="8"/>
      <c r="J221" s="8" t="str">
        <f t="shared" si="3"/>
        <v/>
      </c>
      <c r="K221" s="5"/>
      <c r="L221" s="2"/>
      <c r="M221" s="2"/>
      <c r="N221" s="2"/>
    </row>
    <row r="222" spans="1:14">
      <c r="A222" s="12"/>
      <c r="B222" s="2"/>
      <c r="C222" s="2"/>
      <c r="D222" s="8"/>
      <c r="E222" s="2"/>
      <c r="F222" s="2"/>
      <c r="G222" s="5"/>
      <c r="H222" s="5"/>
      <c r="I222" s="8"/>
      <c r="J222" s="8" t="str">
        <f t="shared" si="3"/>
        <v/>
      </c>
      <c r="K222" s="5"/>
      <c r="L222" s="2"/>
      <c r="M222" s="2"/>
      <c r="N222" s="2"/>
    </row>
    <row r="223" spans="1:14">
      <c r="A223" s="12"/>
      <c r="B223" s="2"/>
      <c r="C223" s="2"/>
      <c r="D223" s="8"/>
      <c r="E223" s="2"/>
      <c r="F223" s="2"/>
      <c r="G223" s="5"/>
      <c r="H223" s="5"/>
      <c r="I223" s="8"/>
      <c r="J223" s="8" t="str">
        <f t="shared" si="3"/>
        <v/>
      </c>
      <c r="K223" s="5"/>
      <c r="L223" s="2"/>
      <c r="M223" s="2"/>
      <c r="N223" s="2"/>
    </row>
    <row r="224" spans="1:14">
      <c r="A224" s="12"/>
      <c r="B224" s="2"/>
      <c r="C224" s="2"/>
      <c r="D224" s="8"/>
      <c r="E224" s="2"/>
      <c r="F224" s="2"/>
      <c r="G224" s="5"/>
      <c r="H224" s="5"/>
      <c r="I224" s="8"/>
      <c r="J224" s="8" t="str">
        <f t="shared" si="3"/>
        <v/>
      </c>
      <c r="K224" s="5"/>
      <c r="L224" s="2"/>
      <c r="M224" s="2"/>
      <c r="N224" s="2"/>
    </row>
    <row r="225" spans="1:14">
      <c r="A225" s="12"/>
      <c r="B225" s="2"/>
      <c r="C225" s="2"/>
      <c r="D225" s="8"/>
      <c r="E225" s="2"/>
      <c r="F225" s="2"/>
      <c r="G225" s="5"/>
      <c r="H225" s="5"/>
      <c r="I225" s="8"/>
      <c r="J225" s="8" t="str">
        <f t="shared" si="3"/>
        <v/>
      </c>
      <c r="K225" s="5"/>
      <c r="L225" s="2"/>
      <c r="M225" s="2"/>
      <c r="N225" s="2"/>
    </row>
    <row r="226" spans="1:14">
      <c r="A226" s="12"/>
      <c r="B226" s="2"/>
      <c r="C226" s="2"/>
      <c r="D226" s="8"/>
      <c r="E226" s="2"/>
      <c r="F226" s="2"/>
      <c r="G226" s="5"/>
      <c r="H226" s="5"/>
      <c r="I226" s="8"/>
      <c r="J226" s="8" t="str">
        <f t="shared" si="3"/>
        <v/>
      </c>
      <c r="K226" s="5"/>
      <c r="L226" s="2"/>
      <c r="M226" s="2"/>
      <c r="N226" s="2"/>
    </row>
    <row r="227" spans="1:14">
      <c r="A227" s="12"/>
      <c r="B227" s="2"/>
      <c r="C227" s="2"/>
      <c r="D227" s="8"/>
      <c r="E227" s="2"/>
      <c r="F227" s="2"/>
      <c r="G227" s="5"/>
      <c r="H227" s="5"/>
      <c r="I227" s="8"/>
      <c r="J227" s="8" t="str">
        <f t="shared" si="3"/>
        <v/>
      </c>
      <c r="K227" s="5"/>
      <c r="L227" s="2"/>
      <c r="M227" s="2"/>
      <c r="N227" s="2"/>
    </row>
    <row r="228" spans="1:14">
      <c r="A228" s="12"/>
      <c r="B228" s="2"/>
      <c r="C228" s="2"/>
      <c r="D228" s="8"/>
      <c r="E228" s="2"/>
      <c r="F228" s="2"/>
      <c r="G228" s="5"/>
      <c r="H228" s="5"/>
      <c r="I228" s="8"/>
      <c r="J228" s="8" t="str">
        <f t="shared" si="3"/>
        <v/>
      </c>
      <c r="K228" s="5"/>
      <c r="L228" s="2"/>
      <c r="M228" s="2"/>
      <c r="N228" s="2"/>
    </row>
    <row r="229" spans="1:14">
      <c r="A229" s="12"/>
      <c r="B229" s="2"/>
      <c r="C229" s="2"/>
      <c r="D229" s="8"/>
      <c r="E229" s="2"/>
      <c r="F229" s="2"/>
      <c r="G229" s="5"/>
      <c r="H229" s="5"/>
      <c r="I229" s="8"/>
      <c r="J229" s="8" t="str">
        <f t="shared" si="3"/>
        <v/>
      </c>
      <c r="K229" s="5"/>
      <c r="L229" s="2"/>
      <c r="M229" s="2"/>
      <c r="N229" s="2"/>
    </row>
    <row r="230" spans="1:14">
      <c r="A230" s="12"/>
      <c r="B230" s="2"/>
      <c r="C230" s="2"/>
      <c r="D230" s="8"/>
      <c r="E230" s="2"/>
      <c r="F230" s="2"/>
      <c r="G230" s="5"/>
      <c r="H230" s="5"/>
      <c r="I230" s="8"/>
      <c r="J230" s="8" t="str">
        <f t="shared" si="3"/>
        <v/>
      </c>
      <c r="K230" s="5"/>
      <c r="L230" s="2"/>
      <c r="M230" s="2"/>
      <c r="N230" s="2"/>
    </row>
    <row r="231" spans="1:14">
      <c r="A231" s="12"/>
      <c r="B231" s="2"/>
      <c r="C231" s="2"/>
      <c r="D231" s="8"/>
      <c r="E231" s="2"/>
      <c r="F231" s="2"/>
      <c r="G231" s="5"/>
      <c r="H231" s="5"/>
      <c r="I231" s="8"/>
      <c r="J231" s="8" t="str">
        <f t="shared" si="3"/>
        <v/>
      </c>
      <c r="K231" s="5"/>
      <c r="L231" s="2"/>
      <c r="M231" s="2"/>
      <c r="N231" s="2"/>
    </row>
    <row r="232" spans="1:14">
      <c r="A232" s="12"/>
      <c r="B232" s="2"/>
      <c r="C232" s="2"/>
      <c r="D232" s="8"/>
      <c r="E232" s="2"/>
      <c r="F232" s="2"/>
      <c r="G232" s="5"/>
      <c r="H232" s="5"/>
      <c r="I232" s="8"/>
      <c r="J232" s="8" t="str">
        <f t="shared" si="3"/>
        <v/>
      </c>
      <c r="K232" s="5"/>
      <c r="L232" s="2"/>
      <c r="M232" s="2"/>
      <c r="N232" s="2"/>
    </row>
    <row r="233" spans="1:14">
      <c r="A233" s="12"/>
      <c r="B233" s="2"/>
      <c r="C233" s="2"/>
      <c r="D233" s="8"/>
      <c r="E233" s="2"/>
      <c r="F233" s="2"/>
      <c r="G233" s="5"/>
      <c r="H233" s="5"/>
      <c r="I233" s="8"/>
      <c r="J233" s="8" t="str">
        <f t="shared" si="3"/>
        <v/>
      </c>
      <c r="K233" s="5"/>
      <c r="L233" s="2"/>
      <c r="M233" s="2"/>
      <c r="N233" s="2"/>
    </row>
    <row r="234" spans="1:14">
      <c r="A234" s="12"/>
      <c r="B234" s="2"/>
      <c r="C234" s="2"/>
      <c r="D234" s="8"/>
      <c r="E234" s="2"/>
      <c r="F234" s="2"/>
      <c r="G234" s="5"/>
      <c r="H234" s="5"/>
      <c r="I234" s="8"/>
      <c r="J234" s="8" t="str">
        <f t="shared" si="3"/>
        <v/>
      </c>
      <c r="K234" s="5"/>
      <c r="L234" s="2"/>
      <c r="M234" s="2"/>
      <c r="N234" s="2"/>
    </row>
    <row r="235" spans="1:14">
      <c r="A235" s="12"/>
      <c r="B235" s="2"/>
      <c r="C235" s="2"/>
      <c r="D235" s="8"/>
      <c r="E235" s="2"/>
      <c r="F235" s="2"/>
      <c r="G235" s="5"/>
      <c r="H235" s="5"/>
      <c r="I235" s="8"/>
      <c r="J235" s="8" t="str">
        <f t="shared" si="3"/>
        <v/>
      </c>
      <c r="K235" s="5"/>
      <c r="L235" s="2"/>
      <c r="M235" s="2"/>
      <c r="N235" s="2"/>
    </row>
    <row r="236" spans="1:14">
      <c r="A236" s="12"/>
      <c r="B236" s="2"/>
      <c r="C236" s="2"/>
      <c r="D236" s="8"/>
      <c r="E236" s="2"/>
      <c r="F236" s="2"/>
      <c r="G236" s="5"/>
      <c r="H236" s="5"/>
      <c r="I236" s="8"/>
      <c r="J236" s="8" t="str">
        <f t="shared" si="3"/>
        <v/>
      </c>
      <c r="K236" s="5"/>
      <c r="L236" s="2"/>
      <c r="M236" s="2"/>
      <c r="N236" s="2"/>
    </row>
    <row r="237" spans="1:14">
      <c r="A237" s="12"/>
      <c r="B237" s="2"/>
      <c r="C237" s="2"/>
      <c r="D237" s="8"/>
      <c r="E237" s="2"/>
      <c r="F237" s="2"/>
      <c r="G237" s="5"/>
      <c r="H237" s="5"/>
      <c r="I237" s="8"/>
      <c r="J237" s="8" t="str">
        <f t="shared" si="3"/>
        <v/>
      </c>
      <c r="K237" s="5"/>
      <c r="L237" s="2"/>
      <c r="M237" s="2"/>
      <c r="N237" s="2"/>
    </row>
    <row r="238" spans="1:14">
      <c r="A238" s="12"/>
      <c r="B238" s="2"/>
      <c r="C238" s="2"/>
      <c r="D238" s="8"/>
      <c r="E238" s="2"/>
      <c r="F238" s="2"/>
      <c r="G238" s="5"/>
      <c r="H238" s="5"/>
      <c r="I238" s="8"/>
      <c r="J238" s="8" t="str">
        <f t="shared" si="3"/>
        <v/>
      </c>
      <c r="K238" s="5"/>
      <c r="L238" s="2"/>
      <c r="M238" s="2"/>
      <c r="N238" s="2"/>
    </row>
    <row r="239" spans="1:14">
      <c r="A239" s="12"/>
      <c r="B239" s="2"/>
      <c r="C239" s="2"/>
      <c r="D239" s="8"/>
      <c r="E239" s="2"/>
      <c r="F239" s="2"/>
      <c r="G239" s="5"/>
      <c r="H239" s="5"/>
      <c r="I239" s="8"/>
      <c r="J239" s="8" t="str">
        <f t="shared" si="3"/>
        <v/>
      </c>
      <c r="K239" s="5"/>
      <c r="L239" s="2"/>
      <c r="M239" s="2"/>
      <c r="N239" s="2"/>
    </row>
    <row r="240" spans="1:14">
      <c r="A240" s="12"/>
      <c r="B240" s="2"/>
      <c r="C240" s="2"/>
      <c r="D240" s="8"/>
      <c r="E240" s="2"/>
      <c r="F240" s="2"/>
      <c r="G240" s="5"/>
      <c r="H240" s="5"/>
      <c r="I240" s="8"/>
      <c r="J240" s="8" t="str">
        <f t="shared" si="3"/>
        <v/>
      </c>
      <c r="K240" s="5"/>
      <c r="L240" s="2"/>
      <c r="M240" s="2"/>
      <c r="N240" s="2"/>
    </row>
    <row r="241" spans="1:14">
      <c r="A241" s="12"/>
      <c r="B241" s="2"/>
      <c r="C241" s="2"/>
      <c r="D241" s="8"/>
      <c r="E241" s="2"/>
      <c r="F241" s="2"/>
      <c r="G241" s="5"/>
      <c r="H241" s="5"/>
      <c r="I241" s="8"/>
      <c r="J241" s="8" t="str">
        <f t="shared" si="3"/>
        <v/>
      </c>
      <c r="K241" s="5"/>
      <c r="L241" s="2"/>
      <c r="M241" s="2"/>
      <c r="N241" s="2"/>
    </row>
    <row r="242" spans="1:14">
      <c r="A242" s="12"/>
      <c r="B242" s="2"/>
      <c r="C242" s="2"/>
      <c r="D242" s="8"/>
      <c r="E242" s="2"/>
      <c r="F242" s="2"/>
      <c r="G242" s="5"/>
      <c r="H242" s="5"/>
      <c r="I242" s="8"/>
      <c r="J242" s="8" t="str">
        <f t="shared" si="3"/>
        <v/>
      </c>
      <c r="K242" s="5"/>
      <c r="L242" s="2"/>
      <c r="M242" s="2"/>
      <c r="N242" s="2"/>
    </row>
    <row r="243" spans="1:14">
      <c r="A243" s="12"/>
      <c r="B243" s="2"/>
      <c r="C243" s="2"/>
      <c r="D243" s="8"/>
      <c r="E243" s="2"/>
      <c r="F243" s="2"/>
      <c r="G243" s="5"/>
      <c r="H243" s="5"/>
      <c r="I243" s="8"/>
      <c r="J243" s="8" t="str">
        <f t="shared" si="3"/>
        <v/>
      </c>
      <c r="K243" s="5"/>
      <c r="L243" s="2"/>
      <c r="M243" s="2"/>
      <c r="N243" s="2"/>
    </row>
    <row r="244" spans="1:14">
      <c r="A244" s="12"/>
      <c r="B244" s="2"/>
      <c r="C244" s="2"/>
      <c r="D244" s="8"/>
      <c r="E244" s="2"/>
      <c r="F244" s="2"/>
      <c r="G244" s="5"/>
      <c r="H244" s="5"/>
      <c r="I244" s="8"/>
      <c r="J244" s="8" t="str">
        <f t="shared" si="3"/>
        <v/>
      </c>
      <c r="K244" s="5"/>
      <c r="L244" s="2"/>
      <c r="M244" s="2"/>
      <c r="N244" s="2"/>
    </row>
    <row r="245" spans="1:14">
      <c r="A245" s="12"/>
      <c r="B245" s="2"/>
      <c r="C245" s="2"/>
      <c r="D245" s="8"/>
      <c r="E245" s="2"/>
      <c r="F245" s="2"/>
      <c r="G245" s="5"/>
      <c r="H245" s="5"/>
      <c r="I245" s="8"/>
      <c r="J245" s="8" t="str">
        <f t="shared" si="3"/>
        <v/>
      </c>
      <c r="K245" s="5"/>
      <c r="L245" s="2"/>
      <c r="M245" s="2"/>
      <c r="N245" s="2"/>
    </row>
    <row r="246" spans="1:14">
      <c r="A246" s="12"/>
      <c r="B246" s="2"/>
      <c r="C246" s="2"/>
      <c r="D246" s="8"/>
      <c r="E246" s="2"/>
      <c r="F246" s="2"/>
      <c r="G246" s="5"/>
      <c r="H246" s="5"/>
      <c r="I246" s="8"/>
      <c r="J246" s="8" t="str">
        <f t="shared" si="3"/>
        <v/>
      </c>
      <c r="K246" s="5"/>
      <c r="L246" s="2"/>
      <c r="M246" s="2"/>
      <c r="N246" s="2"/>
    </row>
    <row r="247" spans="1:14">
      <c r="A247" s="12"/>
      <c r="B247" s="2"/>
      <c r="C247" s="2"/>
      <c r="D247" s="8"/>
      <c r="E247" s="2"/>
      <c r="F247" s="2"/>
      <c r="G247" s="5"/>
      <c r="H247" s="5"/>
      <c r="I247" s="8"/>
      <c r="J247" s="8" t="str">
        <f t="shared" si="3"/>
        <v/>
      </c>
      <c r="K247" s="5"/>
      <c r="L247" s="2"/>
      <c r="M247" s="2"/>
      <c r="N247" s="2"/>
    </row>
    <row r="248" spans="1:14">
      <c r="A248" s="12"/>
      <c r="B248" s="2"/>
      <c r="C248" s="2"/>
      <c r="D248" s="8"/>
      <c r="E248" s="2"/>
      <c r="F248" s="2"/>
      <c r="G248" s="5"/>
      <c r="H248" s="5"/>
      <c r="I248" s="8"/>
      <c r="J248" s="8" t="str">
        <f t="shared" si="3"/>
        <v/>
      </c>
      <c r="K248" s="5"/>
      <c r="L248" s="2"/>
      <c r="M248" s="2"/>
      <c r="N248" s="2"/>
    </row>
    <row r="249" spans="1:14">
      <c r="A249" s="12"/>
      <c r="B249" s="2"/>
      <c r="C249" s="2"/>
      <c r="D249" s="8"/>
      <c r="E249" s="2"/>
      <c r="F249" s="2"/>
      <c r="G249" s="5"/>
      <c r="H249" s="5"/>
      <c r="I249" s="8"/>
      <c r="J249" s="8" t="str">
        <f t="shared" si="3"/>
        <v/>
      </c>
      <c r="K249" s="5"/>
      <c r="L249" s="2"/>
      <c r="M249" s="2"/>
      <c r="N249" s="2"/>
    </row>
    <row r="250" spans="1:14">
      <c r="A250" s="12"/>
      <c r="B250" s="2"/>
      <c r="C250" s="2"/>
      <c r="D250" s="8"/>
      <c r="E250" s="2"/>
      <c r="F250" s="2"/>
      <c r="G250" s="5"/>
      <c r="H250" s="5"/>
      <c r="I250" s="8"/>
      <c r="J250" s="8" t="str">
        <f t="shared" si="3"/>
        <v/>
      </c>
      <c r="K250" s="5"/>
      <c r="L250" s="2"/>
      <c r="M250" s="2"/>
      <c r="N250" s="2"/>
    </row>
    <row r="251" spans="1:14">
      <c r="A251" s="12"/>
      <c r="B251" s="2"/>
      <c r="C251" s="2"/>
      <c r="D251" s="8"/>
      <c r="E251" s="2"/>
      <c r="F251" s="2"/>
      <c r="G251" s="5"/>
      <c r="H251" s="5"/>
      <c r="I251" s="8"/>
      <c r="J251" s="8" t="str">
        <f t="shared" si="3"/>
        <v/>
      </c>
      <c r="K251" s="5"/>
      <c r="L251" s="2"/>
      <c r="M251" s="2"/>
      <c r="N251" s="2"/>
    </row>
    <row r="252" spans="1:14">
      <c r="A252" s="12"/>
      <c r="B252" s="2"/>
      <c r="C252" s="2"/>
      <c r="D252" s="8"/>
      <c r="E252" s="2"/>
      <c r="F252" s="2"/>
      <c r="G252" s="5"/>
      <c r="H252" s="5"/>
      <c r="I252" s="8"/>
      <c r="J252" s="8" t="str">
        <f t="shared" si="3"/>
        <v/>
      </c>
      <c r="K252" s="5"/>
      <c r="L252" s="2"/>
      <c r="M252" s="2"/>
      <c r="N252" s="2"/>
    </row>
    <row r="253" spans="1:14">
      <c r="A253" s="12"/>
      <c r="B253" s="2"/>
      <c r="C253" s="2"/>
      <c r="D253" s="8"/>
      <c r="E253" s="2"/>
      <c r="F253" s="2"/>
      <c r="G253" s="5"/>
      <c r="H253" s="5"/>
      <c r="I253" s="8"/>
      <c r="J253" s="8" t="str">
        <f t="shared" si="3"/>
        <v/>
      </c>
      <c r="K253" s="5"/>
      <c r="L253" s="2"/>
      <c r="M253" s="2"/>
      <c r="N253" s="2"/>
    </row>
    <row r="254" spans="1:14">
      <c r="A254" s="12"/>
      <c r="B254" s="2"/>
      <c r="C254" s="2"/>
      <c r="D254" s="8"/>
      <c r="E254" s="2"/>
      <c r="F254" s="2"/>
      <c r="G254" s="5"/>
      <c r="H254" s="5"/>
      <c r="I254" s="8"/>
      <c r="J254" s="8" t="str">
        <f t="shared" si="3"/>
        <v/>
      </c>
      <c r="K254" s="5"/>
      <c r="L254" s="2"/>
      <c r="M254" s="2"/>
      <c r="N254" s="2"/>
    </row>
    <row r="255" spans="1:14">
      <c r="A255" s="12"/>
      <c r="B255" s="2"/>
      <c r="C255" s="2"/>
      <c r="D255" s="8"/>
      <c r="E255" s="2"/>
      <c r="F255" s="2"/>
      <c r="G255" s="5"/>
      <c r="H255" s="5"/>
      <c r="I255" s="8"/>
      <c r="J255" s="8" t="str">
        <f t="shared" si="3"/>
        <v/>
      </c>
      <c r="K255" s="5"/>
      <c r="L255" s="2"/>
      <c r="M255" s="2"/>
      <c r="N255" s="2"/>
    </row>
    <row r="256" spans="1:14">
      <c r="A256" s="12"/>
      <c r="B256" s="2"/>
      <c r="C256" s="2"/>
      <c r="D256" s="8"/>
      <c r="E256" s="2"/>
      <c r="F256" s="2"/>
      <c r="G256" s="5"/>
      <c r="H256" s="5"/>
      <c r="I256" s="8"/>
      <c r="J256" s="8" t="str">
        <f t="shared" si="3"/>
        <v/>
      </c>
      <c r="K256" s="5"/>
      <c r="L256" s="2"/>
      <c r="M256" s="2"/>
      <c r="N256" s="2"/>
    </row>
    <row r="257" spans="1:14">
      <c r="A257" s="12"/>
      <c r="B257" s="2"/>
      <c r="C257" s="2"/>
      <c r="D257" s="8"/>
      <c r="E257" s="2"/>
      <c r="F257" s="2"/>
      <c r="G257" s="5"/>
      <c r="H257" s="5"/>
      <c r="I257" s="8"/>
      <c r="J257" s="8" t="str">
        <f t="shared" si="3"/>
        <v/>
      </c>
      <c r="K257" s="5"/>
      <c r="L257" s="2"/>
      <c r="M257" s="2"/>
      <c r="N257" s="2"/>
    </row>
    <row r="258" spans="1:14">
      <c r="A258" s="12"/>
      <c r="B258" s="2"/>
      <c r="C258" s="2"/>
      <c r="D258" s="8"/>
      <c r="E258" s="2"/>
      <c r="F258" s="2"/>
      <c r="G258" s="5"/>
      <c r="H258" s="5"/>
      <c r="I258" s="8"/>
      <c r="J258" s="8" t="str">
        <f t="shared" si="3"/>
        <v/>
      </c>
      <c r="K258" s="5"/>
      <c r="L258" s="2"/>
      <c r="M258" s="2"/>
      <c r="N258" s="2"/>
    </row>
    <row r="259" spans="1:14">
      <c r="A259" s="12"/>
      <c r="B259" s="2"/>
      <c r="C259" s="2"/>
      <c r="D259" s="8"/>
      <c r="E259" s="2"/>
      <c r="F259" s="2"/>
      <c r="G259" s="5"/>
      <c r="H259" s="5"/>
      <c r="I259" s="8"/>
      <c r="J259" s="8" t="str">
        <f t="shared" si="3"/>
        <v/>
      </c>
      <c r="K259" s="5"/>
      <c r="L259" s="2"/>
      <c r="M259" s="2"/>
      <c r="N259" s="2"/>
    </row>
    <row r="260" spans="1:14">
      <c r="A260" s="12"/>
      <c r="B260" s="2"/>
      <c r="C260" s="2"/>
      <c r="D260" s="8"/>
      <c r="E260" s="2"/>
      <c r="F260" s="2"/>
      <c r="G260" s="5"/>
      <c r="H260" s="5"/>
      <c r="I260" s="8"/>
      <c r="J260" s="8" t="str">
        <f t="shared" ref="J260:J323" si="4">IF(D260="","",MAX(0,D260-I260))</f>
        <v/>
      </c>
      <c r="K260" s="5"/>
      <c r="L260" s="2"/>
      <c r="M260" s="2"/>
      <c r="N260" s="2"/>
    </row>
    <row r="261" spans="1:14">
      <c r="A261" s="12"/>
      <c r="B261" s="2"/>
      <c r="C261" s="2"/>
      <c r="D261" s="8"/>
      <c r="E261" s="2"/>
      <c r="F261" s="2"/>
      <c r="G261" s="5"/>
      <c r="H261" s="5"/>
      <c r="I261" s="8"/>
      <c r="J261" s="8" t="str">
        <f t="shared" si="4"/>
        <v/>
      </c>
      <c r="K261" s="5"/>
      <c r="L261" s="2"/>
      <c r="M261" s="2"/>
      <c r="N261" s="2"/>
    </row>
    <row r="262" spans="1:14">
      <c r="A262" s="12"/>
      <c r="B262" s="2"/>
      <c r="C262" s="2"/>
      <c r="D262" s="8"/>
      <c r="E262" s="2"/>
      <c r="F262" s="2"/>
      <c r="G262" s="5"/>
      <c r="H262" s="5"/>
      <c r="I262" s="8"/>
      <c r="J262" s="8" t="str">
        <f t="shared" si="4"/>
        <v/>
      </c>
      <c r="K262" s="5"/>
      <c r="L262" s="2"/>
      <c r="M262" s="2"/>
      <c r="N262" s="2"/>
    </row>
    <row r="263" spans="1:14">
      <c r="A263" s="12"/>
      <c r="B263" s="2"/>
      <c r="C263" s="2"/>
      <c r="D263" s="8"/>
      <c r="E263" s="2"/>
      <c r="F263" s="2"/>
      <c r="G263" s="5"/>
      <c r="H263" s="5"/>
      <c r="I263" s="8"/>
      <c r="J263" s="8" t="str">
        <f t="shared" si="4"/>
        <v/>
      </c>
      <c r="K263" s="5"/>
      <c r="L263" s="2"/>
      <c r="M263" s="2"/>
      <c r="N263" s="2"/>
    </row>
    <row r="264" spans="1:14">
      <c r="A264" s="12"/>
      <c r="B264" s="2"/>
      <c r="C264" s="2"/>
      <c r="D264" s="8"/>
      <c r="E264" s="2"/>
      <c r="F264" s="2"/>
      <c r="G264" s="5"/>
      <c r="H264" s="5"/>
      <c r="I264" s="8"/>
      <c r="J264" s="8" t="str">
        <f t="shared" si="4"/>
        <v/>
      </c>
      <c r="K264" s="5"/>
      <c r="L264" s="2"/>
      <c r="M264" s="2"/>
      <c r="N264" s="2"/>
    </row>
    <row r="265" spans="1:14">
      <c r="A265" s="12"/>
      <c r="B265" s="2"/>
      <c r="C265" s="2"/>
      <c r="D265" s="8"/>
      <c r="E265" s="2"/>
      <c r="F265" s="2"/>
      <c r="G265" s="5"/>
      <c r="H265" s="5"/>
      <c r="I265" s="8"/>
      <c r="J265" s="8" t="str">
        <f t="shared" si="4"/>
        <v/>
      </c>
      <c r="K265" s="5"/>
      <c r="L265" s="2"/>
      <c r="M265" s="2"/>
      <c r="N265" s="2"/>
    </row>
    <row r="266" spans="1:14">
      <c r="A266" s="12"/>
      <c r="B266" s="2"/>
      <c r="C266" s="2"/>
      <c r="D266" s="8"/>
      <c r="E266" s="2"/>
      <c r="F266" s="2"/>
      <c r="G266" s="5"/>
      <c r="H266" s="5"/>
      <c r="I266" s="8"/>
      <c r="J266" s="8" t="str">
        <f t="shared" si="4"/>
        <v/>
      </c>
      <c r="K266" s="5"/>
      <c r="L266" s="2"/>
      <c r="M266" s="2"/>
      <c r="N266" s="2"/>
    </row>
    <row r="267" spans="1:14">
      <c r="A267" s="12"/>
      <c r="B267" s="2"/>
      <c r="C267" s="2"/>
      <c r="D267" s="8"/>
      <c r="E267" s="2"/>
      <c r="F267" s="2"/>
      <c r="G267" s="5"/>
      <c r="H267" s="5"/>
      <c r="I267" s="8"/>
      <c r="J267" s="8" t="str">
        <f t="shared" si="4"/>
        <v/>
      </c>
      <c r="K267" s="5"/>
      <c r="L267" s="2"/>
      <c r="M267" s="2"/>
      <c r="N267" s="2"/>
    </row>
    <row r="268" spans="1:14">
      <c r="A268" s="12"/>
      <c r="B268" s="2"/>
      <c r="C268" s="2"/>
      <c r="D268" s="8"/>
      <c r="E268" s="2"/>
      <c r="F268" s="2"/>
      <c r="G268" s="5"/>
      <c r="H268" s="5"/>
      <c r="I268" s="8"/>
      <c r="J268" s="8" t="str">
        <f t="shared" si="4"/>
        <v/>
      </c>
      <c r="K268" s="5"/>
      <c r="L268" s="2"/>
      <c r="M268" s="2"/>
      <c r="N268" s="2"/>
    </row>
    <row r="269" spans="1:14">
      <c r="A269" s="12"/>
      <c r="B269" s="2"/>
      <c r="C269" s="2"/>
      <c r="D269" s="8"/>
      <c r="E269" s="2"/>
      <c r="F269" s="2"/>
      <c r="G269" s="5"/>
      <c r="H269" s="5"/>
      <c r="I269" s="8"/>
      <c r="J269" s="8" t="str">
        <f t="shared" si="4"/>
        <v/>
      </c>
      <c r="K269" s="5"/>
      <c r="L269" s="2"/>
      <c r="M269" s="2"/>
      <c r="N269" s="2"/>
    </row>
    <row r="270" spans="1:14">
      <c r="A270" s="12"/>
      <c r="B270" s="2"/>
      <c r="C270" s="2"/>
      <c r="D270" s="8"/>
      <c r="E270" s="2"/>
      <c r="F270" s="2"/>
      <c r="G270" s="5"/>
      <c r="H270" s="5"/>
      <c r="I270" s="8"/>
      <c r="J270" s="8" t="str">
        <f t="shared" si="4"/>
        <v/>
      </c>
      <c r="K270" s="5"/>
      <c r="L270" s="2"/>
      <c r="M270" s="2"/>
      <c r="N270" s="2"/>
    </row>
    <row r="271" spans="1:14">
      <c r="A271" s="12"/>
      <c r="B271" s="2"/>
      <c r="C271" s="2"/>
      <c r="D271" s="8"/>
      <c r="E271" s="2"/>
      <c r="F271" s="2"/>
      <c r="G271" s="5"/>
      <c r="H271" s="5"/>
      <c r="I271" s="8"/>
      <c r="J271" s="8" t="str">
        <f t="shared" si="4"/>
        <v/>
      </c>
      <c r="K271" s="5"/>
      <c r="L271" s="2"/>
      <c r="M271" s="2"/>
      <c r="N271" s="2"/>
    </row>
    <row r="272" spans="1:14">
      <c r="A272" s="12"/>
      <c r="B272" s="2"/>
      <c r="C272" s="2"/>
      <c r="D272" s="8"/>
      <c r="E272" s="2"/>
      <c r="F272" s="2"/>
      <c r="G272" s="5"/>
      <c r="H272" s="5"/>
      <c r="I272" s="8"/>
      <c r="J272" s="8" t="str">
        <f t="shared" si="4"/>
        <v/>
      </c>
      <c r="K272" s="5"/>
      <c r="L272" s="2"/>
      <c r="M272" s="2"/>
      <c r="N272" s="2"/>
    </row>
    <row r="273" spans="1:14">
      <c r="A273" s="12"/>
      <c r="B273" s="2"/>
      <c r="C273" s="2"/>
      <c r="D273" s="8"/>
      <c r="E273" s="2"/>
      <c r="F273" s="2"/>
      <c r="G273" s="5"/>
      <c r="H273" s="5"/>
      <c r="I273" s="8"/>
      <c r="J273" s="8" t="str">
        <f t="shared" si="4"/>
        <v/>
      </c>
      <c r="K273" s="5"/>
      <c r="L273" s="2"/>
      <c r="M273" s="2"/>
      <c r="N273" s="2"/>
    </row>
    <row r="274" spans="1:14">
      <c r="A274" s="12"/>
      <c r="B274" s="2"/>
      <c r="C274" s="2"/>
      <c r="D274" s="8"/>
      <c r="E274" s="2"/>
      <c r="F274" s="2"/>
      <c r="G274" s="5"/>
      <c r="H274" s="5"/>
      <c r="I274" s="8"/>
      <c r="J274" s="8" t="str">
        <f t="shared" si="4"/>
        <v/>
      </c>
      <c r="K274" s="5"/>
      <c r="L274" s="2"/>
      <c r="M274" s="2"/>
      <c r="N274" s="2"/>
    </row>
    <row r="275" spans="1:14">
      <c r="A275" s="12"/>
      <c r="B275" s="2"/>
      <c r="C275" s="2"/>
      <c r="D275" s="8"/>
      <c r="E275" s="2"/>
      <c r="F275" s="2"/>
      <c r="G275" s="5"/>
      <c r="H275" s="5"/>
      <c r="I275" s="8"/>
      <c r="J275" s="8" t="str">
        <f t="shared" si="4"/>
        <v/>
      </c>
      <c r="K275" s="5"/>
      <c r="L275" s="2"/>
      <c r="M275" s="2"/>
      <c r="N275" s="2"/>
    </row>
    <row r="276" spans="1:14">
      <c r="A276" s="12"/>
      <c r="B276" s="2"/>
      <c r="C276" s="2"/>
      <c r="D276" s="8"/>
      <c r="E276" s="2"/>
      <c r="F276" s="2"/>
      <c r="G276" s="5"/>
      <c r="H276" s="5"/>
      <c r="I276" s="8"/>
      <c r="J276" s="8" t="str">
        <f t="shared" si="4"/>
        <v/>
      </c>
      <c r="K276" s="5"/>
      <c r="L276" s="2"/>
      <c r="M276" s="2"/>
      <c r="N276" s="2"/>
    </row>
    <row r="277" spans="1:14">
      <c r="A277" s="12"/>
      <c r="B277" s="2"/>
      <c r="C277" s="2"/>
      <c r="D277" s="8"/>
      <c r="E277" s="2"/>
      <c r="F277" s="2"/>
      <c r="G277" s="5"/>
      <c r="H277" s="5"/>
      <c r="I277" s="8"/>
      <c r="J277" s="8" t="str">
        <f t="shared" si="4"/>
        <v/>
      </c>
      <c r="K277" s="5"/>
      <c r="L277" s="2"/>
      <c r="M277" s="2"/>
      <c r="N277" s="2"/>
    </row>
    <row r="278" spans="1:14">
      <c r="A278" s="12"/>
      <c r="B278" s="2"/>
      <c r="C278" s="2"/>
      <c r="D278" s="8"/>
      <c r="E278" s="2"/>
      <c r="F278" s="2"/>
      <c r="G278" s="5"/>
      <c r="H278" s="5"/>
      <c r="I278" s="8"/>
      <c r="J278" s="8" t="str">
        <f t="shared" si="4"/>
        <v/>
      </c>
      <c r="K278" s="5"/>
      <c r="L278" s="2"/>
      <c r="M278" s="2"/>
      <c r="N278" s="2"/>
    </row>
    <row r="279" spans="1:14">
      <c r="A279" s="12"/>
      <c r="B279" s="2"/>
      <c r="C279" s="2"/>
      <c r="D279" s="8"/>
      <c r="E279" s="2"/>
      <c r="F279" s="2"/>
      <c r="G279" s="5"/>
      <c r="H279" s="5"/>
      <c r="I279" s="8"/>
      <c r="J279" s="8" t="str">
        <f t="shared" si="4"/>
        <v/>
      </c>
      <c r="K279" s="5"/>
      <c r="L279" s="2"/>
      <c r="M279" s="2"/>
      <c r="N279" s="2"/>
    </row>
    <row r="280" spans="1:14">
      <c r="A280" s="12"/>
      <c r="B280" s="2"/>
      <c r="C280" s="2"/>
      <c r="D280" s="8"/>
      <c r="E280" s="2"/>
      <c r="F280" s="2"/>
      <c r="G280" s="5"/>
      <c r="H280" s="5"/>
      <c r="I280" s="8"/>
      <c r="J280" s="8" t="str">
        <f t="shared" si="4"/>
        <v/>
      </c>
      <c r="K280" s="5"/>
      <c r="L280" s="2"/>
      <c r="M280" s="2"/>
      <c r="N280" s="2"/>
    </row>
    <row r="281" spans="1:14">
      <c r="A281" s="12"/>
      <c r="B281" s="2"/>
      <c r="C281" s="2"/>
      <c r="D281" s="8"/>
      <c r="E281" s="2"/>
      <c r="F281" s="2"/>
      <c r="G281" s="5"/>
      <c r="H281" s="5"/>
      <c r="I281" s="8"/>
      <c r="J281" s="8" t="str">
        <f t="shared" si="4"/>
        <v/>
      </c>
      <c r="K281" s="5"/>
      <c r="L281" s="2"/>
      <c r="M281" s="2"/>
      <c r="N281" s="2"/>
    </row>
    <row r="282" spans="1:14">
      <c r="A282" s="12"/>
      <c r="B282" s="2"/>
      <c r="C282" s="2"/>
      <c r="D282" s="8"/>
      <c r="E282" s="2"/>
      <c r="F282" s="2"/>
      <c r="G282" s="5"/>
      <c r="H282" s="5"/>
      <c r="I282" s="8"/>
      <c r="J282" s="8" t="str">
        <f t="shared" si="4"/>
        <v/>
      </c>
      <c r="K282" s="5"/>
      <c r="L282" s="2"/>
      <c r="M282" s="2"/>
      <c r="N282" s="2"/>
    </row>
    <row r="283" spans="1:14">
      <c r="A283" s="12"/>
      <c r="B283" s="2"/>
      <c r="C283" s="2"/>
      <c r="D283" s="8"/>
      <c r="E283" s="2"/>
      <c r="F283" s="2"/>
      <c r="G283" s="5"/>
      <c r="H283" s="5"/>
      <c r="I283" s="8"/>
      <c r="J283" s="8" t="str">
        <f t="shared" si="4"/>
        <v/>
      </c>
      <c r="K283" s="5"/>
      <c r="L283" s="2"/>
      <c r="M283" s="2"/>
      <c r="N283" s="2"/>
    </row>
    <row r="284" spans="1:14">
      <c r="A284" s="12"/>
      <c r="B284" s="2"/>
      <c r="C284" s="2"/>
      <c r="D284" s="8"/>
      <c r="E284" s="2"/>
      <c r="F284" s="2"/>
      <c r="G284" s="5"/>
      <c r="H284" s="5"/>
      <c r="I284" s="8"/>
      <c r="J284" s="8" t="str">
        <f t="shared" si="4"/>
        <v/>
      </c>
      <c r="K284" s="5"/>
      <c r="L284" s="2"/>
      <c r="M284" s="2"/>
      <c r="N284" s="2"/>
    </row>
    <row r="285" spans="1:14">
      <c r="A285" s="12"/>
      <c r="B285" s="2"/>
      <c r="C285" s="2"/>
      <c r="D285" s="8"/>
      <c r="E285" s="2"/>
      <c r="F285" s="2"/>
      <c r="G285" s="5"/>
      <c r="H285" s="5"/>
      <c r="I285" s="8"/>
      <c r="J285" s="8" t="str">
        <f t="shared" si="4"/>
        <v/>
      </c>
      <c r="K285" s="5"/>
      <c r="L285" s="2"/>
      <c r="M285" s="2"/>
      <c r="N285" s="2"/>
    </row>
    <row r="286" spans="1:14">
      <c r="A286" s="12"/>
      <c r="B286" s="2"/>
      <c r="C286" s="2"/>
      <c r="D286" s="8"/>
      <c r="E286" s="2"/>
      <c r="F286" s="2"/>
      <c r="G286" s="5"/>
      <c r="H286" s="5"/>
      <c r="I286" s="8"/>
      <c r="J286" s="8" t="str">
        <f t="shared" si="4"/>
        <v/>
      </c>
      <c r="K286" s="5"/>
      <c r="L286" s="2"/>
      <c r="M286" s="2"/>
      <c r="N286" s="2"/>
    </row>
    <row r="287" spans="1:14">
      <c r="A287" s="12"/>
      <c r="B287" s="2"/>
      <c r="C287" s="2"/>
      <c r="D287" s="8"/>
      <c r="E287" s="2"/>
      <c r="F287" s="2"/>
      <c r="G287" s="5"/>
      <c r="H287" s="5"/>
      <c r="I287" s="8"/>
      <c r="J287" s="8" t="str">
        <f t="shared" si="4"/>
        <v/>
      </c>
      <c r="K287" s="5"/>
      <c r="L287" s="2"/>
      <c r="M287" s="2"/>
      <c r="N287" s="2"/>
    </row>
    <row r="288" spans="1:14">
      <c r="A288" s="12"/>
      <c r="B288" s="2"/>
      <c r="C288" s="2"/>
      <c r="D288" s="8"/>
      <c r="E288" s="2"/>
      <c r="F288" s="2"/>
      <c r="G288" s="5"/>
      <c r="H288" s="5"/>
      <c r="I288" s="8"/>
      <c r="J288" s="8" t="str">
        <f t="shared" si="4"/>
        <v/>
      </c>
      <c r="K288" s="5"/>
      <c r="L288" s="2"/>
      <c r="M288" s="2"/>
      <c r="N288" s="2"/>
    </row>
    <row r="289" spans="1:14">
      <c r="A289" s="12"/>
      <c r="B289" s="2"/>
      <c r="C289" s="2"/>
      <c r="D289" s="8"/>
      <c r="E289" s="2"/>
      <c r="F289" s="2"/>
      <c r="G289" s="5"/>
      <c r="H289" s="5"/>
      <c r="I289" s="8"/>
      <c r="J289" s="8" t="str">
        <f t="shared" si="4"/>
        <v/>
      </c>
      <c r="K289" s="5"/>
      <c r="L289" s="2"/>
      <c r="M289" s="2"/>
      <c r="N289" s="2"/>
    </row>
    <row r="290" spans="1:14">
      <c r="A290" s="12"/>
      <c r="B290" s="2"/>
      <c r="C290" s="2"/>
      <c r="D290" s="8"/>
      <c r="E290" s="2"/>
      <c r="F290" s="2"/>
      <c r="G290" s="5"/>
      <c r="H290" s="5"/>
      <c r="I290" s="8"/>
      <c r="J290" s="8" t="str">
        <f t="shared" si="4"/>
        <v/>
      </c>
      <c r="K290" s="5"/>
      <c r="L290" s="2"/>
      <c r="M290" s="2"/>
      <c r="N290" s="2"/>
    </row>
    <row r="291" spans="1:14">
      <c r="A291" s="12"/>
      <c r="B291" s="2"/>
      <c r="C291" s="2"/>
      <c r="D291" s="8"/>
      <c r="E291" s="2"/>
      <c r="F291" s="2"/>
      <c r="G291" s="5"/>
      <c r="H291" s="5"/>
      <c r="I291" s="8"/>
      <c r="J291" s="8" t="str">
        <f t="shared" si="4"/>
        <v/>
      </c>
      <c r="K291" s="5"/>
      <c r="L291" s="2"/>
      <c r="M291" s="2"/>
      <c r="N291" s="2"/>
    </row>
    <row r="292" spans="1:14">
      <c r="A292" s="12"/>
      <c r="B292" s="2"/>
      <c r="C292" s="2"/>
      <c r="D292" s="8"/>
      <c r="E292" s="2"/>
      <c r="F292" s="2"/>
      <c r="G292" s="5"/>
      <c r="H292" s="5"/>
      <c r="I292" s="8"/>
      <c r="J292" s="8" t="str">
        <f t="shared" si="4"/>
        <v/>
      </c>
      <c r="K292" s="5"/>
      <c r="L292" s="2"/>
      <c r="M292" s="2"/>
      <c r="N292" s="2"/>
    </row>
    <row r="293" spans="1:14">
      <c r="A293" s="12"/>
      <c r="B293" s="2"/>
      <c r="C293" s="2"/>
      <c r="D293" s="8"/>
      <c r="E293" s="2"/>
      <c r="F293" s="2"/>
      <c r="G293" s="5"/>
      <c r="H293" s="5"/>
      <c r="I293" s="8"/>
      <c r="J293" s="8" t="str">
        <f t="shared" si="4"/>
        <v/>
      </c>
      <c r="K293" s="5"/>
      <c r="L293" s="2"/>
      <c r="M293" s="2"/>
      <c r="N293" s="2"/>
    </row>
    <row r="294" spans="1:14">
      <c r="A294" s="12"/>
      <c r="B294" s="2"/>
      <c r="C294" s="2"/>
      <c r="D294" s="8"/>
      <c r="E294" s="2"/>
      <c r="F294" s="2"/>
      <c r="G294" s="5"/>
      <c r="H294" s="5"/>
      <c r="I294" s="8"/>
      <c r="J294" s="8" t="str">
        <f t="shared" si="4"/>
        <v/>
      </c>
      <c r="K294" s="5"/>
      <c r="L294" s="2"/>
      <c r="M294" s="2"/>
      <c r="N294" s="2"/>
    </row>
    <row r="295" spans="1:14">
      <c r="A295" s="12"/>
      <c r="B295" s="2"/>
      <c r="C295" s="2"/>
      <c r="D295" s="8"/>
      <c r="E295" s="2"/>
      <c r="F295" s="2"/>
      <c r="G295" s="5"/>
      <c r="H295" s="5"/>
      <c r="I295" s="8"/>
      <c r="J295" s="8" t="str">
        <f t="shared" si="4"/>
        <v/>
      </c>
      <c r="K295" s="5"/>
      <c r="L295" s="2"/>
      <c r="M295" s="2"/>
      <c r="N295" s="2"/>
    </row>
    <row r="296" spans="1:14">
      <c r="A296" s="12"/>
      <c r="B296" s="2"/>
      <c r="C296" s="2"/>
      <c r="D296" s="8"/>
      <c r="E296" s="2"/>
      <c r="F296" s="2"/>
      <c r="G296" s="5"/>
      <c r="H296" s="5"/>
      <c r="I296" s="8"/>
      <c r="J296" s="8" t="str">
        <f t="shared" si="4"/>
        <v/>
      </c>
      <c r="K296" s="5"/>
      <c r="L296" s="2"/>
      <c r="M296" s="2"/>
      <c r="N296" s="2"/>
    </row>
    <row r="297" spans="1:14">
      <c r="A297" s="12"/>
      <c r="B297" s="2"/>
      <c r="C297" s="2"/>
      <c r="D297" s="8"/>
      <c r="E297" s="2"/>
      <c r="F297" s="2"/>
      <c r="G297" s="5"/>
      <c r="H297" s="5"/>
      <c r="I297" s="8"/>
      <c r="J297" s="8" t="str">
        <f t="shared" si="4"/>
        <v/>
      </c>
      <c r="K297" s="5"/>
      <c r="L297" s="2"/>
      <c r="M297" s="2"/>
      <c r="N297" s="2"/>
    </row>
    <row r="298" spans="1:14">
      <c r="A298" s="12"/>
      <c r="B298" s="2"/>
      <c r="C298" s="2"/>
      <c r="D298" s="8"/>
      <c r="E298" s="2"/>
      <c r="F298" s="2"/>
      <c r="G298" s="5"/>
      <c r="H298" s="5"/>
      <c r="I298" s="8"/>
      <c r="J298" s="8" t="str">
        <f t="shared" si="4"/>
        <v/>
      </c>
      <c r="K298" s="5"/>
      <c r="L298" s="2"/>
      <c r="M298" s="2"/>
      <c r="N298" s="2"/>
    </row>
    <row r="299" spans="1:14">
      <c r="A299" s="12"/>
      <c r="B299" s="2"/>
      <c r="C299" s="2"/>
      <c r="D299" s="8"/>
      <c r="E299" s="2"/>
      <c r="F299" s="2"/>
      <c r="G299" s="5"/>
      <c r="H299" s="5"/>
      <c r="I299" s="8"/>
      <c r="J299" s="8" t="str">
        <f t="shared" si="4"/>
        <v/>
      </c>
      <c r="K299" s="5"/>
      <c r="L299" s="2"/>
      <c r="M299" s="2"/>
      <c r="N299" s="2"/>
    </row>
    <row r="300" spans="1:14">
      <c r="A300" s="12"/>
      <c r="B300" s="2"/>
      <c r="C300" s="2"/>
      <c r="D300" s="8"/>
      <c r="E300" s="2"/>
      <c r="F300" s="2"/>
      <c r="G300" s="5"/>
      <c r="H300" s="5"/>
      <c r="I300" s="8"/>
      <c r="J300" s="8" t="str">
        <f t="shared" si="4"/>
        <v/>
      </c>
      <c r="K300" s="5"/>
      <c r="L300" s="2"/>
      <c r="M300" s="2"/>
      <c r="N300" s="2"/>
    </row>
    <row r="301" spans="1:14">
      <c r="A301" s="12"/>
      <c r="B301" s="2"/>
      <c r="C301" s="2"/>
      <c r="D301" s="8"/>
      <c r="E301" s="2"/>
      <c r="F301" s="2"/>
      <c r="G301" s="5"/>
      <c r="H301" s="5"/>
      <c r="I301" s="8"/>
      <c r="J301" s="8" t="str">
        <f t="shared" si="4"/>
        <v/>
      </c>
      <c r="K301" s="5"/>
      <c r="L301" s="2"/>
      <c r="M301" s="2"/>
      <c r="N301" s="2"/>
    </row>
    <row r="302" spans="1:14">
      <c r="A302" s="12"/>
      <c r="B302" s="2"/>
      <c r="C302" s="2"/>
      <c r="D302" s="8"/>
      <c r="E302" s="2"/>
      <c r="F302" s="2"/>
      <c r="G302" s="5"/>
      <c r="H302" s="5"/>
      <c r="I302" s="8"/>
      <c r="J302" s="8" t="str">
        <f t="shared" si="4"/>
        <v/>
      </c>
      <c r="K302" s="5"/>
      <c r="L302" s="2"/>
      <c r="M302" s="2"/>
      <c r="N302" s="2"/>
    </row>
    <row r="303" spans="1:14">
      <c r="A303" s="12"/>
      <c r="B303" s="2"/>
      <c r="C303" s="2"/>
      <c r="D303" s="8"/>
      <c r="E303" s="2"/>
      <c r="F303" s="2"/>
      <c r="G303" s="5"/>
      <c r="H303" s="5"/>
      <c r="I303" s="8"/>
      <c r="J303" s="8" t="str">
        <f t="shared" si="4"/>
        <v/>
      </c>
      <c r="K303" s="5"/>
      <c r="L303" s="2"/>
      <c r="M303" s="2"/>
      <c r="N303" s="2"/>
    </row>
    <row r="304" spans="1:14">
      <c r="A304" s="12"/>
      <c r="B304" s="2"/>
      <c r="C304" s="2"/>
      <c r="D304" s="8"/>
      <c r="E304" s="2"/>
      <c r="F304" s="2"/>
      <c r="G304" s="5"/>
      <c r="H304" s="5"/>
      <c r="I304" s="8"/>
      <c r="J304" s="8" t="str">
        <f t="shared" si="4"/>
        <v/>
      </c>
      <c r="K304" s="5"/>
      <c r="L304" s="2"/>
      <c r="M304" s="2"/>
      <c r="N304" s="2"/>
    </row>
    <row r="305" spans="1:14">
      <c r="A305" s="12"/>
      <c r="B305" s="2"/>
      <c r="C305" s="2"/>
      <c r="D305" s="8"/>
      <c r="E305" s="2"/>
      <c r="F305" s="2"/>
      <c r="G305" s="5"/>
      <c r="H305" s="5"/>
      <c r="I305" s="8"/>
      <c r="J305" s="8" t="str">
        <f t="shared" si="4"/>
        <v/>
      </c>
      <c r="K305" s="5"/>
      <c r="L305" s="2"/>
      <c r="M305" s="2"/>
      <c r="N305" s="2"/>
    </row>
    <row r="306" spans="1:14">
      <c r="A306" s="12"/>
      <c r="B306" s="2"/>
      <c r="C306" s="2"/>
      <c r="D306" s="8"/>
      <c r="E306" s="2"/>
      <c r="F306" s="2"/>
      <c r="G306" s="5"/>
      <c r="H306" s="5"/>
      <c r="I306" s="8"/>
      <c r="J306" s="8" t="str">
        <f t="shared" si="4"/>
        <v/>
      </c>
      <c r="K306" s="5"/>
      <c r="L306" s="2"/>
      <c r="M306" s="2"/>
      <c r="N306" s="2"/>
    </row>
    <row r="307" spans="1:14">
      <c r="A307" s="12"/>
      <c r="B307" s="2"/>
      <c r="C307" s="2"/>
      <c r="D307" s="8"/>
      <c r="E307" s="2"/>
      <c r="F307" s="2"/>
      <c r="G307" s="5"/>
      <c r="H307" s="5"/>
      <c r="I307" s="8"/>
      <c r="J307" s="8" t="str">
        <f t="shared" si="4"/>
        <v/>
      </c>
      <c r="K307" s="5"/>
      <c r="L307" s="2"/>
      <c r="M307" s="2"/>
      <c r="N307" s="2"/>
    </row>
    <row r="308" spans="1:14">
      <c r="A308" s="12"/>
      <c r="B308" s="2"/>
      <c r="C308" s="2"/>
      <c r="D308" s="8"/>
      <c r="E308" s="2"/>
      <c r="F308" s="2"/>
      <c r="G308" s="5"/>
      <c r="H308" s="5"/>
      <c r="I308" s="8"/>
      <c r="J308" s="8" t="str">
        <f t="shared" si="4"/>
        <v/>
      </c>
      <c r="K308" s="5"/>
      <c r="L308" s="2"/>
      <c r="M308" s="2"/>
      <c r="N308" s="2"/>
    </row>
    <row r="309" spans="1:14">
      <c r="A309" s="12"/>
      <c r="B309" s="2"/>
      <c r="C309" s="2"/>
      <c r="D309" s="8"/>
      <c r="E309" s="2"/>
      <c r="F309" s="2"/>
      <c r="G309" s="5"/>
      <c r="H309" s="5"/>
      <c r="I309" s="8"/>
      <c r="J309" s="8" t="str">
        <f t="shared" si="4"/>
        <v/>
      </c>
      <c r="K309" s="5"/>
      <c r="L309" s="2"/>
      <c r="M309" s="2"/>
      <c r="N309" s="2"/>
    </row>
    <row r="310" spans="1:14">
      <c r="A310" s="12"/>
      <c r="B310" s="2"/>
      <c r="C310" s="2"/>
      <c r="D310" s="8"/>
      <c r="E310" s="2"/>
      <c r="F310" s="2"/>
      <c r="G310" s="5"/>
      <c r="H310" s="5"/>
      <c r="I310" s="8"/>
      <c r="J310" s="8" t="str">
        <f t="shared" si="4"/>
        <v/>
      </c>
      <c r="K310" s="5"/>
      <c r="L310" s="2"/>
      <c r="M310" s="2"/>
      <c r="N310" s="2"/>
    </row>
    <row r="311" spans="1:14">
      <c r="A311" s="12"/>
      <c r="B311" s="2"/>
      <c r="C311" s="2"/>
      <c r="D311" s="8"/>
      <c r="E311" s="2"/>
      <c r="F311" s="2"/>
      <c r="G311" s="5"/>
      <c r="H311" s="5"/>
      <c r="I311" s="8"/>
      <c r="J311" s="8" t="str">
        <f t="shared" si="4"/>
        <v/>
      </c>
      <c r="K311" s="5"/>
      <c r="L311" s="2"/>
      <c r="M311" s="2"/>
      <c r="N311" s="2"/>
    </row>
    <row r="312" spans="1:14">
      <c r="A312" s="12"/>
      <c r="B312" s="2"/>
      <c r="C312" s="2"/>
      <c r="D312" s="8"/>
      <c r="E312" s="2"/>
      <c r="F312" s="2"/>
      <c r="G312" s="5"/>
      <c r="H312" s="5"/>
      <c r="I312" s="8"/>
      <c r="J312" s="8" t="str">
        <f t="shared" si="4"/>
        <v/>
      </c>
      <c r="K312" s="5"/>
      <c r="L312" s="2"/>
      <c r="M312" s="2"/>
      <c r="N312" s="2"/>
    </row>
    <row r="313" spans="1:14">
      <c r="A313" s="12"/>
      <c r="B313" s="2"/>
      <c r="C313" s="2"/>
      <c r="D313" s="8"/>
      <c r="E313" s="2"/>
      <c r="F313" s="2"/>
      <c r="G313" s="5"/>
      <c r="H313" s="5"/>
      <c r="I313" s="8"/>
      <c r="J313" s="8" t="str">
        <f t="shared" si="4"/>
        <v/>
      </c>
      <c r="K313" s="5"/>
      <c r="L313" s="2"/>
      <c r="M313" s="2"/>
      <c r="N313" s="2"/>
    </row>
    <row r="314" spans="1:14">
      <c r="A314" s="12"/>
      <c r="B314" s="2"/>
      <c r="C314" s="2"/>
      <c r="D314" s="8"/>
      <c r="E314" s="2"/>
      <c r="F314" s="2"/>
      <c r="G314" s="5"/>
      <c r="H314" s="5"/>
      <c r="I314" s="8"/>
      <c r="J314" s="8" t="str">
        <f t="shared" si="4"/>
        <v/>
      </c>
      <c r="K314" s="5"/>
      <c r="L314" s="2"/>
      <c r="M314" s="2"/>
      <c r="N314" s="2"/>
    </row>
    <row r="315" spans="1:14">
      <c r="A315" s="12"/>
      <c r="B315" s="2"/>
      <c r="C315" s="2"/>
      <c r="D315" s="8"/>
      <c r="E315" s="2"/>
      <c r="F315" s="2"/>
      <c r="G315" s="5"/>
      <c r="H315" s="5"/>
      <c r="I315" s="8"/>
      <c r="J315" s="8" t="str">
        <f t="shared" si="4"/>
        <v/>
      </c>
      <c r="K315" s="5"/>
      <c r="L315" s="2"/>
      <c r="M315" s="2"/>
      <c r="N315" s="2"/>
    </row>
    <row r="316" spans="1:14">
      <c r="A316" s="12"/>
      <c r="B316" s="2"/>
      <c r="C316" s="2"/>
      <c r="D316" s="8"/>
      <c r="E316" s="2"/>
      <c r="F316" s="2"/>
      <c r="G316" s="5"/>
      <c r="H316" s="5"/>
      <c r="I316" s="8"/>
      <c r="J316" s="8" t="str">
        <f t="shared" si="4"/>
        <v/>
      </c>
      <c r="K316" s="5"/>
      <c r="L316" s="2"/>
      <c r="M316" s="2"/>
      <c r="N316" s="2"/>
    </row>
    <row r="317" spans="1:14">
      <c r="A317" s="12"/>
      <c r="B317" s="2"/>
      <c r="C317" s="2"/>
      <c r="D317" s="8"/>
      <c r="E317" s="2"/>
      <c r="F317" s="2"/>
      <c r="G317" s="5"/>
      <c r="H317" s="5"/>
      <c r="I317" s="8"/>
      <c r="J317" s="8" t="str">
        <f t="shared" si="4"/>
        <v/>
      </c>
      <c r="K317" s="5"/>
      <c r="L317" s="2"/>
      <c r="M317" s="2"/>
      <c r="N317" s="2"/>
    </row>
    <row r="318" spans="1:14">
      <c r="A318" s="12"/>
      <c r="B318" s="2"/>
      <c r="C318" s="2"/>
      <c r="D318" s="8"/>
      <c r="E318" s="2"/>
      <c r="F318" s="2"/>
      <c r="G318" s="5"/>
      <c r="H318" s="5"/>
      <c r="I318" s="8"/>
      <c r="J318" s="8" t="str">
        <f t="shared" si="4"/>
        <v/>
      </c>
      <c r="K318" s="5"/>
      <c r="L318" s="2"/>
      <c r="M318" s="2"/>
      <c r="N318" s="2"/>
    </row>
    <row r="319" spans="1:14">
      <c r="A319" s="12"/>
      <c r="B319" s="2"/>
      <c r="C319" s="2"/>
      <c r="D319" s="8"/>
      <c r="E319" s="2"/>
      <c r="F319" s="2"/>
      <c r="G319" s="5"/>
      <c r="H319" s="5"/>
      <c r="I319" s="8"/>
      <c r="J319" s="8" t="str">
        <f t="shared" si="4"/>
        <v/>
      </c>
      <c r="K319" s="5"/>
      <c r="L319" s="2"/>
      <c r="M319" s="2"/>
      <c r="N319" s="2"/>
    </row>
    <row r="320" spans="1:14">
      <c r="A320" s="12"/>
      <c r="B320" s="2"/>
      <c r="C320" s="2"/>
      <c r="D320" s="8"/>
      <c r="E320" s="2"/>
      <c r="F320" s="2"/>
      <c r="G320" s="5"/>
      <c r="H320" s="5"/>
      <c r="I320" s="8"/>
      <c r="J320" s="8" t="str">
        <f t="shared" si="4"/>
        <v/>
      </c>
      <c r="K320" s="5"/>
      <c r="L320" s="2"/>
      <c r="M320" s="2"/>
      <c r="N320" s="2"/>
    </row>
    <row r="321" spans="1:14">
      <c r="A321" s="12"/>
      <c r="B321" s="2"/>
      <c r="C321" s="2"/>
      <c r="D321" s="8"/>
      <c r="E321" s="2"/>
      <c r="F321" s="2"/>
      <c r="G321" s="5"/>
      <c r="H321" s="5"/>
      <c r="I321" s="8"/>
      <c r="J321" s="8" t="str">
        <f t="shared" si="4"/>
        <v/>
      </c>
      <c r="K321" s="5"/>
      <c r="L321" s="2"/>
      <c r="M321" s="2"/>
      <c r="N321" s="2"/>
    </row>
    <row r="322" spans="1:14">
      <c r="A322" s="12"/>
      <c r="B322" s="2"/>
      <c r="C322" s="2"/>
      <c r="D322" s="8"/>
      <c r="E322" s="2"/>
      <c r="F322" s="2"/>
      <c r="G322" s="5"/>
      <c r="H322" s="5"/>
      <c r="I322" s="8"/>
      <c r="J322" s="8" t="str">
        <f t="shared" si="4"/>
        <v/>
      </c>
      <c r="K322" s="5"/>
      <c r="L322" s="2"/>
      <c r="M322" s="2"/>
      <c r="N322" s="2"/>
    </row>
    <row r="323" spans="1:14">
      <c r="A323" s="12"/>
      <c r="B323" s="2"/>
      <c r="C323" s="2"/>
      <c r="D323" s="8"/>
      <c r="E323" s="2"/>
      <c r="F323" s="2"/>
      <c r="G323" s="5"/>
      <c r="H323" s="5"/>
      <c r="I323" s="8"/>
      <c r="J323" s="8" t="str">
        <f t="shared" si="4"/>
        <v/>
      </c>
      <c r="K323" s="5"/>
      <c r="L323" s="2"/>
      <c r="M323" s="2"/>
      <c r="N323" s="2"/>
    </row>
    <row r="324" spans="1:14">
      <c r="A324" s="12"/>
      <c r="B324" s="2"/>
      <c r="C324" s="2"/>
      <c r="D324" s="8"/>
      <c r="E324" s="2"/>
      <c r="F324" s="2"/>
      <c r="G324" s="5"/>
      <c r="H324" s="5"/>
      <c r="I324" s="8"/>
      <c r="J324" s="8" t="str">
        <f t="shared" ref="J324:J387" si="5">IF(D324="","",MAX(0,D324-I324))</f>
        <v/>
      </c>
      <c r="K324" s="5"/>
      <c r="L324" s="2"/>
      <c r="M324" s="2"/>
      <c r="N324" s="2"/>
    </row>
    <row r="325" spans="1:14">
      <c r="A325" s="12"/>
      <c r="B325" s="2"/>
      <c r="C325" s="2"/>
      <c r="D325" s="8"/>
      <c r="E325" s="2"/>
      <c r="F325" s="2"/>
      <c r="G325" s="5"/>
      <c r="H325" s="5"/>
      <c r="I325" s="8"/>
      <c r="J325" s="8" t="str">
        <f t="shared" si="5"/>
        <v/>
      </c>
      <c r="K325" s="5"/>
      <c r="L325" s="2"/>
      <c r="M325" s="2"/>
      <c r="N325" s="2"/>
    </row>
    <row r="326" spans="1:14">
      <c r="A326" s="12"/>
      <c r="B326" s="2"/>
      <c r="C326" s="2"/>
      <c r="D326" s="8"/>
      <c r="E326" s="2"/>
      <c r="F326" s="2"/>
      <c r="G326" s="5"/>
      <c r="H326" s="5"/>
      <c r="I326" s="8"/>
      <c r="J326" s="8" t="str">
        <f t="shared" si="5"/>
        <v/>
      </c>
      <c r="K326" s="5"/>
      <c r="L326" s="2"/>
      <c r="M326" s="2"/>
      <c r="N326" s="2"/>
    </row>
    <row r="327" spans="1:14">
      <c r="A327" s="12"/>
      <c r="B327" s="2"/>
      <c r="C327" s="2"/>
      <c r="D327" s="8"/>
      <c r="E327" s="2"/>
      <c r="F327" s="2"/>
      <c r="G327" s="5"/>
      <c r="H327" s="5"/>
      <c r="I327" s="8"/>
      <c r="J327" s="8" t="str">
        <f t="shared" si="5"/>
        <v/>
      </c>
      <c r="K327" s="5"/>
      <c r="L327" s="2"/>
      <c r="M327" s="2"/>
      <c r="N327" s="2"/>
    </row>
    <row r="328" spans="1:14">
      <c r="A328" s="12"/>
      <c r="B328" s="2"/>
      <c r="C328" s="2"/>
      <c r="D328" s="8"/>
      <c r="E328" s="2"/>
      <c r="F328" s="2"/>
      <c r="G328" s="5"/>
      <c r="H328" s="5"/>
      <c r="I328" s="8"/>
      <c r="J328" s="8" t="str">
        <f t="shared" si="5"/>
        <v/>
      </c>
      <c r="K328" s="5"/>
      <c r="L328" s="2"/>
      <c r="M328" s="2"/>
      <c r="N328" s="2"/>
    </row>
    <row r="329" spans="1:14">
      <c r="A329" s="12"/>
      <c r="B329" s="2"/>
      <c r="C329" s="2"/>
      <c r="D329" s="8"/>
      <c r="E329" s="2"/>
      <c r="F329" s="2"/>
      <c r="G329" s="5"/>
      <c r="H329" s="5"/>
      <c r="I329" s="8"/>
      <c r="J329" s="8" t="str">
        <f t="shared" si="5"/>
        <v/>
      </c>
      <c r="K329" s="5"/>
      <c r="L329" s="2"/>
      <c r="M329" s="2"/>
      <c r="N329" s="2"/>
    </row>
    <row r="330" spans="1:14">
      <c r="A330" s="12"/>
      <c r="B330" s="2"/>
      <c r="C330" s="2"/>
      <c r="D330" s="8"/>
      <c r="E330" s="2"/>
      <c r="F330" s="2"/>
      <c r="G330" s="5"/>
      <c r="H330" s="5"/>
      <c r="I330" s="8"/>
      <c r="J330" s="8" t="str">
        <f t="shared" si="5"/>
        <v/>
      </c>
      <c r="K330" s="5"/>
      <c r="L330" s="2"/>
      <c r="M330" s="2"/>
      <c r="N330" s="2"/>
    </row>
    <row r="331" spans="1:14">
      <c r="A331" s="12"/>
      <c r="B331" s="2"/>
      <c r="C331" s="2"/>
      <c r="D331" s="8"/>
      <c r="E331" s="2"/>
      <c r="F331" s="2"/>
      <c r="G331" s="5"/>
      <c r="H331" s="5"/>
      <c r="I331" s="8"/>
      <c r="J331" s="8" t="str">
        <f t="shared" si="5"/>
        <v/>
      </c>
      <c r="K331" s="5"/>
      <c r="L331" s="2"/>
      <c r="M331" s="2"/>
      <c r="N331" s="2"/>
    </row>
    <row r="332" spans="1:14">
      <c r="A332" s="12"/>
      <c r="B332" s="2"/>
      <c r="C332" s="2"/>
      <c r="D332" s="8"/>
      <c r="E332" s="2"/>
      <c r="F332" s="2"/>
      <c r="G332" s="5"/>
      <c r="H332" s="5"/>
      <c r="I332" s="8"/>
      <c r="J332" s="8" t="str">
        <f t="shared" si="5"/>
        <v/>
      </c>
      <c r="K332" s="5"/>
      <c r="L332" s="2"/>
      <c r="M332" s="2"/>
      <c r="N332" s="2"/>
    </row>
    <row r="333" spans="1:14">
      <c r="A333" s="12"/>
      <c r="B333" s="2"/>
      <c r="C333" s="2"/>
      <c r="D333" s="8"/>
      <c r="E333" s="2"/>
      <c r="F333" s="2"/>
      <c r="G333" s="5"/>
      <c r="H333" s="5"/>
      <c r="I333" s="8"/>
      <c r="J333" s="8" t="str">
        <f t="shared" si="5"/>
        <v/>
      </c>
      <c r="K333" s="5"/>
      <c r="L333" s="2"/>
      <c r="M333" s="2"/>
      <c r="N333" s="2"/>
    </row>
    <row r="334" spans="1:14">
      <c r="A334" s="12"/>
      <c r="B334" s="2"/>
      <c r="C334" s="2"/>
      <c r="D334" s="8"/>
      <c r="E334" s="2"/>
      <c r="F334" s="2"/>
      <c r="G334" s="5"/>
      <c r="H334" s="5"/>
      <c r="I334" s="8"/>
      <c r="J334" s="8" t="str">
        <f t="shared" si="5"/>
        <v/>
      </c>
      <c r="K334" s="5"/>
      <c r="L334" s="2"/>
      <c r="M334" s="2"/>
      <c r="N334" s="2"/>
    </row>
    <row r="335" spans="1:14">
      <c r="A335" s="12"/>
      <c r="B335" s="2"/>
      <c r="C335" s="2"/>
      <c r="D335" s="8"/>
      <c r="E335" s="2"/>
      <c r="F335" s="2"/>
      <c r="G335" s="5"/>
      <c r="H335" s="5"/>
      <c r="I335" s="8"/>
      <c r="J335" s="8" t="str">
        <f t="shared" si="5"/>
        <v/>
      </c>
      <c r="K335" s="5"/>
      <c r="L335" s="2"/>
      <c r="M335" s="2"/>
      <c r="N335" s="2"/>
    </row>
    <row r="336" spans="1:14">
      <c r="A336" s="12"/>
      <c r="B336" s="2"/>
      <c r="C336" s="2"/>
      <c r="D336" s="8"/>
      <c r="E336" s="2"/>
      <c r="F336" s="2"/>
      <c r="G336" s="5"/>
      <c r="H336" s="5"/>
      <c r="I336" s="8"/>
      <c r="J336" s="8" t="str">
        <f t="shared" si="5"/>
        <v/>
      </c>
      <c r="K336" s="5"/>
      <c r="L336" s="2"/>
      <c r="M336" s="2"/>
      <c r="N336" s="2"/>
    </row>
    <row r="337" spans="1:14">
      <c r="A337" s="12"/>
      <c r="B337" s="2"/>
      <c r="C337" s="2"/>
      <c r="D337" s="8"/>
      <c r="E337" s="2"/>
      <c r="F337" s="2"/>
      <c r="G337" s="5"/>
      <c r="H337" s="5"/>
      <c r="I337" s="8"/>
      <c r="J337" s="8" t="str">
        <f t="shared" si="5"/>
        <v/>
      </c>
      <c r="K337" s="5"/>
      <c r="L337" s="2"/>
      <c r="M337" s="2"/>
      <c r="N337" s="2"/>
    </row>
    <row r="338" spans="1:14">
      <c r="A338" s="12"/>
      <c r="B338" s="2"/>
      <c r="C338" s="2"/>
      <c r="D338" s="8"/>
      <c r="E338" s="2"/>
      <c r="F338" s="2"/>
      <c r="G338" s="5"/>
      <c r="H338" s="5"/>
      <c r="I338" s="8"/>
      <c r="J338" s="8" t="str">
        <f t="shared" si="5"/>
        <v/>
      </c>
      <c r="K338" s="5"/>
      <c r="L338" s="2"/>
      <c r="M338" s="2"/>
      <c r="N338" s="2"/>
    </row>
    <row r="339" spans="1:14">
      <c r="A339" s="12"/>
      <c r="B339" s="2"/>
      <c r="C339" s="2"/>
      <c r="D339" s="8"/>
      <c r="E339" s="2"/>
      <c r="F339" s="2"/>
      <c r="G339" s="5"/>
      <c r="H339" s="5"/>
      <c r="I339" s="8"/>
      <c r="J339" s="8" t="str">
        <f t="shared" si="5"/>
        <v/>
      </c>
      <c r="K339" s="5"/>
      <c r="L339" s="2"/>
      <c r="M339" s="2"/>
      <c r="N339" s="2"/>
    </row>
    <row r="340" spans="1:14">
      <c r="A340" s="12"/>
      <c r="B340" s="2"/>
      <c r="C340" s="2"/>
      <c r="D340" s="8"/>
      <c r="E340" s="2"/>
      <c r="F340" s="2"/>
      <c r="G340" s="5"/>
      <c r="H340" s="5"/>
      <c r="I340" s="8"/>
      <c r="J340" s="8" t="str">
        <f t="shared" si="5"/>
        <v/>
      </c>
      <c r="K340" s="5"/>
      <c r="L340" s="2"/>
      <c r="M340" s="2"/>
      <c r="N340" s="2"/>
    </row>
    <row r="341" spans="1:14">
      <c r="A341" s="12"/>
      <c r="B341" s="2"/>
      <c r="C341" s="2"/>
      <c r="D341" s="8"/>
      <c r="E341" s="2"/>
      <c r="F341" s="2"/>
      <c r="G341" s="5"/>
      <c r="H341" s="5"/>
      <c r="I341" s="8"/>
      <c r="J341" s="8" t="str">
        <f t="shared" si="5"/>
        <v/>
      </c>
      <c r="K341" s="5"/>
      <c r="L341" s="2"/>
      <c r="M341" s="2"/>
      <c r="N341" s="2"/>
    </row>
    <row r="342" spans="1:14">
      <c r="A342" s="12"/>
      <c r="B342" s="2"/>
      <c r="C342" s="2"/>
      <c r="D342" s="8"/>
      <c r="E342" s="2"/>
      <c r="F342" s="2"/>
      <c r="G342" s="5"/>
      <c r="H342" s="5"/>
      <c r="I342" s="8"/>
      <c r="J342" s="8" t="str">
        <f t="shared" si="5"/>
        <v/>
      </c>
      <c r="K342" s="5"/>
      <c r="L342" s="2"/>
      <c r="M342" s="2"/>
      <c r="N342" s="2"/>
    </row>
    <row r="343" spans="1:14">
      <c r="A343" s="12"/>
      <c r="B343" s="2"/>
      <c r="C343" s="2"/>
      <c r="D343" s="8"/>
      <c r="E343" s="2"/>
      <c r="F343" s="2"/>
      <c r="G343" s="5"/>
      <c r="H343" s="5"/>
      <c r="I343" s="8"/>
      <c r="J343" s="8" t="str">
        <f t="shared" si="5"/>
        <v/>
      </c>
      <c r="K343" s="5"/>
      <c r="L343" s="2"/>
      <c r="M343" s="2"/>
      <c r="N343" s="2"/>
    </row>
    <row r="344" spans="1:14">
      <c r="A344" s="12"/>
      <c r="B344" s="2"/>
      <c r="C344" s="2"/>
      <c r="D344" s="8"/>
      <c r="E344" s="2"/>
      <c r="F344" s="2"/>
      <c r="G344" s="5"/>
      <c r="H344" s="5"/>
      <c r="I344" s="8"/>
      <c r="J344" s="8" t="str">
        <f t="shared" si="5"/>
        <v/>
      </c>
      <c r="K344" s="5"/>
      <c r="L344" s="2"/>
      <c r="M344" s="2"/>
      <c r="N344" s="2"/>
    </row>
    <row r="345" spans="1:14">
      <c r="A345" s="12"/>
      <c r="B345" s="2"/>
      <c r="C345" s="2"/>
      <c r="D345" s="8"/>
      <c r="E345" s="2"/>
      <c r="F345" s="2"/>
      <c r="G345" s="5"/>
      <c r="H345" s="5"/>
      <c r="I345" s="8"/>
      <c r="J345" s="8" t="str">
        <f t="shared" si="5"/>
        <v/>
      </c>
      <c r="K345" s="5"/>
      <c r="L345" s="2"/>
      <c r="M345" s="2"/>
      <c r="N345" s="2"/>
    </row>
    <row r="346" spans="1:14">
      <c r="A346" s="12"/>
      <c r="B346" s="2"/>
      <c r="C346" s="2"/>
      <c r="D346" s="8"/>
      <c r="E346" s="2"/>
      <c r="F346" s="2"/>
      <c r="G346" s="5"/>
      <c r="H346" s="5"/>
      <c r="I346" s="8"/>
      <c r="J346" s="8" t="str">
        <f t="shared" si="5"/>
        <v/>
      </c>
      <c r="K346" s="5"/>
      <c r="L346" s="2"/>
      <c r="M346" s="2"/>
      <c r="N346" s="2"/>
    </row>
    <row r="347" spans="1:14">
      <c r="A347" s="12"/>
      <c r="B347" s="2"/>
      <c r="C347" s="2"/>
      <c r="D347" s="8"/>
      <c r="E347" s="2"/>
      <c r="F347" s="2"/>
      <c r="G347" s="5"/>
      <c r="H347" s="5"/>
      <c r="I347" s="8"/>
      <c r="J347" s="8" t="str">
        <f t="shared" si="5"/>
        <v/>
      </c>
      <c r="K347" s="5"/>
      <c r="L347" s="2"/>
      <c r="M347" s="2"/>
      <c r="N347" s="2"/>
    </row>
    <row r="348" spans="1:14">
      <c r="A348" s="12"/>
      <c r="B348" s="2"/>
      <c r="C348" s="2"/>
      <c r="D348" s="8"/>
      <c r="E348" s="2"/>
      <c r="F348" s="2"/>
      <c r="G348" s="5"/>
      <c r="H348" s="5"/>
      <c r="I348" s="8"/>
      <c r="J348" s="8" t="str">
        <f t="shared" si="5"/>
        <v/>
      </c>
      <c r="K348" s="5"/>
      <c r="L348" s="2"/>
      <c r="M348" s="2"/>
      <c r="N348" s="2"/>
    </row>
    <row r="349" spans="1:14">
      <c r="A349" s="12"/>
      <c r="B349" s="2"/>
      <c r="C349" s="2"/>
      <c r="D349" s="8"/>
      <c r="E349" s="2"/>
      <c r="F349" s="2"/>
      <c r="G349" s="5"/>
      <c r="H349" s="5"/>
      <c r="I349" s="8"/>
      <c r="J349" s="8" t="str">
        <f t="shared" si="5"/>
        <v/>
      </c>
      <c r="K349" s="5"/>
      <c r="L349" s="2"/>
      <c r="M349" s="2"/>
      <c r="N349" s="2"/>
    </row>
    <row r="350" spans="1:14">
      <c r="A350" s="12"/>
      <c r="B350" s="2"/>
      <c r="C350" s="2"/>
      <c r="D350" s="8"/>
      <c r="E350" s="2"/>
      <c r="F350" s="2"/>
      <c r="G350" s="5"/>
      <c r="H350" s="5"/>
      <c r="I350" s="8"/>
      <c r="J350" s="8" t="str">
        <f t="shared" si="5"/>
        <v/>
      </c>
      <c r="K350" s="5"/>
      <c r="L350" s="2"/>
      <c r="M350" s="2"/>
      <c r="N350" s="2"/>
    </row>
    <row r="351" spans="1:14">
      <c r="A351" s="12"/>
      <c r="B351" s="2"/>
      <c r="C351" s="2"/>
      <c r="D351" s="8"/>
      <c r="E351" s="2"/>
      <c r="F351" s="2"/>
      <c r="G351" s="5"/>
      <c r="H351" s="5"/>
      <c r="I351" s="8"/>
      <c r="J351" s="8" t="str">
        <f t="shared" si="5"/>
        <v/>
      </c>
      <c r="K351" s="5"/>
      <c r="L351" s="2"/>
      <c r="M351" s="2"/>
      <c r="N351" s="2"/>
    </row>
    <row r="352" spans="1:14">
      <c r="A352" s="12"/>
      <c r="B352" s="2"/>
      <c r="C352" s="2"/>
      <c r="D352" s="8"/>
      <c r="E352" s="2"/>
      <c r="F352" s="2"/>
      <c r="G352" s="5"/>
      <c r="H352" s="5"/>
      <c r="I352" s="8"/>
      <c r="J352" s="8" t="str">
        <f t="shared" si="5"/>
        <v/>
      </c>
      <c r="K352" s="5"/>
      <c r="L352" s="2"/>
      <c r="M352" s="2"/>
      <c r="N352" s="2"/>
    </row>
    <row r="353" spans="1:14">
      <c r="A353" s="12"/>
      <c r="B353" s="2"/>
      <c r="C353" s="2"/>
      <c r="D353" s="8"/>
      <c r="E353" s="2"/>
      <c r="F353" s="2"/>
      <c r="G353" s="5"/>
      <c r="H353" s="5"/>
      <c r="I353" s="8"/>
      <c r="J353" s="8" t="str">
        <f t="shared" si="5"/>
        <v/>
      </c>
      <c r="K353" s="5"/>
      <c r="L353" s="2"/>
      <c r="M353" s="2"/>
      <c r="N353" s="2"/>
    </row>
    <row r="354" spans="1:14">
      <c r="A354" s="12"/>
      <c r="B354" s="2"/>
      <c r="C354" s="2"/>
      <c r="D354" s="8"/>
      <c r="E354" s="2"/>
      <c r="F354" s="2"/>
      <c r="G354" s="5"/>
      <c r="H354" s="5"/>
      <c r="I354" s="8"/>
      <c r="J354" s="8" t="str">
        <f t="shared" si="5"/>
        <v/>
      </c>
      <c r="K354" s="5"/>
      <c r="L354" s="2"/>
      <c r="M354" s="2"/>
      <c r="N354" s="2"/>
    </row>
    <row r="355" spans="1:14">
      <c r="A355" s="12"/>
      <c r="B355" s="2"/>
      <c r="C355" s="2"/>
      <c r="D355" s="8"/>
      <c r="E355" s="2"/>
      <c r="F355" s="2"/>
      <c r="G355" s="5"/>
      <c r="H355" s="5"/>
      <c r="I355" s="8"/>
      <c r="J355" s="8" t="str">
        <f t="shared" si="5"/>
        <v/>
      </c>
      <c r="K355" s="5"/>
      <c r="L355" s="2"/>
      <c r="M355" s="2"/>
      <c r="N355" s="2"/>
    </row>
    <row r="356" spans="1:14">
      <c r="A356" s="12"/>
      <c r="B356" s="2"/>
      <c r="C356" s="2"/>
      <c r="D356" s="8"/>
      <c r="E356" s="2"/>
      <c r="F356" s="2"/>
      <c r="G356" s="5"/>
      <c r="H356" s="5"/>
      <c r="I356" s="8"/>
      <c r="J356" s="8" t="str">
        <f t="shared" si="5"/>
        <v/>
      </c>
      <c r="K356" s="5"/>
      <c r="L356" s="2"/>
      <c r="M356" s="2"/>
      <c r="N356" s="2"/>
    </row>
    <row r="357" spans="1:14">
      <c r="A357" s="12"/>
      <c r="B357" s="2"/>
      <c r="C357" s="2"/>
      <c r="D357" s="8"/>
      <c r="E357" s="2"/>
      <c r="F357" s="2"/>
      <c r="G357" s="5"/>
      <c r="H357" s="5"/>
      <c r="I357" s="8"/>
      <c r="J357" s="8" t="str">
        <f t="shared" si="5"/>
        <v/>
      </c>
      <c r="K357" s="5"/>
      <c r="L357" s="2"/>
      <c r="M357" s="2"/>
      <c r="N357" s="2"/>
    </row>
    <row r="358" spans="1:14">
      <c r="A358" s="12"/>
      <c r="B358" s="2"/>
      <c r="C358" s="2"/>
      <c r="D358" s="8"/>
      <c r="E358" s="2"/>
      <c r="F358" s="2"/>
      <c r="G358" s="5"/>
      <c r="H358" s="5"/>
      <c r="I358" s="8"/>
      <c r="J358" s="8" t="str">
        <f t="shared" si="5"/>
        <v/>
      </c>
      <c r="K358" s="5"/>
      <c r="L358" s="2"/>
      <c r="M358" s="2"/>
      <c r="N358" s="2"/>
    </row>
    <row r="359" spans="1:14">
      <c r="A359" s="12"/>
      <c r="B359" s="2"/>
      <c r="C359" s="2"/>
      <c r="D359" s="8"/>
      <c r="E359" s="2"/>
      <c r="F359" s="2"/>
      <c r="G359" s="5"/>
      <c r="H359" s="5"/>
      <c r="I359" s="8"/>
      <c r="J359" s="8" t="str">
        <f t="shared" si="5"/>
        <v/>
      </c>
      <c r="K359" s="5"/>
      <c r="L359" s="2"/>
      <c r="M359" s="2"/>
      <c r="N359" s="2"/>
    </row>
    <row r="360" spans="1:14">
      <c r="A360" s="12"/>
      <c r="B360" s="2"/>
      <c r="C360" s="2"/>
      <c r="D360" s="8"/>
      <c r="E360" s="2"/>
      <c r="F360" s="2"/>
      <c r="G360" s="5"/>
      <c r="H360" s="5"/>
      <c r="I360" s="8"/>
      <c r="J360" s="8" t="str">
        <f t="shared" si="5"/>
        <v/>
      </c>
      <c r="K360" s="5"/>
      <c r="L360" s="2"/>
      <c r="M360" s="2"/>
      <c r="N360" s="2"/>
    </row>
    <row r="361" spans="1:14">
      <c r="A361" s="12"/>
      <c r="B361" s="2"/>
      <c r="C361" s="2"/>
      <c r="D361" s="8"/>
      <c r="E361" s="2"/>
      <c r="F361" s="2"/>
      <c r="G361" s="5"/>
      <c r="H361" s="5"/>
      <c r="I361" s="8"/>
      <c r="J361" s="8" t="str">
        <f t="shared" si="5"/>
        <v/>
      </c>
      <c r="K361" s="5"/>
      <c r="L361" s="2"/>
      <c r="M361" s="2"/>
      <c r="N361" s="2"/>
    </row>
    <row r="362" spans="1:14">
      <c r="A362" s="12"/>
      <c r="B362" s="2"/>
      <c r="C362" s="2"/>
      <c r="D362" s="8"/>
      <c r="E362" s="2"/>
      <c r="F362" s="2"/>
      <c r="G362" s="5"/>
      <c r="H362" s="5"/>
      <c r="I362" s="8"/>
      <c r="J362" s="8" t="str">
        <f t="shared" si="5"/>
        <v/>
      </c>
      <c r="K362" s="5"/>
      <c r="L362" s="2"/>
      <c r="M362" s="2"/>
      <c r="N362" s="2"/>
    </row>
    <row r="363" spans="1:14">
      <c r="A363" s="12"/>
      <c r="B363" s="2"/>
      <c r="C363" s="2"/>
      <c r="D363" s="8"/>
      <c r="E363" s="2"/>
      <c r="F363" s="2"/>
      <c r="G363" s="5"/>
      <c r="H363" s="5"/>
      <c r="I363" s="8"/>
      <c r="J363" s="8" t="str">
        <f t="shared" si="5"/>
        <v/>
      </c>
      <c r="K363" s="5"/>
      <c r="L363" s="2"/>
      <c r="M363" s="2"/>
      <c r="N363" s="2"/>
    </row>
    <row r="364" spans="1:14">
      <c r="A364" s="12"/>
      <c r="B364" s="2"/>
      <c r="C364" s="2"/>
      <c r="D364" s="8"/>
      <c r="E364" s="2"/>
      <c r="F364" s="2"/>
      <c r="G364" s="5"/>
      <c r="H364" s="5"/>
      <c r="I364" s="8"/>
      <c r="J364" s="8" t="str">
        <f t="shared" si="5"/>
        <v/>
      </c>
      <c r="K364" s="5"/>
      <c r="L364" s="2"/>
      <c r="M364" s="2"/>
      <c r="N364" s="2"/>
    </row>
    <row r="365" spans="1:14">
      <c r="A365" s="12"/>
      <c r="B365" s="2"/>
      <c r="C365" s="2"/>
      <c r="D365" s="8"/>
      <c r="E365" s="2"/>
      <c r="F365" s="2"/>
      <c r="G365" s="5"/>
      <c r="H365" s="5"/>
      <c r="I365" s="8"/>
      <c r="J365" s="8" t="str">
        <f t="shared" si="5"/>
        <v/>
      </c>
      <c r="K365" s="5"/>
      <c r="L365" s="2"/>
      <c r="M365" s="2"/>
      <c r="N365" s="2"/>
    </row>
    <row r="366" spans="1:14">
      <c r="A366" s="12"/>
      <c r="B366" s="2"/>
      <c r="C366" s="2"/>
      <c r="D366" s="8"/>
      <c r="E366" s="2"/>
      <c r="F366" s="2"/>
      <c r="G366" s="5"/>
      <c r="H366" s="5"/>
      <c r="I366" s="8"/>
      <c r="J366" s="8" t="str">
        <f t="shared" si="5"/>
        <v/>
      </c>
      <c r="K366" s="5"/>
      <c r="L366" s="2"/>
      <c r="M366" s="2"/>
      <c r="N366" s="2"/>
    </row>
    <row r="367" spans="1:14">
      <c r="A367" s="12"/>
      <c r="B367" s="2"/>
      <c r="C367" s="2"/>
      <c r="D367" s="8"/>
      <c r="E367" s="2"/>
      <c r="F367" s="2"/>
      <c r="G367" s="5"/>
      <c r="H367" s="5"/>
      <c r="I367" s="8"/>
      <c r="J367" s="8" t="str">
        <f t="shared" si="5"/>
        <v/>
      </c>
      <c r="K367" s="5"/>
      <c r="L367" s="2"/>
      <c r="M367" s="2"/>
      <c r="N367" s="2"/>
    </row>
    <row r="368" spans="1:14">
      <c r="A368" s="12"/>
      <c r="B368" s="2"/>
      <c r="C368" s="2"/>
      <c r="D368" s="8"/>
      <c r="E368" s="2"/>
      <c r="F368" s="2"/>
      <c r="G368" s="5"/>
      <c r="H368" s="5"/>
      <c r="I368" s="8"/>
      <c r="J368" s="8" t="str">
        <f t="shared" si="5"/>
        <v/>
      </c>
      <c r="K368" s="5"/>
      <c r="L368" s="2"/>
      <c r="M368" s="2"/>
      <c r="N368" s="2"/>
    </row>
    <row r="369" spans="1:14">
      <c r="A369" s="12"/>
      <c r="B369" s="2"/>
      <c r="C369" s="2"/>
      <c r="D369" s="8"/>
      <c r="E369" s="2"/>
      <c r="F369" s="2"/>
      <c r="G369" s="5"/>
      <c r="H369" s="5"/>
      <c r="I369" s="8"/>
      <c r="J369" s="8" t="str">
        <f t="shared" si="5"/>
        <v/>
      </c>
      <c r="K369" s="5"/>
      <c r="L369" s="2"/>
      <c r="M369" s="2"/>
      <c r="N369" s="2"/>
    </row>
    <row r="370" spans="1:14">
      <c r="A370" s="12"/>
      <c r="B370" s="2"/>
      <c r="C370" s="2"/>
      <c r="D370" s="8"/>
      <c r="E370" s="2"/>
      <c r="F370" s="2"/>
      <c r="G370" s="5"/>
      <c r="H370" s="5"/>
      <c r="I370" s="8"/>
      <c r="J370" s="8" t="str">
        <f t="shared" si="5"/>
        <v/>
      </c>
      <c r="K370" s="5"/>
      <c r="L370" s="2"/>
      <c r="M370" s="2"/>
      <c r="N370" s="2"/>
    </row>
    <row r="371" spans="1:14">
      <c r="A371" s="12"/>
      <c r="B371" s="2"/>
      <c r="C371" s="2"/>
      <c r="D371" s="8"/>
      <c r="E371" s="2"/>
      <c r="F371" s="2"/>
      <c r="G371" s="5"/>
      <c r="H371" s="5"/>
      <c r="I371" s="8"/>
      <c r="J371" s="8" t="str">
        <f t="shared" si="5"/>
        <v/>
      </c>
      <c r="K371" s="5"/>
      <c r="L371" s="2"/>
      <c r="M371" s="2"/>
      <c r="N371" s="2"/>
    </row>
    <row r="372" spans="1:14">
      <c r="A372" s="12"/>
      <c r="B372" s="2"/>
      <c r="C372" s="2"/>
      <c r="D372" s="8"/>
      <c r="E372" s="2"/>
      <c r="F372" s="2"/>
      <c r="G372" s="5"/>
      <c r="H372" s="5"/>
      <c r="I372" s="8"/>
      <c r="J372" s="8" t="str">
        <f t="shared" si="5"/>
        <v/>
      </c>
      <c r="K372" s="5"/>
      <c r="L372" s="2"/>
      <c r="M372" s="2"/>
      <c r="N372" s="2"/>
    </row>
    <row r="373" spans="1:14">
      <c r="A373" s="12"/>
      <c r="B373" s="2"/>
      <c r="C373" s="2"/>
      <c r="D373" s="8"/>
      <c r="E373" s="2"/>
      <c r="F373" s="2"/>
      <c r="G373" s="5"/>
      <c r="H373" s="5"/>
      <c r="I373" s="8"/>
      <c r="J373" s="8" t="str">
        <f t="shared" si="5"/>
        <v/>
      </c>
      <c r="K373" s="5"/>
      <c r="L373" s="2"/>
      <c r="M373" s="2"/>
      <c r="N373" s="2"/>
    </row>
    <row r="374" spans="1:14">
      <c r="A374" s="12"/>
      <c r="B374" s="2"/>
      <c r="C374" s="2"/>
      <c r="D374" s="8"/>
      <c r="E374" s="2"/>
      <c r="F374" s="2"/>
      <c r="G374" s="5"/>
      <c r="H374" s="5"/>
      <c r="I374" s="8"/>
      <c r="J374" s="8" t="str">
        <f t="shared" si="5"/>
        <v/>
      </c>
      <c r="K374" s="5"/>
      <c r="L374" s="2"/>
      <c r="M374" s="2"/>
      <c r="N374" s="2"/>
    </row>
    <row r="375" spans="1:14">
      <c r="A375" s="12"/>
      <c r="B375" s="2"/>
      <c r="C375" s="2"/>
      <c r="D375" s="8"/>
      <c r="E375" s="2"/>
      <c r="F375" s="2"/>
      <c r="G375" s="5"/>
      <c r="H375" s="5"/>
      <c r="I375" s="8"/>
      <c r="J375" s="8" t="str">
        <f t="shared" si="5"/>
        <v/>
      </c>
      <c r="K375" s="5"/>
      <c r="L375" s="2"/>
      <c r="M375" s="2"/>
      <c r="N375" s="2"/>
    </row>
    <row r="376" spans="1:14">
      <c r="A376" s="12"/>
      <c r="B376" s="2"/>
      <c r="C376" s="2"/>
      <c r="D376" s="8"/>
      <c r="E376" s="2"/>
      <c r="F376" s="2"/>
      <c r="G376" s="5"/>
      <c r="H376" s="5"/>
      <c r="I376" s="8"/>
      <c r="J376" s="8" t="str">
        <f t="shared" si="5"/>
        <v/>
      </c>
      <c r="K376" s="5"/>
      <c r="L376" s="2"/>
      <c r="M376" s="2"/>
      <c r="N376" s="2"/>
    </row>
    <row r="377" spans="1:14">
      <c r="A377" s="12"/>
      <c r="B377" s="2"/>
      <c r="C377" s="2"/>
      <c r="D377" s="8"/>
      <c r="E377" s="2"/>
      <c r="F377" s="2"/>
      <c r="G377" s="5"/>
      <c r="H377" s="5"/>
      <c r="I377" s="8"/>
      <c r="J377" s="8" t="str">
        <f t="shared" si="5"/>
        <v/>
      </c>
      <c r="K377" s="5"/>
      <c r="L377" s="2"/>
      <c r="M377" s="2"/>
      <c r="N377" s="2"/>
    </row>
    <row r="378" spans="1:14">
      <c r="A378" s="12"/>
      <c r="B378" s="2"/>
      <c r="C378" s="2"/>
      <c r="D378" s="8"/>
      <c r="E378" s="2"/>
      <c r="F378" s="2"/>
      <c r="G378" s="5"/>
      <c r="H378" s="5"/>
      <c r="I378" s="8"/>
      <c r="J378" s="8" t="str">
        <f t="shared" si="5"/>
        <v/>
      </c>
      <c r="K378" s="5"/>
      <c r="L378" s="2"/>
      <c r="M378" s="2"/>
      <c r="N378" s="2"/>
    </row>
    <row r="379" spans="1:14">
      <c r="A379" s="12"/>
      <c r="B379" s="2"/>
      <c r="C379" s="2"/>
      <c r="D379" s="8"/>
      <c r="E379" s="2"/>
      <c r="F379" s="2"/>
      <c r="G379" s="5"/>
      <c r="H379" s="5"/>
      <c r="I379" s="8"/>
      <c r="J379" s="8" t="str">
        <f t="shared" si="5"/>
        <v/>
      </c>
      <c r="K379" s="5"/>
      <c r="L379" s="2"/>
      <c r="M379" s="2"/>
      <c r="N379" s="2"/>
    </row>
    <row r="380" spans="1:14">
      <c r="A380" s="12"/>
      <c r="B380" s="2"/>
      <c r="C380" s="2"/>
      <c r="D380" s="8"/>
      <c r="E380" s="2"/>
      <c r="F380" s="2"/>
      <c r="G380" s="5"/>
      <c r="H380" s="5"/>
      <c r="I380" s="8"/>
      <c r="J380" s="8" t="str">
        <f t="shared" si="5"/>
        <v/>
      </c>
      <c r="K380" s="5"/>
      <c r="L380" s="2"/>
      <c r="M380" s="2"/>
      <c r="N380" s="2"/>
    </row>
    <row r="381" spans="1:14">
      <c r="A381" s="12"/>
      <c r="B381" s="2"/>
      <c r="C381" s="2"/>
      <c r="D381" s="8"/>
      <c r="E381" s="2"/>
      <c r="F381" s="2"/>
      <c r="G381" s="5"/>
      <c r="H381" s="5"/>
      <c r="I381" s="8"/>
      <c r="J381" s="8" t="str">
        <f t="shared" si="5"/>
        <v/>
      </c>
      <c r="K381" s="5"/>
      <c r="L381" s="2"/>
      <c r="M381" s="2"/>
      <c r="N381" s="2"/>
    </row>
    <row r="382" spans="1:14">
      <c r="A382" s="12"/>
      <c r="B382" s="2"/>
      <c r="C382" s="2"/>
      <c r="D382" s="8"/>
      <c r="E382" s="2"/>
      <c r="F382" s="2"/>
      <c r="G382" s="5"/>
      <c r="H382" s="5"/>
      <c r="I382" s="8"/>
      <c r="J382" s="8" t="str">
        <f t="shared" si="5"/>
        <v/>
      </c>
      <c r="K382" s="5"/>
      <c r="L382" s="2"/>
      <c r="M382" s="2"/>
      <c r="N382" s="2"/>
    </row>
    <row r="383" spans="1:14">
      <c r="A383" s="12"/>
      <c r="B383" s="2"/>
      <c r="C383" s="2"/>
      <c r="D383" s="8"/>
      <c r="E383" s="2"/>
      <c r="F383" s="2"/>
      <c r="G383" s="5"/>
      <c r="H383" s="5"/>
      <c r="I383" s="8"/>
      <c r="J383" s="8" t="str">
        <f t="shared" si="5"/>
        <v/>
      </c>
      <c r="K383" s="5"/>
      <c r="L383" s="2"/>
      <c r="M383" s="2"/>
      <c r="N383" s="2"/>
    </row>
    <row r="384" spans="1:14">
      <c r="A384" s="12"/>
      <c r="B384" s="2"/>
      <c r="C384" s="2"/>
      <c r="D384" s="8"/>
      <c r="E384" s="2"/>
      <c r="F384" s="2"/>
      <c r="G384" s="5"/>
      <c r="H384" s="5"/>
      <c r="I384" s="8"/>
      <c r="J384" s="8" t="str">
        <f t="shared" si="5"/>
        <v/>
      </c>
      <c r="K384" s="5"/>
      <c r="L384" s="2"/>
      <c r="M384" s="2"/>
      <c r="N384" s="2"/>
    </row>
    <row r="385" spans="1:14">
      <c r="A385" s="12"/>
      <c r="B385" s="2"/>
      <c r="C385" s="2"/>
      <c r="D385" s="8"/>
      <c r="E385" s="2"/>
      <c r="F385" s="2"/>
      <c r="G385" s="5"/>
      <c r="H385" s="5"/>
      <c r="I385" s="8"/>
      <c r="J385" s="8" t="str">
        <f t="shared" si="5"/>
        <v/>
      </c>
      <c r="K385" s="5"/>
      <c r="L385" s="2"/>
      <c r="M385" s="2"/>
      <c r="N385" s="2"/>
    </row>
    <row r="386" spans="1:14">
      <c r="A386" s="12"/>
      <c r="B386" s="2"/>
      <c r="C386" s="2"/>
      <c r="D386" s="8"/>
      <c r="E386" s="2"/>
      <c r="F386" s="2"/>
      <c r="G386" s="5"/>
      <c r="H386" s="5"/>
      <c r="I386" s="8"/>
      <c r="J386" s="8" t="str">
        <f t="shared" si="5"/>
        <v/>
      </c>
      <c r="K386" s="5"/>
      <c r="L386" s="2"/>
      <c r="M386" s="2"/>
      <c r="N386" s="2"/>
    </row>
    <row r="387" spans="1:14">
      <c r="A387" s="12"/>
      <c r="B387" s="2"/>
      <c r="C387" s="2"/>
      <c r="D387" s="8"/>
      <c r="E387" s="2"/>
      <c r="F387" s="2"/>
      <c r="G387" s="5"/>
      <c r="H387" s="5"/>
      <c r="I387" s="8"/>
      <c r="J387" s="8" t="str">
        <f t="shared" si="5"/>
        <v/>
      </c>
      <c r="K387" s="5"/>
      <c r="L387" s="2"/>
      <c r="M387" s="2"/>
      <c r="N387" s="2"/>
    </row>
    <row r="388" spans="1:14">
      <c r="A388" s="12"/>
      <c r="B388" s="2"/>
      <c r="C388" s="2"/>
      <c r="D388" s="8"/>
      <c r="E388" s="2"/>
      <c r="F388" s="2"/>
      <c r="G388" s="5"/>
      <c r="H388" s="5"/>
      <c r="I388" s="8"/>
      <c r="J388" s="8" t="str">
        <f t="shared" ref="J388:J451" si="6">IF(D388="","",MAX(0,D388-I388))</f>
        <v/>
      </c>
      <c r="K388" s="5"/>
      <c r="L388" s="2"/>
      <c r="M388" s="2"/>
      <c r="N388" s="2"/>
    </row>
    <row r="389" spans="1:14">
      <c r="A389" s="12"/>
      <c r="B389" s="2"/>
      <c r="C389" s="2"/>
      <c r="D389" s="8"/>
      <c r="E389" s="2"/>
      <c r="F389" s="2"/>
      <c r="G389" s="5"/>
      <c r="H389" s="5"/>
      <c r="I389" s="8"/>
      <c r="J389" s="8" t="str">
        <f t="shared" si="6"/>
        <v/>
      </c>
      <c r="K389" s="5"/>
      <c r="L389" s="2"/>
      <c r="M389" s="2"/>
      <c r="N389" s="2"/>
    </row>
    <row r="390" spans="1:14">
      <c r="A390" s="12"/>
      <c r="B390" s="2"/>
      <c r="C390" s="2"/>
      <c r="D390" s="8"/>
      <c r="E390" s="2"/>
      <c r="F390" s="2"/>
      <c r="G390" s="5"/>
      <c r="H390" s="5"/>
      <c r="I390" s="8"/>
      <c r="J390" s="8" t="str">
        <f t="shared" si="6"/>
        <v/>
      </c>
      <c r="K390" s="5"/>
      <c r="L390" s="2"/>
      <c r="M390" s="2"/>
      <c r="N390" s="2"/>
    </row>
    <row r="391" spans="1:14">
      <c r="A391" s="12"/>
      <c r="B391" s="2"/>
      <c r="C391" s="2"/>
      <c r="D391" s="8"/>
      <c r="E391" s="2"/>
      <c r="F391" s="2"/>
      <c r="G391" s="5"/>
      <c r="H391" s="5"/>
      <c r="I391" s="8"/>
      <c r="J391" s="8" t="str">
        <f t="shared" si="6"/>
        <v/>
      </c>
      <c r="K391" s="5"/>
      <c r="L391" s="2"/>
      <c r="M391" s="2"/>
      <c r="N391" s="2"/>
    </row>
    <row r="392" spans="1:14">
      <c r="A392" s="12"/>
      <c r="B392" s="2"/>
      <c r="C392" s="2"/>
      <c r="D392" s="8"/>
      <c r="E392" s="2"/>
      <c r="F392" s="2"/>
      <c r="G392" s="5"/>
      <c r="H392" s="5"/>
      <c r="I392" s="8"/>
      <c r="J392" s="8" t="str">
        <f t="shared" si="6"/>
        <v/>
      </c>
      <c r="K392" s="5"/>
      <c r="L392" s="2"/>
      <c r="M392" s="2"/>
      <c r="N392" s="2"/>
    </row>
    <row r="393" spans="1:14">
      <c r="A393" s="12"/>
      <c r="B393" s="2"/>
      <c r="C393" s="2"/>
      <c r="D393" s="8"/>
      <c r="E393" s="2"/>
      <c r="F393" s="2"/>
      <c r="G393" s="5"/>
      <c r="H393" s="5"/>
      <c r="I393" s="8"/>
      <c r="J393" s="8" t="str">
        <f t="shared" si="6"/>
        <v/>
      </c>
      <c r="K393" s="5"/>
      <c r="L393" s="2"/>
      <c r="M393" s="2"/>
      <c r="N393" s="2"/>
    </row>
    <row r="394" spans="1:14">
      <c r="A394" s="12"/>
      <c r="B394" s="2"/>
      <c r="C394" s="2"/>
      <c r="D394" s="8"/>
      <c r="E394" s="2"/>
      <c r="F394" s="2"/>
      <c r="G394" s="5"/>
      <c r="H394" s="5"/>
      <c r="I394" s="8"/>
      <c r="J394" s="8" t="str">
        <f t="shared" si="6"/>
        <v/>
      </c>
      <c r="K394" s="5"/>
      <c r="L394" s="2"/>
      <c r="M394" s="2"/>
      <c r="N394" s="2"/>
    </row>
    <row r="395" spans="1:14">
      <c r="A395" s="12"/>
      <c r="B395" s="2"/>
      <c r="C395" s="2"/>
      <c r="D395" s="8"/>
      <c r="E395" s="2"/>
      <c r="F395" s="2"/>
      <c r="G395" s="5"/>
      <c r="H395" s="5"/>
      <c r="I395" s="8"/>
      <c r="J395" s="8" t="str">
        <f t="shared" si="6"/>
        <v/>
      </c>
      <c r="K395" s="5"/>
      <c r="L395" s="2"/>
      <c r="M395" s="2"/>
      <c r="N395" s="2"/>
    </row>
    <row r="396" spans="1:14">
      <c r="A396" s="12"/>
      <c r="B396" s="2"/>
      <c r="C396" s="2"/>
      <c r="D396" s="8"/>
      <c r="E396" s="2"/>
      <c r="F396" s="2"/>
      <c r="G396" s="5"/>
      <c r="H396" s="5"/>
      <c r="I396" s="8"/>
      <c r="J396" s="8" t="str">
        <f t="shared" si="6"/>
        <v/>
      </c>
      <c r="K396" s="5"/>
      <c r="L396" s="2"/>
      <c r="M396" s="2"/>
      <c r="N396" s="2"/>
    </row>
    <row r="397" spans="1:14">
      <c r="A397" s="12"/>
      <c r="B397" s="2"/>
      <c r="C397" s="2"/>
      <c r="D397" s="8"/>
      <c r="E397" s="2"/>
      <c r="F397" s="2"/>
      <c r="G397" s="5"/>
      <c r="H397" s="5"/>
      <c r="I397" s="8"/>
      <c r="J397" s="8" t="str">
        <f t="shared" si="6"/>
        <v/>
      </c>
      <c r="K397" s="5"/>
      <c r="L397" s="2"/>
      <c r="M397" s="2"/>
      <c r="N397" s="2"/>
    </row>
    <row r="398" spans="1:14">
      <c r="A398" s="12"/>
      <c r="B398" s="2"/>
      <c r="C398" s="2"/>
      <c r="D398" s="8"/>
      <c r="E398" s="2"/>
      <c r="F398" s="2"/>
      <c r="G398" s="5"/>
      <c r="H398" s="5"/>
      <c r="I398" s="8"/>
      <c r="J398" s="8" t="str">
        <f t="shared" si="6"/>
        <v/>
      </c>
      <c r="K398" s="5"/>
      <c r="L398" s="2"/>
      <c r="M398" s="2"/>
      <c r="N398" s="2"/>
    </row>
    <row r="399" spans="1:14">
      <c r="A399" s="12"/>
      <c r="B399" s="2"/>
      <c r="C399" s="2"/>
      <c r="D399" s="8"/>
      <c r="E399" s="2"/>
      <c r="F399" s="2"/>
      <c r="G399" s="5"/>
      <c r="H399" s="5"/>
      <c r="I399" s="8"/>
      <c r="J399" s="8" t="str">
        <f t="shared" si="6"/>
        <v/>
      </c>
      <c r="K399" s="5"/>
      <c r="L399" s="2"/>
      <c r="M399" s="2"/>
      <c r="N399" s="2"/>
    </row>
    <row r="400" spans="1:14">
      <c r="A400" s="12"/>
      <c r="B400" s="2"/>
      <c r="C400" s="2"/>
      <c r="D400" s="8"/>
      <c r="E400" s="2"/>
      <c r="F400" s="2"/>
      <c r="G400" s="5"/>
      <c r="H400" s="5"/>
      <c r="I400" s="8"/>
      <c r="J400" s="8" t="str">
        <f t="shared" si="6"/>
        <v/>
      </c>
      <c r="K400" s="5"/>
      <c r="L400" s="2"/>
      <c r="M400" s="2"/>
      <c r="N400" s="2"/>
    </row>
    <row r="401" spans="1:14">
      <c r="A401" s="12"/>
      <c r="B401" s="2"/>
      <c r="C401" s="2"/>
      <c r="D401" s="8"/>
      <c r="E401" s="2"/>
      <c r="F401" s="2"/>
      <c r="G401" s="5"/>
      <c r="H401" s="5"/>
      <c r="I401" s="8"/>
      <c r="J401" s="8" t="str">
        <f t="shared" si="6"/>
        <v/>
      </c>
      <c r="K401" s="5"/>
      <c r="L401" s="2"/>
      <c r="M401" s="2"/>
      <c r="N401" s="2"/>
    </row>
    <row r="402" spans="1:14">
      <c r="A402" s="12"/>
      <c r="B402" s="2"/>
      <c r="C402" s="2"/>
      <c r="D402" s="8"/>
      <c r="E402" s="2"/>
      <c r="F402" s="2"/>
      <c r="G402" s="5"/>
      <c r="H402" s="5"/>
      <c r="I402" s="8"/>
      <c r="J402" s="8" t="str">
        <f t="shared" si="6"/>
        <v/>
      </c>
      <c r="K402" s="5"/>
      <c r="L402" s="2"/>
      <c r="M402" s="2"/>
      <c r="N402" s="2"/>
    </row>
    <row r="403" spans="1:14">
      <c r="A403" s="12"/>
      <c r="B403" s="2"/>
      <c r="C403" s="2"/>
      <c r="D403" s="8"/>
      <c r="E403" s="2"/>
      <c r="F403" s="2"/>
      <c r="G403" s="5"/>
      <c r="H403" s="5"/>
      <c r="I403" s="8"/>
      <c r="J403" s="8" t="str">
        <f t="shared" si="6"/>
        <v/>
      </c>
      <c r="K403" s="5"/>
      <c r="L403" s="2"/>
      <c r="M403" s="2"/>
      <c r="N403" s="2"/>
    </row>
    <row r="404" spans="1:14">
      <c r="A404" s="12"/>
      <c r="B404" s="2"/>
      <c r="C404" s="2"/>
      <c r="D404" s="8"/>
      <c r="E404" s="2"/>
      <c r="F404" s="2"/>
      <c r="G404" s="5"/>
      <c r="H404" s="5"/>
      <c r="I404" s="8"/>
      <c r="J404" s="8" t="str">
        <f t="shared" si="6"/>
        <v/>
      </c>
      <c r="K404" s="5"/>
      <c r="L404" s="2"/>
      <c r="M404" s="2"/>
      <c r="N404" s="2"/>
    </row>
    <row r="405" spans="1:14">
      <c r="A405" s="12"/>
      <c r="B405" s="2"/>
      <c r="C405" s="2"/>
      <c r="D405" s="8"/>
      <c r="E405" s="2"/>
      <c r="F405" s="2"/>
      <c r="G405" s="5"/>
      <c r="H405" s="5"/>
      <c r="I405" s="8"/>
      <c r="J405" s="8" t="str">
        <f t="shared" si="6"/>
        <v/>
      </c>
      <c r="K405" s="5"/>
      <c r="L405" s="2"/>
      <c r="M405" s="2"/>
      <c r="N405" s="2"/>
    </row>
    <row r="406" spans="1:14">
      <c r="A406" s="12"/>
      <c r="B406" s="2"/>
      <c r="C406" s="2"/>
      <c r="D406" s="8"/>
      <c r="E406" s="2"/>
      <c r="F406" s="2"/>
      <c r="G406" s="5"/>
      <c r="H406" s="5"/>
      <c r="I406" s="8"/>
      <c r="J406" s="8" t="str">
        <f t="shared" si="6"/>
        <v/>
      </c>
      <c r="K406" s="5"/>
      <c r="L406" s="2"/>
      <c r="M406" s="2"/>
      <c r="N406" s="2"/>
    </row>
    <row r="407" spans="1:14">
      <c r="A407" s="12"/>
      <c r="B407" s="2"/>
      <c r="C407" s="2"/>
      <c r="D407" s="8"/>
      <c r="E407" s="2"/>
      <c r="F407" s="2"/>
      <c r="G407" s="5"/>
      <c r="H407" s="5"/>
      <c r="I407" s="8"/>
      <c r="J407" s="8" t="str">
        <f t="shared" si="6"/>
        <v/>
      </c>
      <c r="K407" s="5"/>
      <c r="L407" s="2"/>
      <c r="M407" s="2"/>
      <c r="N407" s="2"/>
    </row>
    <row r="408" spans="1:14">
      <c r="A408" s="12"/>
      <c r="B408" s="2"/>
      <c r="C408" s="2"/>
      <c r="D408" s="8"/>
      <c r="E408" s="2"/>
      <c r="F408" s="2"/>
      <c r="G408" s="5"/>
      <c r="H408" s="5"/>
      <c r="I408" s="8"/>
      <c r="J408" s="8" t="str">
        <f t="shared" si="6"/>
        <v/>
      </c>
      <c r="K408" s="5"/>
      <c r="L408" s="2"/>
      <c r="M408" s="2"/>
      <c r="N408" s="2"/>
    </row>
    <row r="409" spans="1:14">
      <c r="A409" s="12"/>
      <c r="B409" s="2"/>
      <c r="C409" s="2"/>
      <c r="D409" s="8"/>
      <c r="E409" s="2"/>
      <c r="F409" s="2"/>
      <c r="G409" s="5"/>
      <c r="H409" s="5"/>
      <c r="I409" s="8"/>
      <c r="J409" s="8" t="str">
        <f t="shared" si="6"/>
        <v/>
      </c>
      <c r="K409" s="5"/>
      <c r="L409" s="2"/>
      <c r="M409" s="2"/>
      <c r="N409" s="2"/>
    </row>
    <row r="410" spans="1:14">
      <c r="A410" s="12"/>
      <c r="B410" s="2"/>
      <c r="C410" s="2"/>
      <c r="D410" s="8"/>
      <c r="E410" s="2"/>
      <c r="F410" s="2"/>
      <c r="G410" s="5"/>
      <c r="H410" s="5"/>
      <c r="I410" s="8"/>
      <c r="J410" s="8" t="str">
        <f t="shared" si="6"/>
        <v/>
      </c>
      <c r="K410" s="5"/>
      <c r="L410" s="2"/>
      <c r="M410" s="2"/>
      <c r="N410" s="2"/>
    </row>
    <row r="411" spans="1:14">
      <c r="A411" s="12"/>
      <c r="B411" s="2"/>
      <c r="C411" s="2"/>
      <c r="D411" s="8"/>
      <c r="E411" s="2"/>
      <c r="F411" s="2"/>
      <c r="G411" s="5"/>
      <c r="H411" s="5"/>
      <c r="I411" s="8"/>
      <c r="J411" s="8" t="str">
        <f t="shared" si="6"/>
        <v/>
      </c>
      <c r="K411" s="5"/>
      <c r="L411" s="2"/>
      <c r="M411" s="2"/>
      <c r="N411" s="2"/>
    </row>
    <row r="412" spans="1:14">
      <c r="A412" s="12"/>
      <c r="B412" s="2"/>
      <c r="C412" s="2"/>
      <c r="D412" s="8"/>
      <c r="E412" s="2"/>
      <c r="F412" s="2"/>
      <c r="G412" s="5"/>
      <c r="H412" s="5"/>
      <c r="I412" s="8"/>
      <c r="J412" s="8" t="str">
        <f t="shared" si="6"/>
        <v/>
      </c>
      <c r="K412" s="5"/>
      <c r="L412" s="2"/>
      <c r="M412" s="2"/>
      <c r="N412" s="2"/>
    </row>
    <row r="413" spans="1:14">
      <c r="A413" s="12"/>
      <c r="B413" s="2"/>
      <c r="C413" s="2"/>
      <c r="D413" s="8"/>
      <c r="E413" s="2"/>
      <c r="F413" s="2"/>
      <c r="G413" s="5"/>
      <c r="H413" s="5"/>
      <c r="I413" s="8"/>
      <c r="J413" s="8" t="str">
        <f t="shared" si="6"/>
        <v/>
      </c>
      <c r="K413" s="5"/>
      <c r="L413" s="2"/>
      <c r="M413" s="2"/>
      <c r="N413" s="2"/>
    </row>
    <row r="414" spans="1:14">
      <c r="A414" s="12"/>
      <c r="B414" s="2"/>
      <c r="C414" s="2"/>
      <c r="D414" s="8"/>
      <c r="E414" s="2"/>
      <c r="F414" s="2"/>
      <c r="G414" s="5"/>
      <c r="H414" s="5"/>
      <c r="I414" s="8"/>
      <c r="J414" s="8" t="str">
        <f t="shared" si="6"/>
        <v/>
      </c>
      <c r="K414" s="5"/>
      <c r="L414" s="2"/>
      <c r="M414" s="2"/>
      <c r="N414" s="2"/>
    </row>
    <row r="415" spans="1:14">
      <c r="A415" s="12"/>
      <c r="B415" s="2"/>
      <c r="C415" s="2"/>
      <c r="D415" s="8"/>
      <c r="E415" s="2"/>
      <c r="F415" s="2"/>
      <c r="G415" s="5"/>
      <c r="H415" s="5"/>
      <c r="I415" s="8"/>
      <c r="J415" s="8" t="str">
        <f t="shared" si="6"/>
        <v/>
      </c>
      <c r="K415" s="5"/>
      <c r="L415" s="2"/>
      <c r="M415" s="2"/>
      <c r="N415" s="2"/>
    </row>
    <row r="416" spans="1:14">
      <c r="A416" s="12"/>
      <c r="B416" s="2"/>
      <c r="C416" s="2"/>
      <c r="D416" s="8"/>
      <c r="E416" s="2"/>
      <c r="F416" s="2"/>
      <c r="G416" s="5"/>
      <c r="H416" s="5"/>
      <c r="I416" s="8"/>
      <c r="J416" s="8" t="str">
        <f t="shared" si="6"/>
        <v/>
      </c>
      <c r="K416" s="5"/>
      <c r="L416" s="2"/>
      <c r="M416" s="2"/>
      <c r="N416" s="2"/>
    </row>
    <row r="417" spans="1:14">
      <c r="A417" s="12"/>
      <c r="B417" s="2"/>
      <c r="C417" s="2"/>
      <c r="D417" s="8"/>
      <c r="E417" s="2"/>
      <c r="F417" s="2"/>
      <c r="G417" s="5"/>
      <c r="H417" s="5"/>
      <c r="I417" s="8"/>
      <c r="J417" s="8" t="str">
        <f t="shared" si="6"/>
        <v/>
      </c>
      <c r="K417" s="5"/>
      <c r="L417" s="2"/>
      <c r="M417" s="2"/>
      <c r="N417" s="2"/>
    </row>
    <row r="418" spans="1:14">
      <c r="A418" s="12"/>
      <c r="B418" s="2"/>
      <c r="C418" s="2"/>
      <c r="D418" s="8"/>
      <c r="E418" s="2"/>
      <c r="F418" s="2"/>
      <c r="G418" s="5"/>
      <c r="H418" s="5"/>
      <c r="I418" s="8"/>
      <c r="J418" s="8" t="str">
        <f t="shared" si="6"/>
        <v/>
      </c>
      <c r="K418" s="5"/>
      <c r="L418" s="2"/>
      <c r="M418" s="2"/>
      <c r="N418" s="2"/>
    </row>
    <row r="419" spans="1:14">
      <c r="A419" s="12"/>
      <c r="B419" s="2"/>
      <c r="C419" s="2"/>
      <c r="D419" s="8"/>
      <c r="E419" s="2"/>
      <c r="F419" s="2"/>
      <c r="G419" s="5"/>
      <c r="H419" s="5"/>
      <c r="I419" s="8"/>
      <c r="J419" s="8" t="str">
        <f t="shared" si="6"/>
        <v/>
      </c>
      <c r="K419" s="5"/>
      <c r="L419" s="2"/>
      <c r="M419" s="2"/>
      <c r="N419" s="2"/>
    </row>
    <row r="420" spans="1:14">
      <c r="A420" s="12"/>
      <c r="B420" s="2"/>
      <c r="C420" s="2"/>
      <c r="D420" s="8"/>
      <c r="E420" s="2"/>
      <c r="F420" s="2"/>
      <c r="G420" s="5"/>
      <c r="H420" s="5"/>
      <c r="I420" s="8"/>
      <c r="J420" s="8" t="str">
        <f t="shared" si="6"/>
        <v/>
      </c>
      <c r="K420" s="5"/>
      <c r="L420" s="2"/>
      <c r="M420" s="2"/>
      <c r="N420" s="2"/>
    </row>
    <row r="421" spans="1:14">
      <c r="A421" s="12"/>
      <c r="B421" s="2"/>
      <c r="C421" s="2"/>
      <c r="D421" s="8"/>
      <c r="E421" s="2"/>
      <c r="F421" s="2"/>
      <c r="G421" s="5"/>
      <c r="H421" s="5"/>
      <c r="I421" s="8"/>
      <c r="J421" s="8" t="str">
        <f t="shared" si="6"/>
        <v/>
      </c>
      <c r="K421" s="5"/>
      <c r="L421" s="2"/>
      <c r="M421" s="2"/>
      <c r="N421" s="2"/>
    </row>
    <row r="422" spans="1:14">
      <c r="A422" s="12"/>
      <c r="B422" s="2"/>
      <c r="C422" s="2"/>
      <c r="D422" s="8"/>
      <c r="E422" s="2"/>
      <c r="F422" s="2"/>
      <c r="G422" s="5"/>
      <c r="H422" s="5"/>
      <c r="I422" s="8"/>
      <c r="J422" s="8" t="str">
        <f t="shared" si="6"/>
        <v/>
      </c>
      <c r="K422" s="5"/>
      <c r="L422" s="2"/>
      <c r="M422" s="2"/>
      <c r="N422" s="2"/>
    </row>
    <row r="423" spans="1:14">
      <c r="A423" s="12"/>
      <c r="B423" s="2"/>
      <c r="C423" s="2"/>
      <c r="D423" s="8"/>
      <c r="E423" s="2"/>
      <c r="F423" s="2"/>
      <c r="G423" s="5"/>
      <c r="H423" s="5"/>
      <c r="I423" s="8"/>
      <c r="J423" s="8" t="str">
        <f t="shared" si="6"/>
        <v/>
      </c>
      <c r="K423" s="5"/>
      <c r="L423" s="2"/>
      <c r="M423" s="2"/>
      <c r="N423" s="2"/>
    </row>
    <row r="424" spans="1:14">
      <c r="A424" s="12"/>
      <c r="B424" s="2"/>
      <c r="C424" s="2"/>
      <c r="D424" s="8"/>
      <c r="E424" s="2"/>
      <c r="F424" s="2"/>
      <c r="G424" s="5"/>
      <c r="H424" s="5"/>
      <c r="I424" s="8"/>
      <c r="J424" s="8" t="str">
        <f t="shared" si="6"/>
        <v/>
      </c>
      <c r="K424" s="5"/>
      <c r="L424" s="2"/>
      <c r="M424" s="2"/>
      <c r="N424" s="2"/>
    </row>
    <row r="425" spans="1:14">
      <c r="A425" s="12"/>
      <c r="B425" s="2"/>
      <c r="C425" s="2"/>
      <c r="D425" s="8"/>
      <c r="E425" s="2"/>
      <c r="F425" s="2"/>
      <c r="G425" s="5"/>
      <c r="H425" s="5"/>
      <c r="I425" s="8"/>
      <c r="J425" s="8" t="str">
        <f t="shared" si="6"/>
        <v/>
      </c>
      <c r="K425" s="5"/>
      <c r="L425" s="2"/>
      <c r="M425" s="2"/>
      <c r="N425" s="2"/>
    </row>
    <row r="426" spans="1:14">
      <c r="A426" s="12"/>
      <c r="B426" s="2"/>
      <c r="C426" s="2"/>
      <c r="D426" s="8"/>
      <c r="E426" s="2"/>
      <c r="F426" s="2"/>
      <c r="G426" s="5"/>
      <c r="H426" s="5"/>
      <c r="I426" s="8"/>
      <c r="J426" s="8" t="str">
        <f t="shared" si="6"/>
        <v/>
      </c>
      <c r="K426" s="5"/>
      <c r="L426" s="2"/>
      <c r="M426" s="2"/>
      <c r="N426" s="2"/>
    </row>
    <row r="427" spans="1:14">
      <c r="A427" s="12"/>
      <c r="B427" s="2"/>
      <c r="C427" s="2"/>
      <c r="D427" s="8"/>
      <c r="E427" s="2"/>
      <c r="F427" s="2"/>
      <c r="G427" s="5"/>
      <c r="H427" s="5"/>
      <c r="I427" s="8"/>
      <c r="J427" s="8" t="str">
        <f t="shared" si="6"/>
        <v/>
      </c>
      <c r="K427" s="5"/>
      <c r="L427" s="2"/>
      <c r="M427" s="2"/>
      <c r="N427" s="2"/>
    </row>
    <row r="428" spans="1:14">
      <c r="A428" s="12"/>
      <c r="B428" s="2"/>
      <c r="C428" s="2"/>
      <c r="D428" s="8"/>
      <c r="E428" s="2"/>
      <c r="F428" s="2"/>
      <c r="G428" s="5"/>
      <c r="H428" s="5"/>
      <c r="I428" s="8"/>
      <c r="J428" s="8" t="str">
        <f t="shared" si="6"/>
        <v/>
      </c>
      <c r="K428" s="5"/>
      <c r="L428" s="2"/>
      <c r="M428" s="2"/>
      <c r="N428" s="2"/>
    </row>
    <row r="429" spans="1:14">
      <c r="A429" s="12"/>
      <c r="B429" s="2"/>
      <c r="C429" s="2"/>
      <c r="D429" s="8"/>
      <c r="E429" s="2"/>
      <c r="F429" s="2"/>
      <c r="G429" s="5"/>
      <c r="H429" s="5"/>
      <c r="I429" s="8"/>
      <c r="J429" s="8" t="str">
        <f t="shared" si="6"/>
        <v/>
      </c>
      <c r="K429" s="5"/>
      <c r="L429" s="2"/>
      <c r="M429" s="2"/>
      <c r="N429" s="2"/>
    </row>
    <row r="430" spans="1:14">
      <c r="A430" s="12"/>
      <c r="B430" s="2"/>
      <c r="C430" s="2"/>
      <c r="D430" s="8"/>
      <c r="E430" s="2"/>
      <c r="F430" s="2"/>
      <c r="G430" s="5"/>
      <c r="H430" s="5"/>
      <c r="I430" s="8"/>
      <c r="J430" s="8" t="str">
        <f t="shared" si="6"/>
        <v/>
      </c>
      <c r="K430" s="5"/>
      <c r="L430" s="2"/>
      <c r="M430" s="2"/>
      <c r="N430" s="2"/>
    </row>
    <row r="431" spans="1:14">
      <c r="A431" s="12"/>
      <c r="B431" s="2"/>
      <c r="C431" s="2"/>
      <c r="D431" s="8"/>
      <c r="E431" s="2"/>
      <c r="F431" s="2"/>
      <c r="G431" s="5"/>
      <c r="H431" s="5"/>
      <c r="I431" s="8"/>
      <c r="J431" s="8" t="str">
        <f t="shared" si="6"/>
        <v/>
      </c>
      <c r="K431" s="5"/>
      <c r="L431" s="2"/>
      <c r="M431" s="2"/>
      <c r="N431" s="2"/>
    </row>
    <row r="432" spans="1:14">
      <c r="A432" s="12"/>
      <c r="B432" s="2"/>
      <c r="C432" s="2"/>
      <c r="D432" s="8"/>
      <c r="E432" s="2"/>
      <c r="F432" s="2"/>
      <c r="G432" s="5"/>
      <c r="H432" s="5"/>
      <c r="I432" s="8"/>
      <c r="J432" s="8" t="str">
        <f t="shared" si="6"/>
        <v/>
      </c>
      <c r="K432" s="5"/>
      <c r="L432" s="2"/>
      <c r="M432" s="2"/>
      <c r="N432" s="2"/>
    </row>
    <row r="433" spans="1:14">
      <c r="A433" s="12"/>
      <c r="B433" s="2"/>
      <c r="C433" s="2"/>
      <c r="D433" s="8"/>
      <c r="E433" s="2"/>
      <c r="F433" s="2"/>
      <c r="G433" s="5"/>
      <c r="H433" s="5"/>
      <c r="I433" s="8"/>
      <c r="J433" s="8" t="str">
        <f t="shared" si="6"/>
        <v/>
      </c>
      <c r="K433" s="5"/>
      <c r="L433" s="2"/>
      <c r="M433" s="2"/>
      <c r="N433" s="2"/>
    </row>
    <row r="434" spans="1:14">
      <c r="A434" s="12"/>
      <c r="B434" s="2"/>
      <c r="C434" s="2"/>
      <c r="D434" s="8"/>
      <c r="E434" s="2"/>
      <c r="F434" s="2"/>
      <c r="G434" s="5"/>
      <c r="H434" s="5"/>
      <c r="I434" s="8"/>
      <c r="J434" s="8" t="str">
        <f t="shared" si="6"/>
        <v/>
      </c>
      <c r="K434" s="5"/>
      <c r="L434" s="2"/>
      <c r="M434" s="2"/>
      <c r="N434" s="2"/>
    </row>
    <row r="435" spans="1:14">
      <c r="A435" s="12"/>
      <c r="B435" s="2"/>
      <c r="C435" s="2"/>
      <c r="D435" s="8"/>
      <c r="E435" s="2"/>
      <c r="F435" s="2"/>
      <c r="G435" s="5"/>
      <c r="H435" s="5"/>
      <c r="I435" s="8"/>
      <c r="J435" s="8" t="str">
        <f t="shared" si="6"/>
        <v/>
      </c>
      <c r="K435" s="5"/>
      <c r="L435" s="2"/>
      <c r="M435" s="2"/>
      <c r="N435" s="2"/>
    </row>
    <row r="436" spans="1:14">
      <c r="A436" s="12"/>
      <c r="B436" s="2"/>
      <c r="C436" s="2"/>
      <c r="D436" s="8"/>
      <c r="E436" s="2"/>
      <c r="F436" s="2"/>
      <c r="G436" s="5"/>
      <c r="H436" s="5"/>
      <c r="I436" s="8"/>
      <c r="J436" s="8" t="str">
        <f t="shared" si="6"/>
        <v/>
      </c>
      <c r="K436" s="5"/>
      <c r="L436" s="2"/>
      <c r="M436" s="2"/>
      <c r="N436" s="2"/>
    </row>
    <row r="437" spans="1:14">
      <c r="A437" s="12"/>
      <c r="B437" s="2"/>
      <c r="C437" s="2"/>
      <c r="D437" s="8"/>
      <c r="E437" s="2"/>
      <c r="F437" s="2"/>
      <c r="G437" s="5"/>
      <c r="H437" s="5"/>
      <c r="I437" s="8"/>
      <c r="J437" s="8" t="str">
        <f t="shared" si="6"/>
        <v/>
      </c>
      <c r="K437" s="5"/>
      <c r="L437" s="2"/>
      <c r="M437" s="2"/>
      <c r="N437" s="2"/>
    </row>
    <row r="438" spans="1:14">
      <c r="A438" s="12"/>
      <c r="B438" s="2"/>
      <c r="C438" s="2"/>
      <c r="D438" s="8"/>
      <c r="E438" s="2"/>
      <c r="F438" s="2"/>
      <c r="G438" s="5"/>
      <c r="H438" s="5"/>
      <c r="I438" s="8"/>
      <c r="J438" s="8" t="str">
        <f t="shared" si="6"/>
        <v/>
      </c>
      <c r="K438" s="5"/>
      <c r="L438" s="2"/>
      <c r="M438" s="2"/>
      <c r="N438" s="2"/>
    </row>
    <row r="439" spans="1:14">
      <c r="A439" s="12"/>
      <c r="B439" s="2"/>
      <c r="C439" s="2"/>
      <c r="D439" s="8"/>
      <c r="E439" s="2"/>
      <c r="F439" s="2"/>
      <c r="G439" s="5"/>
      <c r="H439" s="5"/>
      <c r="I439" s="8"/>
      <c r="J439" s="8" t="str">
        <f t="shared" si="6"/>
        <v/>
      </c>
      <c r="K439" s="5"/>
      <c r="L439" s="2"/>
      <c r="M439" s="2"/>
      <c r="N439" s="2"/>
    </row>
    <row r="440" spans="1:14">
      <c r="A440" s="12"/>
      <c r="B440" s="2"/>
      <c r="C440" s="2"/>
      <c r="D440" s="8"/>
      <c r="E440" s="2"/>
      <c r="F440" s="2"/>
      <c r="G440" s="5"/>
      <c r="H440" s="5"/>
      <c r="I440" s="8"/>
      <c r="J440" s="8" t="str">
        <f t="shared" si="6"/>
        <v/>
      </c>
      <c r="K440" s="5"/>
      <c r="L440" s="2"/>
      <c r="M440" s="2"/>
      <c r="N440" s="2"/>
    </row>
    <row r="441" spans="1:14">
      <c r="A441" s="12"/>
      <c r="B441" s="2"/>
      <c r="C441" s="2"/>
      <c r="D441" s="8"/>
      <c r="E441" s="2"/>
      <c r="F441" s="2"/>
      <c r="G441" s="5"/>
      <c r="H441" s="5"/>
      <c r="I441" s="8"/>
      <c r="J441" s="8" t="str">
        <f t="shared" si="6"/>
        <v/>
      </c>
      <c r="K441" s="5"/>
      <c r="L441" s="2"/>
      <c r="M441" s="2"/>
      <c r="N441" s="2"/>
    </row>
    <row r="442" spans="1:14">
      <c r="A442" s="12"/>
      <c r="B442" s="2"/>
      <c r="C442" s="2"/>
      <c r="D442" s="8"/>
      <c r="E442" s="2"/>
      <c r="F442" s="2"/>
      <c r="G442" s="5"/>
      <c r="H442" s="5"/>
      <c r="I442" s="8"/>
      <c r="J442" s="8" t="str">
        <f t="shared" si="6"/>
        <v/>
      </c>
      <c r="K442" s="5"/>
      <c r="L442" s="2"/>
      <c r="M442" s="2"/>
      <c r="N442" s="2"/>
    </row>
    <row r="443" spans="1:14">
      <c r="A443" s="12"/>
      <c r="B443" s="2"/>
      <c r="C443" s="2"/>
      <c r="D443" s="8"/>
      <c r="E443" s="2"/>
      <c r="F443" s="2"/>
      <c r="G443" s="5"/>
      <c r="H443" s="5"/>
      <c r="I443" s="8"/>
      <c r="J443" s="8" t="str">
        <f t="shared" si="6"/>
        <v/>
      </c>
      <c r="K443" s="5"/>
      <c r="L443" s="2"/>
      <c r="M443" s="2"/>
      <c r="N443" s="2"/>
    </row>
    <row r="444" spans="1:14">
      <c r="A444" s="12"/>
      <c r="B444" s="2"/>
      <c r="C444" s="2"/>
      <c r="D444" s="8"/>
      <c r="E444" s="2"/>
      <c r="F444" s="2"/>
      <c r="G444" s="5"/>
      <c r="H444" s="5"/>
      <c r="I444" s="8"/>
      <c r="J444" s="8" t="str">
        <f t="shared" si="6"/>
        <v/>
      </c>
      <c r="K444" s="5"/>
      <c r="L444" s="2"/>
      <c r="M444" s="2"/>
      <c r="N444" s="2"/>
    </row>
    <row r="445" spans="1:14">
      <c r="A445" s="12"/>
      <c r="B445" s="2"/>
      <c r="C445" s="2"/>
      <c r="D445" s="8"/>
      <c r="E445" s="2"/>
      <c r="F445" s="2"/>
      <c r="G445" s="5"/>
      <c r="H445" s="5"/>
      <c r="I445" s="8"/>
      <c r="J445" s="8" t="str">
        <f t="shared" si="6"/>
        <v/>
      </c>
      <c r="K445" s="5"/>
      <c r="L445" s="2"/>
      <c r="M445" s="2"/>
      <c r="N445" s="2"/>
    </row>
    <row r="446" spans="1:14">
      <c r="A446" s="12"/>
      <c r="B446" s="2"/>
      <c r="C446" s="2"/>
      <c r="D446" s="8"/>
      <c r="E446" s="2"/>
      <c r="F446" s="2"/>
      <c r="G446" s="5"/>
      <c r="H446" s="5"/>
      <c r="I446" s="8"/>
      <c r="J446" s="8" t="str">
        <f t="shared" si="6"/>
        <v/>
      </c>
      <c r="K446" s="5"/>
      <c r="L446" s="2"/>
      <c r="M446" s="2"/>
      <c r="N446" s="2"/>
    </row>
    <row r="447" spans="1:14">
      <c r="A447" s="12"/>
      <c r="B447" s="2"/>
      <c r="C447" s="2"/>
      <c r="D447" s="8"/>
      <c r="E447" s="2"/>
      <c r="F447" s="2"/>
      <c r="G447" s="5"/>
      <c r="H447" s="5"/>
      <c r="I447" s="8"/>
      <c r="J447" s="8" t="str">
        <f t="shared" si="6"/>
        <v/>
      </c>
      <c r="K447" s="5"/>
      <c r="L447" s="2"/>
      <c r="M447" s="2"/>
      <c r="N447" s="2"/>
    </row>
    <row r="448" spans="1:14">
      <c r="A448" s="12"/>
      <c r="B448" s="2"/>
      <c r="C448" s="2"/>
      <c r="D448" s="8"/>
      <c r="E448" s="2"/>
      <c r="F448" s="2"/>
      <c r="G448" s="5"/>
      <c r="H448" s="5"/>
      <c r="I448" s="8"/>
      <c r="J448" s="8" t="str">
        <f t="shared" si="6"/>
        <v/>
      </c>
      <c r="K448" s="5"/>
      <c r="L448" s="2"/>
      <c r="M448" s="2"/>
      <c r="N448" s="2"/>
    </row>
    <row r="449" spans="1:14">
      <c r="A449" s="12"/>
      <c r="B449" s="2"/>
      <c r="C449" s="2"/>
      <c r="D449" s="8"/>
      <c r="E449" s="2"/>
      <c r="F449" s="2"/>
      <c r="G449" s="5"/>
      <c r="H449" s="5"/>
      <c r="I449" s="8"/>
      <c r="J449" s="8" t="str">
        <f t="shared" si="6"/>
        <v/>
      </c>
      <c r="K449" s="5"/>
      <c r="L449" s="2"/>
      <c r="M449" s="2"/>
      <c r="N449" s="2"/>
    </row>
    <row r="450" spans="1:14">
      <c r="A450" s="12"/>
      <c r="B450" s="2"/>
      <c r="C450" s="2"/>
      <c r="D450" s="8"/>
      <c r="E450" s="2"/>
      <c r="F450" s="2"/>
      <c r="G450" s="5"/>
      <c r="H450" s="5"/>
      <c r="I450" s="8"/>
      <c r="J450" s="8" t="str">
        <f t="shared" si="6"/>
        <v/>
      </c>
      <c r="K450" s="5"/>
      <c r="L450" s="2"/>
      <c r="M450" s="2"/>
      <c r="N450" s="2"/>
    </row>
    <row r="451" spans="1:14">
      <c r="A451" s="12"/>
      <c r="B451" s="2"/>
      <c r="C451" s="2"/>
      <c r="D451" s="8"/>
      <c r="E451" s="2"/>
      <c r="F451" s="2"/>
      <c r="G451" s="5"/>
      <c r="H451" s="5"/>
      <c r="I451" s="8"/>
      <c r="J451" s="8" t="str">
        <f t="shared" si="6"/>
        <v/>
      </c>
      <c r="K451" s="5"/>
      <c r="L451" s="2"/>
      <c r="M451" s="2"/>
      <c r="N451" s="2"/>
    </row>
    <row r="452" spans="1:14">
      <c r="A452" s="12"/>
      <c r="B452" s="2"/>
      <c r="C452" s="2"/>
      <c r="D452" s="8"/>
      <c r="E452" s="2"/>
      <c r="F452" s="2"/>
      <c r="G452" s="5"/>
      <c r="H452" s="5"/>
      <c r="I452" s="8"/>
      <c r="J452" s="8" t="str">
        <f t="shared" ref="J452:J500" si="7">IF(D452="","",MAX(0,D452-I452))</f>
        <v/>
      </c>
      <c r="K452" s="5"/>
      <c r="L452" s="2"/>
      <c r="M452" s="2"/>
      <c r="N452" s="2"/>
    </row>
    <row r="453" spans="1:14">
      <c r="A453" s="12"/>
      <c r="B453" s="2"/>
      <c r="C453" s="2"/>
      <c r="D453" s="8"/>
      <c r="E453" s="2"/>
      <c r="F453" s="2"/>
      <c r="G453" s="5"/>
      <c r="H453" s="5"/>
      <c r="I453" s="8"/>
      <c r="J453" s="8" t="str">
        <f t="shared" si="7"/>
        <v/>
      </c>
      <c r="K453" s="5"/>
      <c r="L453" s="2"/>
      <c r="M453" s="2"/>
      <c r="N453" s="2"/>
    </row>
    <row r="454" spans="1:14">
      <c r="A454" s="12"/>
      <c r="B454" s="2"/>
      <c r="C454" s="2"/>
      <c r="D454" s="8"/>
      <c r="E454" s="2"/>
      <c r="F454" s="2"/>
      <c r="G454" s="5"/>
      <c r="H454" s="5"/>
      <c r="I454" s="8"/>
      <c r="J454" s="8" t="str">
        <f t="shared" si="7"/>
        <v/>
      </c>
      <c r="K454" s="5"/>
      <c r="L454" s="2"/>
      <c r="M454" s="2"/>
      <c r="N454" s="2"/>
    </row>
    <row r="455" spans="1:14">
      <c r="A455" s="12"/>
      <c r="B455" s="2"/>
      <c r="C455" s="2"/>
      <c r="D455" s="8"/>
      <c r="E455" s="2"/>
      <c r="F455" s="2"/>
      <c r="G455" s="5"/>
      <c r="H455" s="5"/>
      <c r="I455" s="8"/>
      <c r="J455" s="8" t="str">
        <f t="shared" si="7"/>
        <v/>
      </c>
      <c r="K455" s="5"/>
      <c r="L455" s="2"/>
      <c r="M455" s="2"/>
      <c r="N455" s="2"/>
    </row>
    <row r="456" spans="1:14">
      <c r="A456" s="12"/>
      <c r="B456" s="2"/>
      <c r="C456" s="2"/>
      <c r="D456" s="8"/>
      <c r="E456" s="2"/>
      <c r="F456" s="2"/>
      <c r="G456" s="5"/>
      <c r="H456" s="5"/>
      <c r="I456" s="8"/>
      <c r="J456" s="8" t="str">
        <f t="shared" si="7"/>
        <v/>
      </c>
      <c r="K456" s="5"/>
      <c r="L456" s="2"/>
      <c r="M456" s="2"/>
      <c r="N456" s="2"/>
    </row>
    <row r="457" spans="1:14">
      <c r="A457" s="12"/>
      <c r="B457" s="2"/>
      <c r="C457" s="2"/>
      <c r="D457" s="8"/>
      <c r="E457" s="2"/>
      <c r="F457" s="2"/>
      <c r="G457" s="5"/>
      <c r="H457" s="5"/>
      <c r="I457" s="8"/>
      <c r="J457" s="8" t="str">
        <f t="shared" si="7"/>
        <v/>
      </c>
      <c r="K457" s="5"/>
      <c r="L457" s="2"/>
      <c r="M457" s="2"/>
      <c r="N457" s="2"/>
    </row>
    <row r="458" spans="1:14">
      <c r="A458" s="12"/>
      <c r="B458" s="2"/>
      <c r="C458" s="2"/>
      <c r="D458" s="8"/>
      <c r="E458" s="2"/>
      <c r="F458" s="2"/>
      <c r="G458" s="5"/>
      <c r="H458" s="5"/>
      <c r="I458" s="8"/>
      <c r="J458" s="8" t="str">
        <f t="shared" si="7"/>
        <v/>
      </c>
      <c r="K458" s="5"/>
      <c r="L458" s="2"/>
      <c r="M458" s="2"/>
      <c r="N458" s="2"/>
    </row>
    <row r="459" spans="1:14">
      <c r="A459" s="12"/>
      <c r="B459" s="2"/>
      <c r="C459" s="2"/>
      <c r="D459" s="8"/>
      <c r="E459" s="2"/>
      <c r="F459" s="2"/>
      <c r="G459" s="5"/>
      <c r="H459" s="5"/>
      <c r="I459" s="8"/>
      <c r="J459" s="8" t="str">
        <f t="shared" si="7"/>
        <v/>
      </c>
      <c r="K459" s="5"/>
      <c r="L459" s="2"/>
      <c r="M459" s="2"/>
      <c r="N459" s="2"/>
    </row>
    <row r="460" spans="1:14">
      <c r="A460" s="12"/>
      <c r="B460" s="2"/>
      <c r="C460" s="2"/>
      <c r="D460" s="8"/>
      <c r="E460" s="2"/>
      <c r="F460" s="2"/>
      <c r="G460" s="5"/>
      <c r="H460" s="5"/>
      <c r="I460" s="8"/>
      <c r="J460" s="8" t="str">
        <f t="shared" si="7"/>
        <v/>
      </c>
      <c r="K460" s="5"/>
      <c r="L460" s="2"/>
      <c r="M460" s="2"/>
      <c r="N460" s="2"/>
    </row>
    <row r="461" spans="1:14">
      <c r="A461" s="12"/>
      <c r="B461" s="2"/>
      <c r="C461" s="2"/>
      <c r="D461" s="8"/>
      <c r="E461" s="2"/>
      <c r="F461" s="2"/>
      <c r="G461" s="5"/>
      <c r="H461" s="5"/>
      <c r="I461" s="8"/>
      <c r="J461" s="8" t="str">
        <f t="shared" si="7"/>
        <v/>
      </c>
      <c r="K461" s="5"/>
      <c r="L461" s="2"/>
      <c r="M461" s="2"/>
      <c r="N461" s="2"/>
    </row>
    <row r="462" spans="1:14">
      <c r="A462" s="12"/>
      <c r="B462" s="2"/>
      <c r="C462" s="2"/>
      <c r="D462" s="8"/>
      <c r="E462" s="2"/>
      <c r="F462" s="2"/>
      <c r="G462" s="5"/>
      <c r="H462" s="5"/>
      <c r="I462" s="8"/>
      <c r="J462" s="8" t="str">
        <f t="shared" si="7"/>
        <v/>
      </c>
      <c r="K462" s="5"/>
      <c r="L462" s="2"/>
      <c r="M462" s="2"/>
      <c r="N462" s="2"/>
    </row>
    <row r="463" spans="1:14">
      <c r="A463" s="12"/>
      <c r="B463" s="2"/>
      <c r="C463" s="2"/>
      <c r="D463" s="8"/>
      <c r="E463" s="2"/>
      <c r="F463" s="2"/>
      <c r="G463" s="5"/>
      <c r="H463" s="5"/>
      <c r="I463" s="8"/>
      <c r="J463" s="8" t="str">
        <f t="shared" si="7"/>
        <v/>
      </c>
      <c r="K463" s="5"/>
      <c r="L463" s="2"/>
      <c r="M463" s="2"/>
      <c r="N463" s="2"/>
    </row>
    <row r="464" spans="1:14">
      <c r="A464" s="12"/>
      <c r="B464" s="2"/>
      <c r="C464" s="2"/>
      <c r="D464" s="8"/>
      <c r="E464" s="2"/>
      <c r="F464" s="2"/>
      <c r="G464" s="5"/>
      <c r="H464" s="5"/>
      <c r="I464" s="8"/>
      <c r="J464" s="8" t="str">
        <f t="shared" si="7"/>
        <v/>
      </c>
      <c r="K464" s="5"/>
      <c r="L464" s="2"/>
      <c r="M464" s="2"/>
      <c r="N464" s="2"/>
    </row>
    <row r="465" spans="1:14">
      <c r="A465" s="12"/>
      <c r="B465" s="2"/>
      <c r="C465" s="2"/>
      <c r="D465" s="8"/>
      <c r="E465" s="2"/>
      <c r="F465" s="2"/>
      <c r="G465" s="5"/>
      <c r="H465" s="5"/>
      <c r="I465" s="8"/>
      <c r="J465" s="8" t="str">
        <f t="shared" si="7"/>
        <v/>
      </c>
      <c r="K465" s="5"/>
      <c r="L465" s="2"/>
      <c r="M465" s="2"/>
      <c r="N465" s="2"/>
    </row>
    <row r="466" spans="1:14">
      <c r="A466" s="12"/>
      <c r="B466" s="2"/>
      <c r="C466" s="2"/>
      <c r="D466" s="8"/>
      <c r="E466" s="2"/>
      <c r="F466" s="2"/>
      <c r="G466" s="5"/>
      <c r="H466" s="5"/>
      <c r="I466" s="8"/>
      <c r="J466" s="8" t="str">
        <f t="shared" si="7"/>
        <v/>
      </c>
      <c r="K466" s="5"/>
      <c r="L466" s="2"/>
      <c r="M466" s="2"/>
      <c r="N466" s="2"/>
    </row>
    <row r="467" spans="1:14">
      <c r="A467" s="12"/>
      <c r="B467" s="2"/>
      <c r="C467" s="2"/>
      <c r="D467" s="8"/>
      <c r="E467" s="2"/>
      <c r="F467" s="2"/>
      <c r="G467" s="5"/>
      <c r="H467" s="5"/>
      <c r="I467" s="8"/>
      <c r="J467" s="8" t="str">
        <f t="shared" si="7"/>
        <v/>
      </c>
      <c r="K467" s="5"/>
      <c r="L467" s="2"/>
      <c r="M467" s="2"/>
      <c r="N467" s="2"/>
    </row>
    <row r="468" spans="1:14">
      <c r="A468" s="12"/>
      <c r="B468" s="2"/>
      <c r="C468" s="2"/>
      <c r="D468" s="8"/>
      <c r="E468" s="2"/>
      <c r="F468" s="2"/>
      <c r="G468" s="5"/>
      <c r="H468" s="5"/>
      <c r="I468" s="8"/>
      <c r="J468" s="8" t="str">
        <f t="shared" si="7"/>
        <v/>
      </c>
      <c r="K468" s="5"/>
      <c r="L468" s="2"/>
      <c r="M468" s="2"/>
      <c r="N468" s="2"/>
    </row>
    <row r="469" spans="1:14">
      <c r="A469" s="12"/>
      <c r="B469" s="2"/>
      <c r="C469" s="2"/>
      <c r="D469" s="8"/>
      <c r="E469" s="2"/>
      <c r="F469" s="2"/>
      <c r="G469" s="5"/>
      <c r="H469" s="5"/>
      <c r="I469" s="8"/>
      <c r="J469" s="8" t="str">
        <f t="shared" si="7"/>
        <v/>
      </c>
      <c r="K469" s="5"/>
      <c r="L469" s="2"/>
      <c r="M469" s="2"/>
      <c r="N469" s="2"/>
    </row>
    <row r="470" spans="1:14">
      <c r="A470" s="12"/>
      <c r="B470" s="2"/>
      <c r="C470" s="2"/>
      <c r="D470" s="8"/>
      <c r="E470" s="2"/>
      <c r="F470" s="2"/>
      <c r="G470" s="5"/>
      <c r="H470" s="5"/>
      <c r="I470" s="8"/>
      <c r="J470" s="8" t="str">
        <f t="shared" si="7"/>
        <v/>
      </c>
      <c r="K470" s="5"/>
      <c r="L470" s="2"/>
      <c r="M470" s="2"/>
      <c r="N470" s="2"/>
    </row>
    <row r="471" spans="1:14">
      <c r="A471" s="12"/>
      <c r="B471" s="2"/>
      <c r="C471" s="2"/>
      <c r="D471" s="8"/>
      <c r="E471" s="2"/>
      <c r="F471" s="2"/>
      <c r="G471" s="5"/>
      <c r="H471" s="5"/>
      <c r="I471" s="8"/>
      <c r="J471" s="8" t="str">
        <f t="shared" si="7"/>
        <v/>
      </c>
      <c r="K471" s="5"/>
      <c r="L471" s="2"/>
      <c r="M471" s="2"/>
      <c r="N471" s="2"/>
    </row>
    <row r="472" spans="1:14">
      <c r="A472" s="12"/>
      <c r="B472" s="2"/>
      <c r="C472" s="2"/>
      <c r="D472" s="8"/>
      <c r="E472" s="2"/>
      <c r="F472" s="2"/>
      <c r="G472" s="5"/>
      <c r="H472" s="5"/>
      <c r="I472" s="8"/>
      <c r="J472" s="8" t="str">
        <f t="shared" si="7"/>
        <v/>
      </c>
      <c r="K472" s="5"/>
      <c r="L472" s="2"/>
      <c r="M472" s="2"/>
      <c r="N472" s="2"/>
    </row>
    <row r="473" spans="1:14">
      <c r="A473" s="12"/>
      <c r="B473" s="2"/>
      <c r="C473" s="2"/>
      <c r="D473" s="8"/>
      <c r="E473" s="2"/>
      <c r="F473" s="2"/>
      <c r="G473" s="5"/>
      <c r="H473" s="5"/>
      <c r="I473" s="8"/>
      <c r="J473" s="8" t="str">
        <f t="shared" si="7"/>
        <v/>
      </c>
      <c r="K473" s="5"/>
      <c r="L473" s="2"/>
      <c r="M473" s="2"/>
      <c r="N473" s="2"/>
    </row>
    <row r="474" spans="1:14">
      <c r="A474" s="12"/>
      <c r="B474" s="2"/>
      <c r="C474" s="2"/>
      <c r="D474" s="8"/>
      <c r="E474" s="2"/>
      <c r="F474" s="2"/>
      <c r="G474" s="5"/>
      <c r="H474" s="5"/>
      <c r="I474" s="8"/>
      <c r="J474" s="8" t="str">
        <f t="shared" si="7"/>
        <v/>
      </c>
      <c r="K474" s="5"/>
      <c r="L474" s="2"/>
      <c r="M474" s="2"/>
      <c r="N474" s="2"/>
    </row>
    <row r="475" spans="1:14">
      <c r="A475" s="12"/>
      <c r="B475" s="2"/>
      <c r="C475" s="2"/>
      <c r="D475" s="8"/>
      <c r="E475" s="2"/>
      <c r="F475" s="2"/>
      <c r="G475" s="5"/>
      <c r="H475" s="5"/>
      <c r="I475" s="8"/>
      <c r="J475" s="8" t="str">
        <f t="shared" si="7"/>
        <v/>
      </c>
      <c r="K475" s="5"/>
      <c r="L475" s="2"/>
      <c r="M475" s="2"/>
      <c r="N475" s="2"/>
    </row>
    <row r="476" spans="1:14">
      <c r="A476" s="12"/>
      <c r="B476" s="2"/>
      <c r="C476" s="2"/>
      <c r="D476" s="8"/>
      <c r="E476" s="2"/>
      <c r="F476" s="2"/>
      <c r="G476" s="5"/>
      <c r="H476" s="5"/>
      <c r="I476" s="8"/>
      <c r="J476" s="8" t="str">
        <f t="shared" si="7"/>
        <v/>
      </c>
      <c r="K476" s="5"/>
      <c r="L476" s="2"/>
      <c r="M476" s="2"/>
      <c r="N476" s="2"/>
    </row>
    <row r="477" spans="1:14">
      <c r="A477" s="12"/>
      <c r="B477" s="2"/>
      <c r="C477" s="2"/>
      <c r="D477" s="8"/>
      <c r="E477" s="2"/>
      <c r="F477" s="2"/>
      <c r="G477" s="5"/>
      <c r="H477" s="5"/>
      <c r="I477" s="8"/>
      <c r="J477" s="8" t="str">
        <f t="shared" si="7"/>
        <v/>
      </c>
      <c r="K477" s="5"/>
      <c r="L477" s="2"/>
      <c r="M477" s="2"/>
      <c r="N477" s="2"/>
    </row>
    <row r="478" spans="1:14">
      <c r="A478" s="12"/>
      <c r="B478" s="2"/>
      <c r="C478" s="2"/>
      <c r="D478" s="8"/>
      <c r="E478" s="2"/>
      <c r="F478" s="2"/>
      <c r="G478" s="5"/>
      <c r="H478" s="5"/>
      <c r="I478" s="8"/>
      <c r="J478" s="8" t="str">
        <f t="shared" si="7"/>
        <v/>
      </c>
      <c r="K478" s="5"/>
      <c r="L478" s="2"/>
      <c r="M478" s="2"/>
      <c r="N478" s="2"/>
    </row>
    <row r="479" spans="1:14">
      <c r="A479" s="12"/>
      <c r="B479" s="2"/>
      <c r="C479" s="2"/>
      <c r="D479" s="8"/>
      <c r="E479" s="2"/>
      <c r="F479" s="2"/>
      <c r="G479" s="5"/>
      <c r="H479" s="5"/>
      <c r="I479" s="8"/>
      <c r="J479" s="8" t="str">
        <f t="shared" si="7"/>
        <v/>
      </c>
      <c r="K479" s="5"/>
      <c r="L479" s="2"/>
      <c r="M479" s="2"/>
      <c r="N479" s="2"/>
    </row>
    <row r="480" spans="1:14">
      <c r="A480" s="12"/>
      <c r="B480" s="2"/>
      <c r="C480" s="2"/>
      <c r="D480" s="8"/>
      <c r="E480" s="2"/>
      <c r="F480" s="2"/>
      <c r="G480" s="5"/>
      <c r="H480" s="5"/>
      <c r="I480" s="8"/>
      <c r="J480" s="8" t="str">
        <f t="shared" si="7"/>
        <v/>
      </c>
      <c r="K480" s="5"/>
      <c r="L480" s="2"/>
      <c r="M480" s="2"/>
      <c r="N480" s="2"/>
    </row>
    <row r="481" spans="1:14">
      <c r="A481" s="12"/>
      <c r="B481" s="2"/>
      <c r="C481" s="2"/>
      <c r="D481" s="8"/>
      <c r="E481" s="2"/>
      <c r="F481" s="2"/>
      <c r="G481" s="5"/>
      <c r="H481" s="5"/>
      <c r="I481" s="8"/>
      <c r="J481" s="8" t="str">
        <f t="shared" si="7"/>
        <v/>
      </c>
      <c r="K481" s="5"/>
      <c r="L481" s="2"/>
      <c r="M481" s="2"/>
      <c r="N481" s="2"/>
    </row>
    <row r="482" spans="1:14">
      <c r="A482" s="12"/>
      <c r="B482" s="2"/>
      <c r="C482" s="2"/>
      <c r="D482" s="8"/>
      <c r="E482" s="2"/>
      <c r="F482" s="2"/>
      <c r="G482" s="5"/>
      <c r="H482" s="5"/>
      <c r="I482" s="8"/>
      <c r="J482" s="8" t="str">
        <f t="shared" si="7"/>
        <v/>
      </c>
      <c r="K482" s="5"/>
      <c r="L482" s="2"/>
      <c r="M482" s="2"/>
      <c r="N482" s="2"/>
    </row>
    <row r="483" spans="1:14">
      <c r="A483" s="12"/>
      <c r="B483" s="2"/>
      <c r="C483" s="2"/>
      <c r="D483" s="8"/>
      <c r="E483" s="2"/>
      <c r="F483" s="2"/>
      <c r="G483" s="5"/>
      <c r="H483" s="5"/>
      <c r="I483" s="8"/>
      <c r="J483" s="8" t="str">
        <f t="shared" si="7"/>
        <v/>
      </c>
      <c r="K483" s="5"/>
      <c r="L483" s="2"/>
      <c r="M483" s="2"/>
      <c r="N483" s="2"/>
    </row>
    <row r="484" spans="1:14">
      <c r="A484" s="12"/>
      <c r="B484" s="2"/>
      <c r="C484" s="2"/>
      <c r="D484" s="8"/>
      <c r="E484" s="2"/>
      <c r="F484" s="2"/>
      <c r="G484" s="5"/>
      <c r="H484" s="5"/>
      <c r="I484" s="8"/>
      <c r="J484" s="8" t="str">
        <f t="shared" si="7"/>
        <v/>
      </c>
      <c r="K484" s="5"/>
      <c r="L484" s="2"/>
      <c r="M484" s="2"/>
      <c r="N484" s="2"/>
    </row>
    <row r="485" spans="1:14">
      <c r="A485" s="12"/>
      <c r="B485" s="2"/>
      <c r="C485" s="2"/>
      <c r="D485" s="8"/>
      <c r="E485" s="2"/>
      <c r="F485" s="2"/>
      <c r="G485" s="5"/>
      <c r="H485" s="5"/>
      <c r="I485" s="8"/>
      <c r="J485" s="8" t="str">
        <f t="shared" si="7"/>
        <v/>
      </c>
      <c r="K485" s="5"/>
      <c r="L485" s="2"/>
      <c r="M485" s="2"/>
      <c r="N485" s="2"/>
    </row>
    <row r="486" spans="1:14">
      <c r="A486" s="12"/>
      <c r="B486" s="2"/>
      <c r="C486" s="2"/>
      <c r="D486" s="8"/>
      <c r="E486" s="2"/>
      <c r="F486" s="2"/>
      <c r="G486" s="5"/>
      <c r="H486" s="5"/>
      <c r="I486" s="8"/>
      <c r="J486" s="8" t="str">
        <f t="shared" si="7"/>
        <v/>
      </c>
      <c r="K486" s="5"/>
      <c r="L486" s="2"/>
      <c r="M486" s="2"/>
      <c r="N486" s="2"/>
    </row>
    <row r="487" spans="1:14">
      <c r="A487" s="12"/>
      <c r="B487" s="2"/>
      <c r="C487" s="2"/>
      <c r="D487" s="8"/>
      <c r="E487" s="2"/>
      <c r="F487" s="2"/>
      <c r="G487" s="5"/>
      <c r="H487" s="5"/>
      <c r="I487" s="8"/>
      <c r="J487" s="8" t="str">
        <f t="shared" si="7"/>
        <v/>
      </c>
      <c r="K487" s="5"/>
      <c r="L487" s="2"/>
      <c r="M487" s="2"/>
      <c r="N487" s="2"/>
    </row>
    <row r="488" spans="1:14">
      <c r="A488" s="12"/>
      <c r="B488" s="2"/>
      <c r="C488" s="2"/>
      <c r="D488" s="8"/>
      <c r="E488" s="2"/>
      <c r="F488" s="2"/>
      <c r="G488" s="5"/>
      <c r="H488" s="5"/>
      <c r="I488" s="8"/>
      <c r="J488" s="8" t="str">
        <f t="shared" si="7"/>
        <v/>
      </c>
      <c r="K488" s="5"/>
      <c r="L488" s="2"/>
      <c r="M488" s="2"/>
      <c r="N488" s="2"/>
    </row>
    <row r="489" spans="1:14">
      <c r="A489" s="12"/>
      <c r="B489" s="2"/>
      <c r="C489" s="2"/>
      <c r="D489" s="8"/>
      <c r="E489" s="2"/>
      <c r="F489" s="2"/>
      <c r="G489" s="5"/>
      <c r="H489" s="5"/>
      <c r="I489" s="8"/>
      <c r="J489" s="8" t="str">
        <f t="shared" si="7"/>
        <v/>
      </c>
      <c r="K489" s="5"/>
      <c r="L489" s="2"/>
      <c r="M489" s="2"/>
      <c r="N489" s="2"/>
    </row>
    <row r="490" spans="1:14">
      <c r="A490" s="12"/>
      <c r="B490" s="2"/>
      <c r="C490" s="2"/>
      <c r="D490" s="8"/>
      <c r="E490" s="2"/>
      <c r="F490" s="2"/>
      <c r="G490" s="5"/>
      <c r="H490" s="5"/>
      <c r="I490" s="8"/>
      <c r="J490" s="8" t="str">
        <f t="shared" si="7"/>
        <v/>
      </c>
      <c r="K490" s="5"/>
      <c r="L490" s="2"/>
      <c r="M490" s="2"/>
      <c r="N490" s="2"/>
    </row>
    <row r="491" spans="1:14">
      <c r="A491" s="12"/>
      <c r="B491" s="2"/>
      <c r="C491" s="2"/>
      <c r="D491" s="8"/>
      <c r="E491" s="2"/>
      <c r="F491" s="2"/>
      <c r="G491" s="5"/>
      <c r="H491" s="5"/>
      <c r="I491" s="8"/>
      <c r="J491" s="8" t="str">
        <f t="shared" si="7"/>
        <v/>
      </c>
      <c r="K491" s="5"/>
      <c r="L491" s="2"/>
      <c r="M491" s="2"/>
      <c r="N491" s="2"/>
    </row>
    <row r="492" spans="1:14">
      <c r="A492" s="12"/>
      <c r="B492" s="2"/>
      <c r="C492" s="2"/>
      <c r="D492" s="8"/>
      <c r="E492" s="2"/>
      <c r="F492" s="2"/>
      <c r="G492" s="5"/>
      <c r="H492" s="5"/>
      <c r="I492" s="8"/>
      <c r="J492" s="8" t="str">
        <f t="shared" si="7"/>
        <v/>
      </c>
      <c r="K492" s="5"/>
      <c r="L492" s="2"/>
      <c r="M492" s="2"/>
      <c r="N492" s="2"/>
    </row>
    <row r="493" spans="1:14">
      <c r="A493" s="12"/>
      <c r="B493" s="2"/>
      <c r="C493" s="2"/>
      <c r="D493" s="8"/>
      <c r="E493" s="2"/>
      <c r="F493" s="2"/>
      <c r="G493" s="5"/>
      <c r="H493" s="5"/>
      <c r="I493" s="8"/>
      <c r="J493" s="8" t="str">
        <f t="shared" si="7"/>
        <v/>
      </c>
      <c r="K493" s="5"/>
      <c r="L493" s="2"/>
      <c r="M493" s="2"/>
      <c r="N493" s="2"/>
    </row>
    <row r="494" spans="1:14">
      <c r="A494" s="12"/>
      <c r="B494" s="2"/>
      <c r="C494" s="2"/>
      <c r="D494" s="8"/>
      <c r="E494" s="2"/>
      <c r="F494" s="2"/>
      <c r="G494" s="5"/>
      <c r="H494" s="5"/>
      <c r="I494" s="8"/>
      <c r="J494" s="8" t="str">
        <f t="shared" si="7"/>
        <v/>
      </c>
      <c r="K494" s="5"/>
      <c r="L494" s="2"/>
      <c r="M494" s="2"/>
      <c r="N494" s="2"/>
    </row>
    <row r="495" spans="1:14">
      <c r="A495" s="12"/>
      <c r="B495" s="2"/>
      <c r="C495" s="2"/>
      <c r="D495" s="8"/>
      <c r="E495" s="2"/>
      <c r="F495" s="2"/>
      <c r="G495" s="5"/>
      <c r="H495" s="5"/>
      <c r="I495" s="8"/>
      <c r="J495" s="8" t="str">
        <f t="shared" si="7"/>
        <v/>
      </c>
      <c r="K495" s="5"/>
      <c r="L495" s="2"/>
      <c r="M495" s="2"/>
      <c r="N495" s="2"/>
    </row>
    <row r="496" spans="1:14">
      <c r="A496" s="12"/>
      <c r="B496" s="2"/>
      <c r="C496" s="2"/>
      <c r="D496" s="8"/>
      <c r="E496" s="2"/>
      <c r="F496" s="2"/>
      <c r="G496" s="5"/>
      <c r="H496" s="5"/>
      <c r="I496" s="8"/>
      <c r="J496" s="8" t="str">
        <f t="shared" si="7"/>
        <v/>
      </c>
      <c r="K496" s="5"/>
      <c r="L496" s="2"/>
      <c r="M496" s="2"/>
      <c r="N496" s="2"/>
    </row>
    <row r="497" spans="1:14">
      <c r="A497" s="12"/>
      <c r="B497" s="2"/>
      <c r="C497" s="2"/>
      <c r="D497" s="8"/>
      <c r="E497" s="2"/>
      <c r="F497" s="2"/>
      <c r="G497" s="5"/>
      <c r="H497" s="5"/>
      <c r="I497" s="8"/>
      <c r="J497" s="8" t="str">
        <f t="shared" si="7"/>
        <v/>
      </c>
      <c r="K497" s="5"/>
      <c r="L497" s="2"/>
      <c r="M497" s="2"/>
      <c r="N497" s="2"/>
    </row>
    <row r="498" spans="1:14">
      <c r="A498" s="12"/>
      <c r="B498" s="2"/>
      <c r="C498" s="2"/>
      <c r="D498" s="8"/>
      <c r="E498" s="2"/>
      <c r="F498" s="2"/>
      <c r="G498" s="5"/>
      <c r="H498" s="5"/>
      <c r="I498" s="8"/>
      <c r="J498" s="8" t="str">
        <f t="shared" si="7"/>
        <v/>
      </c>
      <c r="K498" s="5"/>
      <c r="L498" s="2"/>
      <c r="M498" s="2"/>
      <c r="N498" s="2"/>
    </row>
    <row r="499" spans="1:14">
      <c r="A499" s="12"/>
      <c r="B499" s="2"/>
      <c r="C499" s="2"/>
      <c r="D499" s="8"/>
      <c r="E499" s="2"/>
      <c r="F499" s="2"/>
      <c r="G499" s="5"/>
      <c r="H499" s="5"/>
      <c r="I499" s="8"/>
      <c r="J499" s="8" t="str">
        <f t="shared" si="7"/>
        <v/>
      </c>
      <c r="K499" s="5"/>
      <c r="L499" s="2"/>
      <c r="M499" s="2"/>
      <c r="N499" s="2"/>
    </row>
    <row r="500" spans="1:14">
      <c r="A500" s="12"/>
      <c r="B500" s="2"/>
      <c r="C500" s="2"/>
      <c r="D500" s="8"/>
      <c r="E500" s="2"/>
      <c r="F500" s="2"/>
      <c r="G500" s="5"/>
      <c r="H500" s="5"/>
      <c r="I500" s="8"/>
      <c r="J500" s="8" t="str">
        <f t="shared" si="7"/>
        <v/>
      </c>
      <c r="K500" s="5"/>
      <c r="L500" s="2"/>
      <c r="M500" s="2"/>
      <c r="N500" s="2"/>
    </row>
  </sheetData>
  <mergeCells count="1">
    <mergeCell ref="A1:N1"/>
  </mergeCells>
  <conditionalFormatting sqref="E4:E500">
    <cfRule type="expression" dxfId="23" priority="1">
      <formula>E4="Pendiente"</formula>
    </cfRule>
    <cfRule type="expression" dxfId="22" priority="2">
      <formula>E4="Pagada"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00"/>
  <sheetViews>
    <sheetView workbookViewId="0"/>
  </sheetViews>
  <sheetFormatPr baseColWidth="10" defaultColWidth="8.6640625" defaultRowHeight="14"/>
  <cols>
    <col min="1" max="1" width="8.5" customWidth="1"/>
    <col min="2" max="2" width="7.75" customWidth="1"/>
    <col min="3" max="3" width="13.9140625" customWidth="1"/>
    <col min="4" max="4" width="14.25" customWidth="1"/>
    <col min="5" max="5" width="3.1640625" customWidth="1"/>
    <col min="6" max="6" width="8.1640625" customWidth="1"/>
    <col min="7" max="7" width="7.1640625" customWidth="1"/>
    <col min="8" max="8" width="6.08203125" customWidth="1"/>
    <col min="9" max="9" width="11.9140625" customWidth="1"/>
    <col min="10" max="10" width="6.1640625" customWidth="1"/>
    <col min="11" max="11" width="17.4140625" customWidth="1"/>
    <col min="12" max="12" width="17.58203125" customWidth="1"/>
    <col min="13" max="13" width="12.25" customWidth="1"/>
  </cols>
  <sheetData>
    <row r="1" spans="1:13" ht="15.15" customHeight="1">
      <c r="A1" s="43" t="s">
        <v>281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>
      <c r="A2" s="10"/>
    </row>
    <row r="3" spans="1:13" ht="13.4" customHeight="1">
      <c r="A3" s="11" t="s">
        <v>282</v>
      </c>
      <c r="B3" s="1" t="s">
        <v>212</v>
      </c>
      <c r="C3" s="1" t="s">
        <v>213</v>
      </c>
      <c r="D3" s="1" t="s">
        <v>214</v>
      </c>
      <c r="E3" s="1" t="s">
        <v>215</v>
      </c>
      <c r="F3" s="1" t="s">
        <v>180</v>
      </c>
      <c r="G3" s="1" t="s">
        <v>161</v>
      </c>
      <c r="H3" s="1" t="s">
        <v>162</v>
      </c>
      <c r="I3" s="1" t="s">
        <v>283</v>
      </c>
      <c r="J3" s="1" t="s">
        <v>165</v>
      </c>
      <c r="K3" s="1" t="s">
        <v>284</v>
      </c>
      <c r="L3" s="1" t="s">
        <v>285</v>
      </c>
      <c r="M3" s="1" t="s">
        <v>198</v>
      </c>
    </row>
    <row r="4" spans="1:13">
      <c r="A4" s="12"/>
      <c r="B4" s="2"/>
      <c r="C4" s="2"/>
      <c r="D4" s="2"/>
      <c r="E4" s="2"/>
      <c r="F4" s="2"/>
      <c r="G4" s="2"/>
      <c r="H4" s="2"/>
      <c r="I4" s="5"/>
      <c r="J4" s="2"/>
      <c r="K4" s="6"/>
      <c r="L4" s="9"/>
      <c r="M4" s="2"/>
    </row>
    <row r="5" spans="1:13">
      <c r="A5" s="12"/>
      <c r="B5" s="2"/>
      <c r="C5" s="2"/>
      <c r="D5" s="2"/>
      <c r="E5" s="2"/>
      <c r="F5" s="2"/>
      <c r="G5" s="2"/>
      <c r="H5" s="2"/>
      <c r="I5" s="5"/>
      <c r="J5" s="2"/>
      <c r="K5" s="6"/>
      <c r="L5" s="9"/>
      <c r="M5" s="2"/>
    </row>
    <row r="6" spans="1:13">
      <c r="A6" s="12"/>
      <c r="B6" s="2"/>
      <c r="C6" s="2"/>
      <c r="D6" s="2"/>
      <c r="E6" s="2"/>
      <c r="F6" s="2"/>
      <c r="G6" s="2"/>
      <c r="H6" s="2"/>
      <c r="I6" s="5"/>
      <c r="J6" s="2"/>
      <c r="K6" s="6"/>
      <c r="L6" s="9"/>
      <c r="M6" s="2"/>
    </row>
    <row r="7" spans="1:13">
      <c r="A7" s="12"/>
      <c r="B7" s="2"/>
      <c r="C7" s="2"/>
      <c r="D7" s="2"/>
      <c r="E7" s="2"/>
      <c r="F7" s="2"/>
      <c r="G7" s="2"/>
      <c r="H7" s="2"/>
      <c r="I7" s="5"/>
      <c r="J7" s="2"/>
      <c r="K7" s="6"/>
      <c r="L7" s="9"/>
      <c r="M7" s="2"/>
    </row>
    <row r="8" spans="1:13">
      <c r="A8" s="12"/>
      <c r="B8" s="2"/>
      <c r="C8" s="2"/>
      <c r="D8" s="2"/>
      <c r="E8" s="2"/>
      <c r="F8" s="2"/>
      <c r="G8" s="2"/>
      <c r="H8" s="2"/>
      <c r="I8" s="5"/>
      <c r="J8" s="2"/>
      <c r="K8" s="6"/>
      <c r="L8" s="9"/>
      <c r="M8" s="2"/>
    </row>
    <row r="9" spans="1:13">
      <c r="A9" s="12"/>
      <c r="B9" s="2"/>
      <c r="C9" s="2"/>
      <c r="D9" s="2"/>
      <c r="E9" s="2"/>
      <c r="F9" s="2"/>
      <c r="G9" s="2"/>
      <c r="H9" s="2"/>
      <c r="I9" s="5"/>
      <c r="J9" s="2"/>
      <c r="K9" s="6"/>
      <c r="L9" s="9"/>
      <c r="M9" s="2"/>
    </row>
    <row r="10" spans="1:13">
      <c r="A10" s="12"/>
      <c r="B10" s="2"/>
      <c r="C10" s="2"/>
      <c r="D10" s="2"/>
      <c r="E10" s="2"/>
      <c r="F10" s="2"/>
      <c r="G10" s="2"/>
      <c r="H10" s="2"/>
      <c r="I10" s="5"/>
      <c r="J10" s="2"/>
      <c r="K10" s="6"/>
      <c r="L10" s="9"/>
      <c r="M10" s="2"/>
    </row>
    <row r="11" spans="1:13">
      <c r="A11" s="12"/>
      <c r="B11" s="2"/>
      <c r="C11" s="2"/>
      <c r="D11" s="2"/>
      <c r="E11" s="2"/>
      <c r="F11" s="2"/>
      <c r="G11" s="2"/>
      <c r="H11" s="2"/>
      <c r="I11" s="5"/>
      <c r="J11" s="2"/>
      <c r="K11" s="6"/>
      <c r="L11" s="9"/>
      <c r="M11" s="2"/>
    </row>
    <row r="12" spans="1:13">
      <c r="A12" s="12"/>
      <c r="B12" s="2"/>
      <c r="C12" s="2"/>
      <c r="D12" s="2"/>
      <c r="E12" s="2"/>
      <c r="F12" s="2"/>
      <c r="G12" s="2"/>
      <c r="H12" s="2"/>
      <c r="I12" s="5"/>
      <c r="J12" s="2"/>
      <c r="K12" s="6"/>
      <c r="L12" s="9"/>
      <c r="M12" s="2"/>
    </row>
    <row r="13" spans="1:13">
      <c r="A13" s="12"/>
      <c r="B13" s="2"/>
      <c r="C13" s="2"/>
      <c r="D13" s="2"/>
      <c r="E13" s="2"/>
      <c r="F13" s="2"/>
      <c r="G13" s="2"/>
      <c r="H13" s="2"/>
      <c r="I13" s="5"/>
      <c r="J13" s="2"/>
      <c r="K13" s="6"/>
      <c r="L13" s="9"/>
      <c r="M13" s="2"/>
    </row>
    <row r="14" spans="1:13">
      <c r="A14" s="12"/>
      <c r="B14" s="2"/>
      <c r="C14" s="2"/>
      <c r="D14" s="2"/>
      <c r="E14" s="2"/>
      <c r="F14" s="2"/>
      <c r="G14" s="2"/>
      <c r="H14" s="2"/>
      <c r="I14" s="5"/>
      <c r="J14" s="2"/>
      <c r="K14" s="6"/>
      <c r="L14" s="9"/>
      <c r="M14" s="2"/>
    </row>
    <row r="15" spans="1:13">
      <c r="A15" s="12"/>
      <c r="B15" s="2"/>
      <c r="C15" s="2"/>
      <c r="D15" s="2"/>
      <c r="E15" s="2"/>
      <c r="F15" s="2"/>
      <c r="G15" s="2"/>
      <c r="H15" s="2"/>
      <c r="I15" s="5"/>
      <c r="J15" s="2"/>
      <c r="K15" s="6"/>
      <c r="L15" s="9"/>
      <c r="M15" s="2"/>
    </row>
    <row r="16" spans="1:13">
      <c r="A16" s="12"/>
      <c r="B16" s="2"/>
      <c r="C16" s="2"/>
      <c r="D16" s="2"/>
      <c r="E16" s="2"/>
      <c r="F16" s="2"/>
      <c r="G16" s="2"/>
      <c r="H16" s="2"/>
      <c r="I16" s="5"/>
      <c r="J16" s="2"/>
      <c r="K16" s="6"/>
      <c r="L16" s="9"/>
      <c r="M16" s="2"/>
    </row>
    <row r="17" spans="1:13">
      <c r="A17" s="12"/>
      <c r="B17" s="2"/>
      <c r="C17" s="2"/>
      <c r="D17" s="2"/>
      <c r="E17" s="2"/>
      <c r="F17" s="2"/>
      <c r="G17" s="2"/>
      <c r="H17" s="2"/>
      <c r="I17" s="5"/>
      <c r="J17" s="2"/>
      <c r="K17" s="6"/>
      <c r="L17" s="9"/>
      <c r="M17" s="2"/>
    </row>
    <row r="18" spans="1:13">
      <c r="A18" s="12"/>
      <c r="B18" s="2"/>
      <c r="C18" s="2"/>
      <c r="D18" s="2"/>
      <c r="E18" s="2"/>
      <c r="F18" s="2"/>
      <c r="G18" s="2"/>
      <c r="H18" s="2"/>
      <c r="I18" s="5"/>
      <c r="J18" s="2"/>
      <c r="K18" s="6"/>
      <c r="L18" s="9"/>
      <c r="M18" s="2"/>
    </row>
    <row r="19" spans="1:13">
      <c r="A19" s="12"/>
      <c r="B19" s="2"/>
      <c r="C19" s="2"/>
      <c r="D19" s="2"/>
      <c r="E19" s="2"/>
      <c r="F19" s="2"/>
      <c r="G19" s="2"/>
      <c r="H19" s="2"/>
      <c r="I19" s="5"/>
      <c r="J19" s="2"/>
      <c r="K19" s="6"/>
      <c r="L19" s="9"/>
      <c r="M19" s="2"/>
    </row>
    <row r="20" spans="1:13">
      <c r="A20" s="12"/>
      <c r="B20" s="2"/>
      <c r="C20" s="2"/>
      <c r="D20" s="2"/>
      <c r="E20" s="2"/>
      <c r="F20" s="2"/>
      <c r="G20" s="2"/>
      <c r="H20" s="2"/>
      <c r="I20" s="5"/>
      <c r="J20" s="2"/>
      <c r="K20" s="6"/>
      <c r="L20" s="9"/>
      <c r="M20" s="2"/>
    </row>
    <row r="21" spans="1:13">
      <c r="A21" s="12"/>
      <c r="B21" s="2"/>
      <c r="C21" s="2"/>
      <c r="D21" s="2"/>
      <c r="E21" s="2"/>
      <c r="F21" s="2"/>
      <c r="G21" s="2"/>
      <c r="H21" s="2"/>
      <c r="I21" s="5"/>
      <c r="J21" s="2"/>
      <c r="K21" s="6"/>
      <c r="L21" s="9"/>
      <c r="M21" s="2"/>
    </row>
    <row r="22" spans="1:13">
      <c r="A22" s="12"/>
      <c r="B22" s="2"/>
      <c r="C22" s="2"/>
      <c r="D22" s="2"/>
      <c r="E22" s="2"/>
      <c r="F22" s="2"/>
      <c r="G22" s="2"/>
      <c r="H22" s="2"/>
      <c r="I22" s="5"/>
      <c r="J22" s="2"/>
      <c r="K22" s="6"/>
      <c r="L22" s="9"/>
      <c r="M22" s="2"/>
    </row>
    <row r="23" spans="1:13">
      <c r="A23" s="12"/>
      <c r="B23" s="2"/>
      <c r="C23" s="2"/>
      <c r="D23" s="2"/>
      <c r="E23" s="2"/>
      <c r="F23" s="2"/>
      <c r="G23" s="2"/>
      <c r="H23" s="2"/>
      <c r="I23" s="5"/>
      <c r="J23" s="2"/>
      <c r="K23" s="6"/>
      <c r="L23" s="9"/>
      <c r="M23" s="2"/>
    </row>
    <row r="24" spans="1:13">
      <c r="A24" s="12"/>
      <c r="B24" s="2"/>
      <c r="C24" s="2"/>
      <c r="D24" s="2"/>
      <c r="E24" s="2"/>
      <c r="F24" s="2"/>
      <c r="G24" s="2"/>
      <c r="H24" s="2"/>
      <c r="I24" s="5"/>
      <c r="J24" s="2"/>
      <c r="K24" s="6"/>
      <c r="L24" s="9"/>
      <c r="M24" s="2"/>
    </row>
    <row r="25" spans="1:13">
      <c r="A25" s="12"/>
      <c r="B25" s="2"/>
      <c r="C25" s="2"/>
      <c r="D25" s="2"/>
      <c r="E25" s="2"/>
      <c r="F25" s="2"/>
      <c r="G25" s="2"/>
      <c r="H25" s="2"/>
      <c r="I25" s="5"/>
      <c r="J25" s="2"/>
      <c r="K25" s="6"/>
      <c r="L25" s="9"/>
      <c r="M25" s="2"/>
    </row>
    <row r="26" spans="1:13">
      <c r="A26" s="12"/>
      <c r="B26" s="2"/>
      <c r="C26" s="2"/>
      <c r="D26" s="2"/>
      <c r="E26" s="2"/>
      <c r="F26" s="2"/>
      <c r="G26" s="2"/>
      <c r="H26" s="2"/>
      <c r="I26" s="5"/>
      <c r="J26" s="2"/>
      <c r="K26" s="6"/>
      <c r="L26" s="9"/>
      <c r="M26" s="2"/>
    </row>
    <row r="27" spans="1:13">
      <c r="A27" s="12"/>
      <c r="B27" s="2"/>
      <c r="C27" s="2"/>
      <c r="D27" s="2"/>
      <c r="E27" s="2"/>
      <c r="F27" s="2"/>
      <c r="G27" s="2"/>
      <c r="H27" s="2"/>
      <c r="I27" s="5"/>
      <c r="J27" s="2"/>
      <c r="K27" s="6"/>
      <c r="L27" s="9"/>
      <c r="M27" s="2"/>
    </row>
    <row r="28" spans="1:13">
      <c r="A28" s="12"/>
      <c r="B28" s="2"/>
      <c r="C28" s="2"/>
      <c r="D28" s="2"/>
      <c r="E28" s="2"/>
      <c r="F28" s="2"/>
      <c r="G28" s="2"/>
      <c r="H28" s="2"/>
      <c r="I28" s="5"/>
      <c r="J28" s="2"/>
      <c r="K28" s="6"/>
      <c r="L28" s="9"/>
      <c r="M28" s="2"/>
    </row>
    <row r="29" spans="1:13">
      <c r="A29" s="12"/>
      <c r="B29" s="2"/>
      <c r="C29" s="2"/>
      <c r="D29" s="2"/>
      <c r="E29" s="2"/>
      <c r="F29" s="2"/>
      <c r="G29" s="2"/>
      <c r="H29" s="2"/>
      <c r="I29" s="5"/>
      <c r="J29" s="2"/>
      <c r="K29" s="6"/>
      <c r="L29" s="9"/>
      <c r="M29" s="2"/>
    </row>
    <row r="30" spans="1:13">
      <c r="A30" s="12"/>
      <c r="B30" s="2"/>
      <c r="C30" s="2"/>
      <c r="D30" s="2"/>
      <c r="E30" s="2"/>
      <c r="F30" s="2"/>
      <c r="G30" s="2"/>
      <c r="H30" s="2"/>
      <c r="I30" s="5"/>
      <c r="J30" s="2"/>
      <c r="K30" s="6"/>
      <c r="L30" s="9"/>
      <c r="M30" s="2"/>
    </row>
    <row r="31" spans="1:13">
      <c r="A31" s="12"/>
      <c r="B31" s="2"/>
      <c r="C31" s="2"/>
      <c r="D31" s="2"/>
      <c r="E31" s="2"/>
      <c r="F31" s="2"/>
      <c r="G31" s="2"/>
      <c r="H31" s="2"/>
      <c r="I31" s="5"/>
      <c r="J31" s="2"/>
      <c r="K31" s="6"/>
      <c r="L31" s="9"/>
      <c r="M31" s="2"/>
    </row>
    <row r="32" spans="1:13">
      <c r="A32" s="12"/>
      <c r="B32" s="2"/>
      <c r="C32" s="2"/>
      <c r="D32" s="2"/>
      <c r="E32" s="2"/>
      <c r="F32" s="2"/>
      <c r="G32" s="2"/>
      <c r="H32" s="2"/>
      <c r="I32" s="5"/>
      <c r="J32" s="2"/>
      <c r="K32" s="6"/>
      <c r="L32" s="9"/>
      <c r="M32" s="2"/>
    </row>
    <row r="33" spans="1:13">
      <c r="A33" s="12"/>
      <c r="B33" s="2"/>
      <c r="C33" s="2"/>
      <c r="D33" s="2"/>
      <c r="E33" s="2"/>
      <c r="F33" s="2"/>
      <c r="G33" s="2"/>
      <c r="H33" s="2"/>
      <c r="I33" s="5"/>
      <c r="J33" s="2"/>
      <c r="K33" s="6"/>
      <c r="L33" s="9"/>
      <c r="M33" s="2"/>
    </row>
    <row r="34" spans="1:13">
      <c r="A34" s="12"/>
      <c r="B34" s="2"/>
      <c r="C34" s="2"/>
      <c r="D34" s="2"/>
      <c r="E34" s="2"/>
      <c r="F34" s="2"/>
      <c r="G34" s="2"/>
      <c r="H34" s="2"/>
      <c r="I34" s="5"/>
      <c r="J34" s="2"/>
      <c r="K34" s="6"/>
      <c r="L34" s="9"/>
      <c r="M34" s="2"/>
    </row>
    <row r="35" spans="1:13">
      <c r="A35" s="12"/>
      <c r="B35" s="2"/>
      <c r="C35" s="2"/>
      <c r="D35" s="2"/>
      <c r="E35" s="2"/>
      <c r="F35" s="2"/>
      <c r="G35" s="2"/>
      <c r="H35" s="2"/>
      <c r="I35" s="5"/>
      <c r="J35" s="2"/>
      <c r="K35" s="6"/>
      <c r="L35" s="9"/>
      <c r="M35" s="2"/>
    </row>
    <row r="36" spans="1:13">
      <c r="A36" s="12"/>
      <c r="B36" s="2"/>
      <c r="C36" s="2"/>
      <c r="D36" s="2"/>
      <c r="E36" s="2"/>
      <c r="F36" s="2"/>
      <c r="G36" s="2"/>
      <c r="H36" s="2"/>
      <c r="I36" s="5"/>
      <c r="J36" s="2"/>
      <c r="K36" s="6"/>
      <c r="L36" s="9"/>
      <c r="M36" s="2"/>
    </row>
    <row r="37" spans="1:13">
      <c r="A37" s="12"/>
      <c r="B37" s="2"/>
      <c r="C37" s="2"/>
      <c r="D37" s="2"/>
      <c r="E37" s="2"/>
      <c r="F37" s="2"/>
      <c r="G37" s="2"/>
      <c r="H37" s="2"/>
      <c r="I37" s="5"/>
      <c r="J37" s="2"/>
      <c r="K37" s="6"/>
      <c r="L37" s="9"/>
      <c r="M37" s="2"/>
    </row>
    <row r="38" spans="1:13">
      <c r="A38" s="12"/>
      <c r="B38" s="2"/>
      <c r="C38" s="2"/>
      <c r="D38" s="2"/>
      <c r="E38" s="2"/>
      <c r="F38" s="2"/>
      <c r="G38" s="2"/>
      <c r="H38" s="2"/>
      <c r="I38" s="5"/>
      <c r="J38" s="2"/>
      <c r="K38" s="6"/>
      <c r="L38" s="9"/>
      <c r="M38" s="2"/>
    </row>
    <row r="39" spans="1:13">
      <c r="A39" s="12"/>
      <c r="B39" s="2"/>
      <c r="C39" s="2"/>
      <c r="D39" s="2"/>
      <c r="E39" s="2"/>
      <c r="F39" s="2"/>
      <c r="G39" s="2"/>
      <c r="H39" s="2"/>
      <c r="I39" s="5"/>
      <c r="J39" s="2"/>
      <c r="K39" s="6"/>
      <c r="L39" s="9"/>
      <c r="M39" s="2"/>
    </row>
    <row r="40" spans="1:13">
      <c r="A40" s="12"/>
      <c r="B40" s="2"/>
      <c r="C40" s="2"/>
      <c r="D40" s="2"/>
      <c r="E40" s="2"/>
      <c r="F40" s="2"/>
      <c r="G40" s="2"/>
      <c r="H40" s="2"/>
      <c r="I40" s="5"/>
      <c r="J40" s="2"/>
      <c r="K40" s="6"/>
      <c r="L40" s="9"/>
      <c r="M40" s="2"/>
    </row>
    <row r="41" spans="1:13">
      <c r="A41" s="12"/>
      <c r="B41" s="2"/>
      <c r="C41" s="2"/>
      <c r="D41" s="2"/>
      <c r="E41" s="2"/>
      <c r="F41" s="2"/>
      <c r="G41" s="2"/>
      <c r="H41" s="2"/>
      <c r="I41" s="5"/>
      <c r="J41" s="2"/>
      <c r="K41" s="6"/>
      <c r="L41" s="9"/>
      <c r="M41" s="2"/>
    </row>
    <row r="42" spans="1:13">
      <c r="A42" s="12"/>
      <c r="B42" s="2"/>
      <c r="C42" s="2"/>
      <c r="D42" s="2"/>
      <c r="E42" s="2"/>
      <c r="F42" s="2"/>
      <c r="G42" s="2"/>
      <c r="H42" s="2"/>
      <c r="I42" s="5"/>
      <c r="J42" s="2"/>
      <c r="K42" s="6"/>
      <c r="L42" s="9"/>
      <c r="M42" s="2"/>
    </row>
    <row r="43" spans="1:13">
      <c r="A43" s="12"/>
      <c r="B43" s="2"/>
      <c r="C43" s="2"/>
      <c r="D43" s="2"/>
      <c r="E43" s="2"/>
      <c r="F43" s="2"/>
      <c r="G43" s="2"/>
      <c r="H43" s="2"/>
      <c r="I43" s="5"/>
      <c r="J43" s="2"/>
      <c r="K43" s="6"/>
      <c r="L43" s="9"/>
      <c r="M43" s="2"/>
    </row>
    <row r="44" spans="1:13">
      <c r="A44" s="12"/>
      <c r="B44" s="2"/>
      <c r="C44" s="2"/>
      <c r="D44" s="2"/>
      <c r="E44" s="2"/>
      <c r="F44" s="2"/>
      <c r="G44" s="2"/>
      <c r="H44" s="2"/>
      <c r="I44" s="5"/>
      <c r="J44" s="2"/>
      <c r="K44" s="6"/>
      <c r="L44" s="9"/>
      <c r="M44" s="2"/>
    </row>
    <row r="45" spans="1:13">
      <c r="A45" s="12"/>
      <c r="B45" s="2"/>
      <c r="C45" s="2"/>
      <c r="D45" s="2"/>
      <c r="E45" s="2"/>
      <c r="F45" s="2"/>
      <c r="G45" s="2"/>
      <c r="H45" s="2"/>
      <c r="I45" s="5"/>
      <c r="J45" s="2"/>
      <c r="K45" s="6"/>
      <c r="L45" s="9"/>
      <c r="M45" s="2"/>
    </row>
    <row r="46" spans="1:13">
      <c r="A46" s="12"/>
      <c r="B46" s="2"/>
      <c r="C46" s="2"/>
      <c r="D46" s="2"/>
      <c r="E46" s="2"/>
      <c r="F46" s="2"/>
      <c r="G46" s="2"/>
      <c r="H46" s="2"/>
      <c r="I46" s="5"/>
      <c r="J46" s="2"/>
      <c r="K46" s="6"/>
      <c r="L46" s="9"/>
      <c r="M46" s="2"/>
    </row>
    <row r="47" spans="1:13">
      <c r="A47" s="12"/>
      <c r="B47" s="2"/>
      <c r="C47" s="2"/>
      <c r="D47" s="2"/>
      <c r="E47" s="2"/>
      <c r="F47" s="2"/>
      <c r="G47" s="2"/>
      <c r="H47" s="2"/>
      <c r="I47" s="5"/>
      <c r="J47" s="2"/>
      <c r="K47" s="6"/>
      <c r="L47" s="9"/>
      <c r="M47" s="2"/>
    </row>
    <row r="48" spans="1:13">
      <c r="A48" s="12"/>
      <c r="B48" s="2"/>
      <c r="C48" s="2"/>
      <c r="D48" s="2"/>
      <c r="E48" s="2"/>
      <c r="F48" s="2"/>
      <c r="G48" s="2"/>
      <c r="H48" s="2"/>
      <c r="I48" s="5"/>
      <c r="J48" s="2"/>
      <c r="K48" s="6"/>
      <c r="L48" s="9"/>
      <c r="M48" s="2"/>
    </row>
    <row r="49" spans="1:13">
      <c r="A49" s="12"/>
      <c r="B49" s="2"/>
      <c r="C49" s="2"/>
      <c r="D49" s="2"/>
      <c r="E49" s="2"/>
      <c r="F49" s="2"/>
      <c r="G49" s="2"/>
      <c r="H49" s="2"/>
      <c r="I49" s="5"/>
      <c r="J49" s="2"/>
      <c r="K49" s="6"/>
      <c r="L49" s="9"/>
      <c r="M49" s="2"/>
    </row>
    <row r="50" spans="1:13">
      <c r="A50" s="12"/>
      <c r="B50" s="2"/>
      <c r="C50" s="2"/>
      <c r="D50" s="2"/>
      <c r="E50" s="2"/>
      <c r="F50" s="2"/>
      <c r="G50" s="2"/>
      <c r="H50" s="2"/>
      <c r="I50" s="5"/>
      <c r="J50" s="2"/>
      <c r="K50" s="6"/>
      <c r="L50" s="9"/>
      <c r="M50" s="2"/>
    </row>
    <row r="51" spans="1:13">
      <c r="A51" s="12"/>
      <c r="B51" s="2"/>
      <c r="C51" s="2"/>
      <c r="D51" s="2"/>
      <c r="E51" s="2"/>
      <c r="F51" s="2"/>
      <c r="G51" s="2"/>
      <c r="H51" s="2"/>
      <c r="I51" s="5"/>
      <c r="J51" s="2"/>
      <c r="K51" s="6"/>
      <c r="L51" s="9"/>
      <c r="M51" s="2"/>
    </row>
    <row r="52" spans="1:13">
      <c r="A52" s="12"/>
      <c r="B52" s="2"/>
      <c r="C52" s="2"/>
      <c r="D52" s="2"/>
      <c r="E52" s="2"/>
      <c r="F52" s="2"/>
      <c r="G52" s="2"/>
      <c r="H52" s="2"/>
      <c r="I52" s="5"/>
      <c r="J52" s="2"/>
      <c r="K52" s="6"/>
      <c r="L52" s="9"/>
      <c r="M52" s="2"/>
    </row>
    <row r="53" spans="1:13">
      <c r="A53" s="12"/>
      <c r="B53" s="2"/>
      <c r="C53" s="2"/>
      <c r="D53" s="2"/>
      <c r="E53" s="2"/>
      <c r="F53" s="2"/>
      <c r="G53" s="2"/>
      <c r="H53" s="2"/>
      <c r="I53" s="5"/>
      <c r="J53" s="2"/>
      <c r="K53" s="6"/>
      <c r="L53" s="9"/>
      <c r="M53" s="2"/>
    </row>
    <row r="54" spans="1:13">
      <c r="A54" s="12"/>
      <c r="B54" s="2"/>
      <c r="C54" s="2"/>
      <c r="D54" s="2"/>
      <c r="E54" s="2"/>
      <c r="F54" s="2"/>
      <c r="G54" s="2"/>
      <c r="H54" s="2"/>
      <c r="I54" s="5"/>
      <c r="J54" s="2"/>
      <c r="K54" s="6"/>
      <c r="L54" s="9"/>
      <c r="M54" s="2"/>
    </row>
    <row r="55" spans="1:13">
      <c r="A55" s="12"/>
      <c r="B55" s="2"/>
      <c r="C55" s="2"/>
      <c r="D55" s="2"/>
      <c r="E55" s="2"/>
      <c r="F55" s="2"/>
      <c r="G55" s="2"/>
      <c r="H55" s="2"/>
      <c r="I55" s="5"/>
      <c r="J55" s="2"/>
      <c r="K55" s="6"/>
      <c r="L55" s="9"/>
      <c r="M55" s="2"/>
    </row>
    <row r="56" spans="1:13">
      <c r="A56" s="12"/>
      <c r="B56" s="2"/>
      <c r="C56" s="2"/>
      <c r="D56" s="2"/>
      <c r="E56" s="2"/>
      <c r="F56" s="2"/>
      <c r="G56" s="2"/>
      <c r="H56" s="2"/>
      <c r="I56" s="5"/>
      <c r="J56" s="2"/>
      <c r="K56" s="6"/>
      <c r="L56" s="9"/>
      <c r="M56" s="2"/>
    </row>
    <row r="57" spans="1:13">
      <c r="A57" s="12"/>
      <c r="B57" s="2"/>
      <c r="C57" s="2"/>
      <c r="D57" s="2"/>
      <c r="E57" s="2"/>
      <c r="F57" s="2"/>
      <c r="G57" s="2"/>
      <c r="H57" s="2"/>
      <c r="I57" s="5"/>
      <c r="J57" s="2"/>
      <c r="K57" s="6"/>
      <c r="L57" s="9"/>
      <c r="M57" s="2"/>
    </row>
    <row r="58" spans="1:13">
      <c r="A58" s="12"/>
      <c r="B58" s="2"/>
      <c r="C58" s="2"/>
      <c r="D58" s="2"/>
      <c r="E58" s="2"/>
      <c r="F58" s="2"/>
      <c r="G58" s="2"/>
      <c r="H58" s="2"/>
      <c r="I58" s="5"/>
      <c r="J58" s="2"/>
      <c r="K58" s="6"/>
      <c r="L58" s="9"/>
      <c r="M58" s="2"/>
    </row>
    <row r="59" spans="1:13">
      <c r="A59" s="12"/>
      <c r="B59" s="2"/>
      <c r="C59" s="2"/>
      <c r="D59" s="2"/>
      <c r="E59" s="2"/>
      <c r="F59" s="2"/>
      <c r="G59" s="2"/>
      <c r="H59" s="2"/>
      <c r="I59" s="5"/>
      <c r="J59" s="2"/>
      <c r="K59" s="6"/>
      <c r="L59" s="9"/>
      <c r="M59" s="2"/>
    </row>
    <row r="60" spans="1:13">
      <c r="A60" s="12"/>
      <c r="B60" s="2"/>
      <c r="C60" s="2"/>
      <c r="D60" s="2"/>
      <c r="E60" s="2"/>
      <c r="F60" s="2"/>
      <c r="G60" s="2"/>
      <c r="H60" s="2"/>
      <c r="I60" s="5"/>
      <c r="J60" s="2"/>
      <c r="K60" s="6"/>
      <c r="L60" s="9"/>
      <c r="M60" s="2"/>
    </row>
    <row r="61" spans="1:13">
      <c r="A61" s="12"/>
      <c r="B61" s="2"/>
      <c r="C61" s="2"/>
      <c r="D61" s="2"/>
      <c r="E61" s="2"/>
      <c r="F61" s="2"/>
      <c r="G61" s="2"/>
      <c r="H61" s="2"/>
      <c r="I61" s="5"/>
      <c r="J61" s="2"/>
      <c r="K61" s="6"/>
      <c r="L61" s="9"/>
      <c r="M61" s="2"/>
    </row>
    <row r="62" spans="1:13">
      <c r="A62" s="12"/>
      <c r="B62" s="2"/>
      <c r="C62" s="2"/>
      <c r="D62" s="2"/>
      <c r="E62" s="2"/>
      <c r="F62" s="2"/>
      <c r="G62" s="2"/>
      <c r="H62" s="2"/>
      <c r="I62" s="5"/>
      <c r="J62" s="2"/>
      <c r="K62" s="6"/>
      <c r="L62" s="9"/>
      <c r="M62" s="2"/>
    </row>
    <row r="63" spans="1:13">
      <c r="A63" s="12"/>
      <c r="B63" s="2"/>
      <c r="C63" s="2"/>
      <c r="D63" s="2"/>
      <c r="E63" s="2"/>
      <c r="F63" s="2"/>
      <c r="G63" s="2"/>
      <c r="H63" s="2"/>
      <c r="I63" s="5"/>
      <c r="J63" s="2"/>
      <c r="K63" s="6"/>
      <c r="L63" s="9"/>
      <c r="M63" s="2"/>
    </row>
    <row r="64" spans="1:13">
      <c r="A64" s="12"/>
      <c r="B64" s="2"/>
      <c r="C64" s="2"/>
      <c r="D64" s="2"/>
      <c r="E64" s="2"/>
      <c r="F64" s="2"/>
      <c r="G64" s="2"/>
      <c r="H64" s="2"/>
      <c r="I64" s="5"/>
      <c r="J64" s="2"/>
      <c r="K64" s="6"/>
      <c r="L64" s="9"/>
      <c r="M64" s="2"/>
    </row>
    <row r="65" spans="1:13">
      <c r="A65" s="12"/>
      <c r="B65" s="2"/>
      <c r="C65" s="2"/>
      <c r="D65" s="2"/>
      <c r="E65" s="2"/>
      <c r="F65" s="2"/>
      <c r="G65" s="2"/>
      <c r="H65" s="2"/>
      <c r="I65" s="5"/>
      <c r="J65" s="2"/>
      <c r="K65" s="6"/>
      <c r="L65" s="9"/>
      <c r="M65" s="2"/>
    </row>
    <row r="66" spans="1:13">
      <c r="A66" s="12"/>
      <c r="B66" s="2"/>
      <c r="C66" s="2"/>
      <c r="D66" s="2"/>
      <c r="E66" s="2"/>
      <c r="F66" s="2"/>
      <c r="G66" s="2"/>
      <c r="H66" s="2"/>
      <c r="I66" s="5"/>
      <c r="J66" s="2"/>
      <c r="K66" s="6"/>
      <c r="L66" s="9"/>
      <c r="M66" s="2"/>
    </row>
    <row r="67" spans="1:13">
      <c r="A67" s="12"/>
      <c r="B67" s="2"/>
      <c r="C67" s="2"/>
      <c r="D67" s="2"/>
      <c r="E67" s="2"/>
      <c r="F67" s="2"/>
      <c r="G67" s="2"/>
      <c r="H67" s="2"/>
      <c r="I67" s="5"/>
      <c r="J67" s="2"/>
      <c r="K67" s="6"/>
      <c r="L67" s="9"/>
      <c r="M67" s="2"/>
    </row>
    <row r="68" spans="1:13">
      <c r="A68" s="12"/>
      <c r="B68" s="2"/>
      <c r="C68" s="2"/>
      <c r="D68" s="2"/>
      <c r="E68" s="2"/>
      <c r="F68" s="2"/>
      <c r="G68" s="2"/>
      <c r="H68" s="2"/>
      <c r="I68" s="5"/>
      <c r="J68" s="2"/>
      <c r="K68" s="6"/>
      <c r="L68" s="9"/>
      <c r="M68" s="2"/>
    </row>
    <row r="69" spans="1:13">
      <c r="A69" s="12"/>
      <c r="B69" s="2"/>
      <c r="C69" s="2"/>
      <c r="D69" s="2"/>
      <c r="E69" s="2"/>
      <c r="F69" s="2"/>
      <c r="G69" s="2"/>
      <c r="H69" s="2"/>
      <c r="I69" s="5"/>
      <c r="J69" s="2"/>
      <c r="K69" s="6"/>
      <c r="L69" s="9"/>
      <c r="M69" s="2"/>
    </row>
    <row r="70" spans="1:13">
      <c r="A70" s="12"/>
      <c r="B70" s="2"/>
      <c r="C70" s="2"/>
      <c r="D70" s="2"/>
      <c r="E70" s="2"/>
      <c r="F70" s="2"/>
      <c r="G70" s="2"/>
      <c r="H70" s="2"/>
      <c r="I70" s="5"/>
      <c r="J70" s="2"/>
      <c r="K70" s="6"/>
      <c r="L70" s="9"/>
      <c r="M70" s="2"/>
    </row>
    <row r="71" spans="1:13">
      <c r="A71" s="12"/>
      <c r="B71" s="2"/>
      <c r="C71" s="2"/>
      <c r="D71" s="2"/>
      <c r="E71" s="2"/>
      <c r="F71" s="2"/>
      <c r="G71" s="2"/>
      <c r="H71" s="2"/>
      <c r="I71" s="5"/>
      <c r="J71" s="2"/>
      <c r="K71" s="6"/>
      <c r="L71" s="9"/>
      <c r="M71" s="2"/>
    </row>
    <row r="72" spans="1:13">
      <c r="A72" s="12"/>
      <c r="B72" s="2"/>
      <c r="C72" s="2"/>
      <c r="D72" s="2"/>
      <c r="E72" s="2"/>
      <c r="F72" s="2"/>
      <c r="G72" s="2"/>
      <c r="H72" s="2"/>
      <c r="I72" s="5"/>
      <c r="J72" s="2"/>
      <c r="K72" s="6"/>
      <c r="L72" s="9"/>
      <c r="M72" s="2"/>
    </row>
    <row r="73" spans="1:13">
      <c r="A73" s="12"/>
      <c r="B73" s="2"/>
      <c r="C73" s="2"/>
      <c r="D73" s="2"/>
      <c r="E73" s="2"/>
      <c r="F73" s="2"/>
      <c r="G73" s="2"/>
      <c r="H73" s="2"/>
      <c r="I73" s="5"/>
      <c r="J73" s="2"/>
      <c r="K73" s="6"/>
      <c r="L73" s="9"/>
      <c r="M73" s="2"/>
    </row>
    <row r="74" spans="1:13">
      <c r="A74" s="12"/>
      <c r="B74" s="2"/>
      <c r="C74" s="2"/>
      <c r="D74" s="2"/>
      <c r="E74" s="2"/>
      <c r="F74" s="2"/>
      <c r="G74" s="2"/>
      <c r="H74" s="2"/>
      <c r="I74" s="5"/>
      <c r="J74" s="2"/>
      <c r="K74" s="6"/>
      <c r="L74" s="9"/>
      <c r="M74" s="2"/>
    </row>
    <row r="75" spans="1:13">
      <c r="A75" s="12"/>
      <c r="B75" s="2"/>
      <c r="C75" s="2"/>
      <c r="D75" s="2"/>
      <c r="E75" s="2"/>
      <c r="F75" s="2"/>
      <c r="G75" s="2"/>
      <c r="H75" s="2"/>
      <c r="I75" s="5"/>
      <c r="J75" s="2"/>
      <c r="K75" s="6"/>
      <c r="L75" s="9"/>
      <c r="M75" s="2"/>
    </row>
    <row r="76" spans="1:13">
      <c r="A76" s="12"/>
      <c r="B76" s="2"/>
      <c r="C76" s="2"/>
      <c r="D76" s="2"/>
      <c r="E76" s="2"/>
      <c r="F76" s="2"/>
      <c r="G76" s="2"/>
      <c r="H76" s="2"/>
      <c r="I76" s="5"/>
      <c r="J76" s="2"/>
      <c r="K76" s="6"/>
      <c r="L76" s="9"/>
      <c r="M76" s="2"/>
    </row>
    <row r="77" spans="1:13">
      <c r="A77" s="12"/>
      <c r="B77" s="2"/>
      <c r="C77" s="2"/>
      <c r="D77" s="2"/>
      <c r="E77" s="2"/>
      <c r="F77" s="2"/>
      <c r="G77" s="2"/>
      <c r="H77" s="2"/>
      <c r="I77" s="5"/>
      <c r="J77" s="2"/>
      <c r="K77" s="6"/>
      <c r="L77" s="9"/>
      <c r="M77" s="2"/>
    </row>
    <row r="78" spans="1:13">
      <c r="A78" s="12"/>
      <c r="B78" s="2"/>
      <c r="C78" s="2"/>
      <c r="D78" s="2"/>
      <c r="E78" s="2"/>
      <c r="F78" s="2"/>
      <c r="G78" s="2"/>
      <c r="H78" s="2"/>
      <c r="I78" s="5"/>
      <c r="J78" s="2"/>
      <c r="K78" s="6"/>
      <c r="L78" s="9"/>
      <c r="M78" s="2"/>
    </row>
    <row r="79" spans="1:13">
      <c r="A79" s="12"/>
      <c r="B79" s="2"/>
      <c r="C79" s="2"/>
      <c r="D79" s="2"/>
      <c r="E79" s="2"/>
      <c r="F79" s="2"/>
      <c r="G79" s="2"/>
      <c r="H79" s="2"/>
      <c r="I79" s="5"/>
      <c r="J79" s="2"/>
      <c r="K79" s="6"/>
      <c r="L79" s="9"/>
      <c r="M79" s="2"/>
    </row>
    <row r="80" spans="1:13">
      <c r="A80" s="12"/>
      <c r="B80" s="2"/>
      <c r="C80" s="2"/>
      <c r="D80" s="2"/>
      <c r="E80" s="2"/>
      <c r="F80" s="2"/>
      <c r="G80" s="2"/>
      <c r="H80" s="2"/>
      <c r="I80" s="5"/>
      <c r="J80" s="2"/>
      <c r="K80" s="6"/>
      <c r="L80" s="9"/>
      <c r="M80" s="2"/>
    </row>
    <row r="81" spans="1:13">
      <c r="A81" s="12"/>
      <c r="B81" s="2"/>
      <c r="C81" s="2"/>
      <c r="D81" s="2"/>
      <c r="E81" s="2"/>
      <c r="F81" s="2"/>
      <c r="G81" s="2"/>
      <c r="H81" s="2"/>
      <c r="I81" s="5"/>
      <c r="J81" s="2"/>
      <c r="K81" s="6"/>
      <c r="L81" s="9"/>
      <c r="M81" s="2"/>
    </row>
    <row r="82" spans="1:13">
      <c r="A82" s="12"/>
      <c r="B82" s="2"/>
      <c r="C82" s="2"/>
      <c r="D82" s="2"/>
      <c r="E82" s="2"/>
      <c r="F82" s="2"/>
      <c r="G82" s="2"/>
      <c r="H82" s="2"/>
      <c r="I82" s="5"/>
      <c r="J82" s="2"/>
      <c r="K82" s="6"/>
      <c r="L82" s="9"/>
      <c r="M82" s="2"/>
    </row>
    <row r="83" spans="1:13">
      <c r="A83" s="12"/>
      <c r="B83" s="2"/>
      <c r="C83" s="2"/>
      <c r="D83" s="2"/>
      <c r="E83" s="2"/>
      <c r="F83" s="2"/>
      <c r="G83" s="2"/>
      <c r="H83" s="2"/>
      <c r="I83" s="5"/>
      <c r="J83" s="2"/>
      <c r="K83" s="6"/>
      <c r="L83" s="9"/>
      <c r="M83" s="2"/>
    </row>
    <row r="84" spans="1:13">
      <c r="A84" s="12"/>
      <c r="B84" s="2"/>
      <c r="C84" s="2"/>
      <c r="D84" s="2"/>
      <c r="E84" s="2"/>
      <c r="F84" s="2"/>
      <c r="G84" s="2"/>
      <c r="H84" s="2"/>
      <c r="I84" s="5"/>
      <c r="J84" s="2"/>
      <c r="K84" s="6"/>
      <c r="L84" s="9"/>
      <c r="M84" s="2"/>
    </row>
    <row r="85" spans="1:13">
      <c r="A85" s="12"/>
      <c r="B85" s="2"/>
      <c r="C85" s="2"/>
      <c r="D85" s="2"/>
      <c r="E85" s="2"/>
      <c r="F85" s="2"/>
      <c r="G85" s="2"/>
      <c r="H85" s="2"/>
      <c r="I85" s="5"/>
      <c r="J85" s="2"/>
      <c r="K85" s="6"/>
      <c r="L85" s="9"/>
      <c r="M85" s="2"/>
    </row>
    <row r="86" spans="1:13">
      <c r="A86" s="12"/>
      <c r="B86" s="2"/>
      <c r="C86" s="2"/>
      <c r="D86" s="2"/>
      <c r="E86" s="2"/>
      <c r="F86" s="2"/>
      <c r="G86" s="2"/>
      <c r="H86" s="2"/>
      <c r="I86" s="5"/>
      <c r="J86" s="2"/>
      <c r="K86" s="6"/>
      <c r="L86" s="9"/>
      <c r="M86" s="2"/>
    </row>
    <row r="87" spans="1:13">
      <c r="A87" s="12"/>
      <c r="B87" s="2"/>
      <c r="C87" s="2"/>
      <c r="D87" s="2"/>
      <c r="E87" s="2"/>
      <c r="F87" s="2"/>
      <c r="G87" s="2"/>
      <c r="H87" s="2"/>
      <c r="I87" s="5"/>
      <c r="J87" s="2"/>
      <c r="K87" s="6"/>
      <c r="L87" s="9"/>
      <c r="M87" s="2"/>
    </row>
    <row r="88" spans="1:13">
      <c r="A88" s="12"/>
      <c r="B88" s="2"/>
      <c r="C88" s="2"/>
      <c r="D88" s="2"/>
      <c r="E88" s="2"/>
      <c r="F88" s="2"/>
      <c r="G88" s="2"/>
      <c r="H88" s="2"/>
      <c r="I88" s="5"/>
      <c r="J88" s="2"/>
      <c r="K88" s="6"/>
      <c r="L88" s="9"/>
      <c r="M88" s="2"/>
    </row>
    <row r="89" spans="1:13">
      <c r="A89" s="12"/>
      <c r="B89" s="2"/>
      <c r="C89" s="2"/>
      <c r="D89" s="2"/>
      <c r="E89" s="2"/>
      <c r="F89" s="2"/>
      <c r="G89" s="2"/>
      <c r="H89" s="2"/>
      <c r="I89" s="5"/>
      <c r="J89" s="2"/>
      <c r="K89" s="6"/>
      <c r="L89" s="9"/>
      <c r="M89" s="2"/>
    </row>
    <row r="90" spans="1:13">
      <c r="A90" s="12"/>
      <c r="B90" s="2"/>
      <c r="C90" s="2"/>
      <c r="D90" s="2"/>
      <c r="E90" s="2"/>
      <c r="F90" s="2"/>
      <c r="G90" s="2"/>
      <c r="H90" s="2"/>
      <c r="I90" s="5"/>
      <c r="J90" s="2"/>
      <c r="K90" s="6"/>
      <c r="L90" s="9"/>
      <c r="M90" s="2"/>
    </row>
    <row r="91" spans="1:13">
      <c r="A91" s="12"/>
      <c r="B91" s="2"/>
      <c r="C91" s="2"/>
      <c r="D91" s="2"/>
      <c r="E91" s="2"/>
      <c r="F91" s="2"/>
      <c r="G91" s="2"/>
      <c r="H91" s="2"/>
      <c r="I91" s="5"/>
      <c r="J91" s="2"/>
      <c r="K91" s="6"/>
      <c r="L91" s="9"/>
      <c r="M91" s="2"/>
    </row>
    <row r="92" spans="1:13">
      <c r="A92" s="12"/>
      <c r="B92" s="2"/>
      <c r="C92" s="2"/>
      <c r="D92" s="2"/>
      <c r="E92" s="2"/>
      <c r="F92" s="2"/>
      <c r="G92" s="2"/>
      <c r="H92" s="2"/>
      <c r="I92" s="5"/>
      <c r="J92" s="2"/>
      <c r="K92" s="6"/>
      <c r="L92" s="9"/>
      <c r="M92" s="2"/>
    </row>
    <row r="93" spans="1:13">
      <c r="A93" s="12"/>
      <c r="B93" s="2"/>
      <c r="C93" s="2"/>
      <c r="D93" s="2"/>
      <c r="E93" s="2"/>
      <c r="F93" s="2"/>
      <c r="G93" s="2"/>
      <c r="H93" s="2"/>
      <c r="I93" s="5"/>
      <c r="J93" s="2"/>
      <c r="K93" s="6"/>
      <c r="L93" s="9"/>
      <c r="M93" s="2"/>
    </row>
    <row r="94" spans="1:13">
      <c r="A94" s="12"/>
      <c r="B94" s="2"/>
      <c r="C94" s="2"/>
      <c r="D94" s="2"/>
      <c r="E94" s="2"/>
      <c r="F94" s="2"/>
      <c r="G94" s="2"/>
      <c r="H94" s="2"/>
      <c r="I94" s="5"/>
      <c r="J94" s="2"/>
      <c r="K94" s="6"/>
      <c r="L94" s="9"/>
      <c r="M94" s="2"/>
    </row>
    <row r="95" spans="1:13">
      <c r="A95" s="12"/>
      <c r="B95" s="2"/>
      <c r="C95" s="2"/>
      <c r="D95" s="2"/>
      <c r="E95" s="2"/>
      <c r="F95" s="2"/>
      <c r="G95" s="2"/>
      <c r="H95" s="2"/>
      <c r="I95" s="5"/>
      <c r="J95" s="2"/>
      <c r="K95" s="6"/>
      <c r="L95" s="9"/>
      <c r="M95" s="2"/>
    </row>
    <row r="96" spans="1:13">
      <c r="A96" s="12"/>
      <c r="B96" s="2"/>
      <c r="C96" s="2"/>
      <c r="D96" s="2"/>
      <c r="E96" s="2"/>
      <c r="F96" s="2"/>
      <c r="G96" s="2"/>
      <c r="H96" s="2"/>
      <c r="I96" s="5"/>
      <c r="J96" s="2"/>
      <c r="K96" s="6"/>
      <c r="L96" s="9"/>
      <c r="M96" s="2"/>
    </row>
    <row r="97" spans="1:13">
      <c r="A97" s="12"/>
      <c r="B97" s="2"/>
      <c r="C97" s="2"/>
      <c r="D97" s="2"/>
      <c r="E97" s="2"/>
      <c r="F97" s="2"/>
      <c r="G97" s="2"/>
      <c r="H97" s="2"/>
      <c r="I97" s="5"/>
      <c r="J97" s="2"/>
      <c r="K97" s="6"/>
      <c r="L97" s="9"/>
      <c r="M97" s="2"/>
    </row>
    <row r="98" spans="1:13">
      <c r="A98" s="12"/>
      <c r="B98" s="2"/>
      <c r="C98" s="2"/>
      <c r="D98" s="2"/>
      <c r="E98" s="2"/>
      <c r="F98" s="2"/>
      <c r="G98" s="2"/>
      <c r="H98" s="2"/>
      <c r="I98" s="5"/>
      <c r="J98" s="2"/>
      <c r="K98" s="6"/>
      <c r="L98" s="9"/>
      <c r="M98" s="2"/>
    </row>
    <row r="99" spans="1:13">
      <c r="A99" s="12"/>
      <c r="B99" s="2"/>
      <c r="C99" s="2"/>
      <c r="D99" s="2"/>
      <c r="E99" s="2"/>
      <c r="F99" s="2"/>
      <c r="G99" s="2"/>
      <c r="H99" s="2"/>
      <c r="I99" s="5"/>
      <c r="J99" s="2"/>
      <c r="K99" s="6"/>
      <c r="L99" s="9"/>
      <c r="M99" s="2"/>
    </row>
    <row r="100" spans="1:13">
      <c r="A100" s="12"/>
      <c r="B100" s="2"/>
      <c r="C100" s="2"/>
      <c r="D100" s="2"/>
      <c r="E100" s="2"/>
      <c r="F100" s="2"/>
      <c r="G100" s="2"/>
      <c r="H100" s="2"/>
      <c r="I100" s="5"/>
      <c r="J100" s="2"/>
      <c r="K100" s="6"/>
      <c r="L100" s="9"/>
      <c r="M100" s="2"/>
    </row>
    <row r="101" spans="1:13">
      <c r="A101" s="12"/>
      <c r="B101" s="2"/>
      <c r="C101" s="2"/>
      <c r="D101" s="2"/>
      <c r="E101" s="2"/>
      <c r="F101" s="2"/>
      <c r="G101" s="2"/>
      <c r="H101" s="2"/>
      <c r="I101" s="5"/>
      <c r="J101" s="2"/>
      <c r="K101" s="6"/>
      <c r="L101" s="9"/>
      <c r="M101" s="2"/>
    </row>
    <row r="102" spans="1:13">
      <c r="A102" s="12"/>
      <c r="B102" s="2"/>
      <c r="C102" s="2"/>
      <c r="D102" s="2"/>
      <c r="E102" s="2"/>
      <c r="F102" s="2"/>
      <c r="G102" s="2"/>
      <c r="H102" s="2"/>
      <c r="I102" s="5"/>
      <c r="J102" s="2"/>
      <c r="K102" s="6"/>
      <c r="L102" s="9"/>
      <c r="M102" s="2"/>
    </row>
    <row r="103" spans="1:13">
      <c r="A103" s="12"/>
      <c r="B103" s="2"/>
      <c r="C103" s="2"/>
      <c r="D103" s="2"/>
      <c r="E103" s="2"/>
      <c r="F103" s="2"/>
      <c r="G103" s="2"/>
      <c r="H103" s="2"/>
      <c r="I103" s="5"/>
      <c r="J103" s="2"/>
      <c r="K103" s="6"/>
      <c r="L103" s="9"/>
      <c r="M103" s="2"/>
    </row>
    <row r="104" spans="1:13">
      <c r="A104" s="12"/>
      <c r="B104" s="2"/>
      <c r="C104" s="2"/>
      <c r="D104" s="2"/>
      <c r="E104" s="2"/>
      <c r="F104" s="2"/>
      <c r="G104" s="2"/>
      <c r="H104" s="2"/>
      <c r="I104" s="5"/>
      <c r="J104" s="2"/>
      <c r="K104" s="6"/>
      <c r="L104" s="9"/>
      <c r="M104" s="2"/>
    </row>
    <row r="105" spans="1:13">
      <c r="A105" s="12"/>
      <c r="B105" s="2"/>
      <c r="C105" s="2"/>
      <c r="D105" s="2"/>
      <c r="E105" s="2"/>
      <c r="F105" s="2"/>
      <c r="G105" s="2"/>
      <c r="H105" s="2"/>
      <c r="I105" s="5"/>
      <c r="J105" s="2"/>
      <c r="K105" s="6"/>
      <c r="L105" s="9"/>
      <c r="M105" s="2"/>
    </row>
    <row r="106" spans="1:13">
      <c r="A106" s="12"/>
      <c r="B106" s="2"/>
      <c r="C106" s="2"/>
      <c r="D106" s="2"/>
      <c r="E106" s="2"/>
      <c r="F106" s="2"/>
      <c r="G106" s="2"/>
      <c r="H106" s="2"/>
      <c r="I106" s="5"/>
      <c r="J106" s="2"/>
      <c r="K106" s="6"/>
      <c r="L106" s="9"/>
      <c r="M106" s="2"/>
    </row>
    <row r="107" spans="1:13">
      <c r="A107" s="12"/>
      <c r="B107" s="2"/>
      <c r="C107" s="2"/>
      <c r="D107" s="2"/>
      <c r="E107" s="2"/>
      <c r="F107" s="2"/>
      <c r="G107" s="2"/>
      <c r="H107" s="2"/>
      <c r="I107" s="5"/>
      <c r="J107" s="2"/>
      <c r="K107" s="6"/>
      <c r="L107" s="9"/>
      <c r="M107" s="2"/>
    </row>
    <row r="108" spans="1:13">
      <c r="A108" s="12"/>
      <c r="B108" s="2"/>
      <c r="C108" s="2"/>
      <c r="D108" s="2"/>
      <c r="E108" s="2"/>
      <c r="F108" s="2"/>
      <c r="G108" s="2"/>
      <c r="H108" s="2"/>
      <c r="I108" s="5"/>
      <c r="J108" s="2"/>
      <c r="K108" s="6"/>
      <c r="L108" s="9"/>
      <c r="M108" s="2"/>
    </row>
    <row r="109" spans="1:13">
      <c r="A109" s="12"/>
      <c r="B109" s="2"/>
      <c r="C109" s="2"/>
      <c r="D109" s="2"/>
      <c r="E109" s="2"/>
      <c r="F109" s="2"/>
      <c r="G109" s="2"/>
      <c r="H109" s="2"/>
      <c r="I109" s="5"/>
      <c r="J109" s="2"/>
      <c r="K109" s="6"/>
      <c r="L109" s="9"/>
      <c r="M109" s="2"/>
    </row>
    <row r="110" spans="1:13">
      <c r="A110" s="12"/>
      <c r="B110" s="2"/>
      <c r="C110" s="2"/>
      <c r="D110" s="2"/>
      <c r="E110" s="2"/>
      <c r="F110" s="2"/>
      <c r="G110" s="2"/>
      <c r="H110" s="2"/>
      <c r="I110" s="5"/>
      <c r="J110" s="2"/>
      <c r="K110" s="6"/>
      <c r="L110" s="9"/>
      <c r="M110" s="2"/>
    </row>
    <row r="111" spans="1:13">
      <c r="A111" s="12"/>
      <c r="B111" s="2"/>
      <c r="C111" s="2"/>
      <c r="D111" s="2"/>
      <c r="E111" s="2"/>
      <c r="F111" s="2"/>
      <c r="G111" s="2"/>
      <c r="H111" s="2"/>
      <c r="I111" s="5"/>
      <c r="J111" s="2"/>
      <c r="K111" s="6"/>
      <c r="L111" s="9"/>
      <c r="M111" s="2"/>
    </row>
    <row r="112" spans="1:13">
      <c r="A112" s="12"/>
      <c r="B112" s="2"/>
      <c r="C112" s="2"/>
      <c r="D112" s="2"/>
      <c r="E112" s="2"/>
      <c r="F112" s="2"/>
      <c r="G112" s="2"/>
      <c r="H112" s="2"/>
      <c r="I112" s="5"/>
      <c r="J112" s="2"/>
      <c r="K112" s="6"/>
      <c r="L112" s="9"/>
      <c r="M112" s="2"/>
    </row>
    <row r="113" spans="1:13">
      <c r="A113" s="12"/>
      <c r="B113" s="2"/>
      <c r="C113" s="2"/>
      <c r="D113" s="2"/>
      <c r="E113" s="2"/>
      <c r="F113" s="2"/>
      <c r="G113" s="2"/>
      <c r="H113" s="2"/>
      <c r="I113" s="5"/>
      <c r="J113" s="2"/>
      <c r="K113" s="6"/>
      <c r="L113" s="9"/>
      <c r="M113" s="2"/>
    </row>
    <row r="114" spans="1:13">
      <c r="A114" s="12"/>
      <c r="B114" s="2"/>
      <c r="C114" s="2"/>
      <c r="D114" s="2"/>
      <c r="E114" s="2"/>
      <c r="F114" s="2"/>
      <c r="G114" s="2"/>
      <c r="H114" s="2"/>
      <c r="I114" s="5"/>
      <c r="J114" s="2"/>
      <c r="K114" s="6"/>
      <c r="L114" s="9"/>
      <c r="M114" s="2"/>
    </row>
    <row r="115" spans="1:13">
      <c r="A115" s="12"/>
      <c r="B115" s="2"/>
      <c r="C115" s="2"/>
      <c r="D115" s="2"/>
      <c r="E115" s="2"/>
      <c r="F115" s="2"/>
      <c r="G115" s="2"/>
      <c r="H115" s="2"/>
      <c r="I115" s="5"/>
      <c r="J115" s="2"/>
      <c r="K115" s="6"/>
      <c r="L115" s="9"/>
      <c r="M115" s="2"/>
    </row>
    <row r="116" spans="1:13">
      <c r="A116" s="12"/>
      <c r="B116" s="2"/>
      <c r="C116" s="2"/>
      <c r="D116" s="2"/>
      <c r="E116" s="2"/>
      <c r="F116" s="2"/>
      <c r="G116" s="2"/>
      <c r="H116" s="2"/>
      <c r="I116" s="5"/>
      <c r="J116" s="2"/>
      <c r="K116" s="6"/>
      <c r="L116" s="9"/>
      <c r="M116" s="2"/>
    </row>
    <row r="117" spans="1:13">
      <c r="A117" s="12"/>
      <c r="B117" s="2"/>
      <c r="C117" s="2"/>
      <c r="D117" s="2"/>
      <c r="E117" s="2"/>
      <c r="F117" s="2"/>
      <c r="G117" s="2"/>
      <c r="H117" s="2"/>
      <c r="I117" s="5"/>
      <c r="J117" s="2"/>
      <c r="K117" s="6"/>
      <c r="L117" s="9"/>
      <c r="M117" s="2"/>
    </row>
    <row r="118" spans="1:13">
      <c r="A118" s="12"/>
      <c r="B118" s="2"/>
      <c r="C118" s="2"/>
      <c r="D118" s="2"/>
      <c r="E118" s="2"/>
      <c r="F118" s="2"/>
      <c r="G118" s="2"/>
      <c r="H118" s="2"/>
      <c r="I118" s="5"/>
      <c r="J118" s="2"/>
      <c r="K118" s="6"/>
      <c r="L118" s="9"/>
      <c r="M118" s="2"/>
    </row>
    <row r="119" spans="1:13">
      <c r="A119" s="12"/>
      <c r="B119" s="2"/>
      <c r="C119" s="2"/>
      <c r="D119" s="2"/>
      <c r="E119" s="2"/>
      <c r="F119" s="2"/>
      <c r="G119" s="2"/>
      <c r="H119" s="2"/>
      <c r="I119" s="5"/>
      <c r="J119" s="2"/>
      <c r="K119" s="6"/>
      <c r="L119" s="9"/>
      <c r="M119" s="2"/>
    </row>
    <row r="120" spans="1:13">
      <c r="A120" s="12"/>
      <c r="B120" s="2"/>
      <c r="C120" s="2"/>
      <c r="D120" s="2"/>
      <c r="E120" s="2"/>
      <c r="F120" s="2"/>
      <c r="G120" s="2"/>
      <c r="H120" s="2"/>
      <c r="I120" s="5"/>
      <c r="J120" s="2"/>
      <c r="K120" s="6"/>
      <c r="L120" s="9"/>
      <c r="M120" s="2"/>
    </row>
    <row r="121" spans="1:13">
      <c r="A121" s="12"/>
      <c r="B121" s="2"/>
      <c r="C121" s="2"/>
      <c r="D121" s="2"/>
      <c r="E121" s="2"/>
      <c r="F121" s="2"/>
      <c r="G121" s="2"/>
      <c r="H121" s="2"/>
      <c r="I121" s="5"/>
      <c r="J121" s="2"/>
      <c r="K121" s="6"/>
      <c r="L121" s="9"/>
      <c r="M121" s="2"/>
    </row>
    <row r="122" spans="1:13">
      <c r="A122" s="12"/>
      <c r="B122" s="2"/>
      <c r="C122" s="2"/>
      <c r="D122" s="2"/>
      <c r="E122" s="2"/>
      <c r="F122" s="2"/>
      <c r="G122" s="2"/>
      <c r="H122" s="2"/>
      <c r="I122" s="5"/>
      <c r="J122" s="2"/>
      <c r="K122" s="6"/>
      <c r="L122" s="9"/>
      <c r="M122" s="2"/>
    </row>
    <row r="123" spans="1:13">
      <c r="A123" s="12"/>
      <c r="B123" s="2"/>
      <c r="C123" s="2"/>
      <c r="D123" s="2"/>
      <c r="E123" s="2"/>
      <c r="F123" s="2"/>
      <c r="G123" s="2"/>
      <c r="H123" s="2"/>
      <c r="I123" s="5"/>
      <c r="J123" s="2"/>
      <c r="K123" s="6"/>
      <c r="L123" s="9"/>
      <c r="M123" s="2"/>
    </row>
    <row r="124" spans="1:13">
      <c r="A124" s="12"/>
      <c r="B124" s="2"/>
      <c r="C124" s="2"/>
      <c r="D124" s="2"/>
      <c r="E124" s="2"/>
      <c r="F124" s="2"/>
      <c r="G124" s="2"/>
      <c r="H124" s="2"/>
      <c r="I124" s="5"/>
      <c r="J124" s="2"/>
      <c r="K124" s="6"/>
      <c r="L124" s="9"/>
      <c r="M124" s="2"/>
    </row>
    <row r="125" spans="1:13">
      <c r="A125" s="12"/>
      <c r="B125" s="2"/>
      <c r="C125" s="2"/>
      <c r="D125" s="2"/>
      <c r="E125" s="2"/>
      <c r="F125" s="2"/>
      <c r="G125" s="2"/>
      <c r="H125" s="2"/>
      <c r="I125" s="5"/>
      <c r="J125" s="2"/>
      <c r="K125" s="6"/>
      <c r="L125" s="9"/>
      <c r="M125" s="2"/>
    </row>
    <row r="126" spans="1:13">
      <c r="A126" s="12"/>
      <c r="B126" s="2"/>
      <c r="C126" s="2"/>
      <c r="D126" s="2"/>
      <c r="E126" s="2"/>
      <c r="F126" s="2"/>
      <c r="G126" s="2"/>
      <c r="H126" s="2"/>
      <c r="I126" s="5"/>
      <c r="J126" s="2"/>
      <c r="K126" s="6"/>
      <c r="L126" s="9"/>
      <c r="M126" s="2"/>
    </row>
    <row r="127" spans="1:13">
      <c r="A127" s="12"/>
      <c r="B127" s="2"/>
      <c r="C127" s="2"/>
      <c r="D127" s="2"/>
      <c r="E127" s="2"/>
      <c r="F127" s="2"/>
      <c r="G127" s="2"/>
      <c r="H127" s="2"/>
      <c r="I127" s="5"/>
      <c r="J127" s="2"/>
      <c r="K127" s="6"/>
      <c r="L127" s="9"/>
      <c r="M127" s="2"/>
    </row>
    <row r="128" spans="1:13">
      <c r="A128" s="12"/>
      <c r="B128" s="2"/>
      <c r="C128" s="2"/>
      <c r="D128" s="2"/>
      <c r="E128" s="2"/>
      <c r="F128" s="2"/>
      <c r="G128" s="2"/>
      <c r="H128" s="2"/>
      <c r="I128" s="5"/>
      <c r="J128" s="2"/>
      <c r="K128" s="6"/>
      <c r="L128" s="9"/>
      <c r="M128" s="2"/>
    </row>
    <row r="129" spans="1:13">
      <c r="A129" s="12"/>
      <c r="B129" s="2"/>
      <c r="C129" s="2"/>
      <c r="D129" s="2"/>
      <c r="E129" s="2"/>
      <c r="F129" s="2"/>
      <c r="G129" s="2"/>
      <c r="H129" s="2"/>
      <c r="I129" s="5"/>
      <c r="J129" s="2"/>
      <c r="K129" s="6"/>
      <c r="L129" s="9"/>
      <c r="M129" s="2"/>
    </row>
    <row r="130" spans="1:13">
      <c r="A130" s="12"/>
      <c r="B130" s="2"/>
      <c r="C130" s="2"/>
      <c r="D130" s="2"/>
      <c r="E130" s="2"/>
      <c r="F130" s="2"/>
      <c r="G130" s="2"/>
      <c r="H130" s="2"/>
      <c r="I130" s="5"/>
      <c r="J130" s="2"/>
      <c r="K130" s="6"/>
      <c r="L130" s="9"/>
      <c r="M130" s="2"/>
    </row>
    <row r="131" spans="1:13">
      <c r="A131" s="12"/>
      <c r="B131" s="2"/>
      <c r="C131" s="2"/>
      <c r="D131" s="2"/>
      <c r="E131" s="2"/>
      <c r="F131" s="2"/>
      <c r="G131" s="2"/>
      <c r="H131" s="2"/>
      <c r="I131" s="5"/>
      <c r="J131" s="2"/>
      <c r="K131" s="6"/>
      <c r="L131" s="9"/>
      <c r="M131" s="2"/>
    </row>
    <row r="132" spans="1:13">
      <c r="A132" s="12"/>
      <c r="B132" s="2"/>
      <c r="C132" s="2"/>
      <c r="D132" s="2"/>
      <c r="E132" s="2"/>
      <c r="F132" s="2"/>
      <c r="G132" s="2"/>
      <c r="H132" s="2"/>
      <c r="I132" s="5"/>
      <c r="J132" s="2"/>
      <c r="K132" s="6"/>
      <c r="L132" s="9"/>
      <c r="M132" s="2"/>
    </row>
    <row r="133" spans="1:13">
      <c r="A133" s="12"/>
      <c r="B133" s="2"/>
      <c r="C133" s="2"/>
      <c r="D133" s="2"/>
      <c r="E133" s="2"/>
      <c r="F133" s="2"/>
      <c r="G133" s="2"/>
      <c r="H133" s="2"/>
      <c r="I133" s="5"/>
      <c r="J133" s="2"/>
      <c r="K133" s="6"/>
      <c r="L133" s="9"/>
      <c r="M133" s="2"/>
    </row>
    <row r="134" spans="1:13">
      <c r="A134" s="12"/>
      <c r="B134" s="2"/>
      <c r="C134" s="2"/>
      <c r="D134" s="2"/>
      <c r="E134" s="2"/>
      <c r="F134" s="2"/>
      <c r="G134" s="2"/>
      <c r="H134" s="2"/>
      <c r="I134" s="5"/>
      <c r="J134" s="2"/>
      <c r="K134" s="6"/>
      <c r="L134" s="9"/>
      <c r="M134" s="2"/>
    </row>
    <row r="135" spans="1:13">
      <c r="A135" s="12"/>
      <c r="B135" s="2"/>
      <c r="C135" s="2"/>
      <c r="D135" s="2"/>
      <c r="E135" s="2"/>
      <c r="F135" s="2"/>
      <c r="G135" s="2"/>
      <c r="H135" s="2"/>
      <c r="I135" s="5"/>
      <c r="J135" s="2"/>
      <c r="K135" s="6"/>
      <c r="L135" s="9"/>
      <c r="M135" s="2"/>
    </row>
    <row r="136" spans="1:13">
      <c r="A136" s="12"/>
      <c r="B136" s="2"/>
      <c r="C136" s="2"/>
      <c r="D136" s="2"/>
      <c r="E136" s="2"/>
      <c r="F136" s="2"/>
      <c r="G136" s="2"/>
      <c r="H136" s="2"/>
      <c r="I136" s="5"/>
      <c r="J136" s="2"/>
      <c r="K136" s="6"/>
      <c r="L136" s="9"/>
      <c r="M136" s="2"/>
    </row>
    <row r="137" spans="1:13">
      <c r="A137" s="12"/>
      <c r="B137" s="2"/>
      <c r="C137" s="2"/>
      <c r="D137" s="2"/>
      <c r="E137" s="2"/>
      <c r="F137" s="2"/>
      <c r="G137" s="2"/>
      <c r="H137" s="2"/>
      <c r="I137" s="5"/>
      <c r="J137" s="2"/>
      <c r="K137" s="6"/>
      <c r="L137" s="9"/>
      <c r="M137" s="2"/>
    </row>
    <row r="138" spans="1:13">
      <c r="A138" s="12"/>
      <c r="B138" s="2"/>
      <c r="C138" s="2"/>
      <c r="D138" s="2"/>
      <c r="E138" s="2"/>
      <c r="F138" s="2"/>
      <c r="G138" s="2"/>
      <c r="H138" s="2"/>
      <c r="I138" s="5"/>
      <c r="J138" s="2"/>
      <c r="K138" s="6"/>
      <c r="L138" s="9"/>
      <c r="M138" s="2"/>
    </row>
    <row r="139" spans="1:13">
      <c r="A139" s="12"/>
      <c r="B139" s="2"/>
      <c r="C139" s="2"/>
      <c r="D139" s="2"/>
      <c r="E139" s="2"/>
      <c r="F139" s="2"/>
      <c r="G139" s="2"/>
      <c r="H139" s="2"/>
      <c r="I139" s="5"/>
      <c r="J139" s="2"/>
      <c r="K139" s="6"/>
      <c r="L139" s="9"/>
      <c r="M139" s="2"/>
    </row>
    <row r="140" spans="1:13">
      <c r="A140" s="12"/>
      <c r="B140" s="2"/>
      <c r="C140" s="2"/>
      <c r="D140" s="2"/>
      <c r="E140" s="2"/>
      <c r="F140" s="2"/>
      <c r="G140" s="2"/>
      <c r="H140" s="2"/>
      <c r="I140" s="5"/>
      <c r="J140" s="2"/>
      <c r="K140" s="6"/>
      <c r="L140" s="9"/>
      <c r="M140" s="2"/>
    </row>
    <row r="141" spans="1:13">
      <c r="A141" s="12"/>
      <c r="B141" s="2"/>
      <c r="C141" s="2"/>
      <c r="D141" s="2"/>
      <c r="E141" s="2"/>
      <c r="F141" s="2"/>
      <c r="G141" s="2"/>
      <c r="H141" s="2"/>
      <c r="I141" s="5"/>
      <c r="J141" s="2"/>
      <c r="K141" s="6"/>
      <c r="L141" s="9"/>
      <c r="M141" s="2"/>
    </row>
    <row r="142" spans="1:13">
      <c r="A142" s="12"/>
      <c r="B142" s="2"/>
      <c r="C142" s="2"/>
      <c r="D142" s="2"/>
      <c r="E142" s="2"/>
      <c r="F142" s="2"/>
      <c r="G142" s="2"/>
      <c r="H142" s="2"/>
      <c r="I142" s="5"/>
      <c r="J142" s="2"/>
      <c r="K142" s="6"/>
      <c r="L142" s="9"/>
      <c r="M142" s="2"/>
    </row>
    <row r="143" spans="1:13">
      <c r="A143" s="12"/>
      <c r="B143" s="2"/>
      <c r="C143" s="2"/>
      <c r="D143" s="2"/>
      <c r="E143" s="2"/>
      <c r="F143" s="2"/>
      <c r="G143" s="2"/>
      <c r="H143" s="2"/>
      <c r="I143" s="5"/>
      <c r="J143" s="2"/>
      <c r="K143" s="6"/>
      <c r="L143" s="9"/>
      <c r="M143" s="2"/>
    </row>
    <row r="144" spans="1:13">
      <c r="A144" s="12"/>
      <c r="B144" s="2"/>
      <c r="C144" s="2"/>
      <c r="D144" s="2"/>
      <c r="E144" s="2"/>
      <c r="F144" s="2"/>
      <c r="G144" s="2"/>
      <c r="H144" s="2"/>
      <c r="I144" s="5"/>
      <c r="J144" s="2"/>
      <c r="K144" s="6"/>
      <c r="L144" s="9"/>
      <c r="M144" s="2"/>
    </row>
    <row r="145" spans="1:13">
      <c r="A145" s="12"/>
      <c r="B145" s="2"/>
      <c r="C145" s="2"/>
      <c r="D145" s="2"/>
      <c r="E145" s="2"/>
      <c r="F145" s="2"/>
      <c r="G145" s="2"/>
      <c r="H145" s="2"/>
      <c r="I145" s="5"/>
      <c r="J145" s="2"/>
      <c r="K145" s="6"/>
      <c r="L145" s="9"/>
      <c r="M145" s="2"/>
    </row>
    <row r="146" spans="1:13">
      <c r="A146" s="12"/>
      <c r="B146" s="2"/>
      <c r="C146" s="2"/>
      <c r="D146" s="2"/>
      <c r="E146" s="2"/>
      <c r="F146" s="2"/>
      <c r="G146" s="2"/>
      <c r="H146" s="2"/>
      <c r="I146" s="5"/>
      <c r="J146" s="2"/>
      <c r="K146" s="6"/>
      <c r="L146" s="9"/>
      <c r="M146" s="2"/>
    </row>
    <row r="147" spans="1:13">
      <c r="A147" s="12"/>
      <c r="B147" s="2"/>
      <c r="C147" s="2"/>
      <c r="D147" s="2"/>
      <c r="E147" s="2"/>
      <c r="F147" s="2"/>
      <c r="G147" s="2"/>
      <c r="H147" s="2"/>
      <c r="I147" s="5"/>
      <c r="J147" s="2"/>
      <c r="K147" s="6"/>
      <c r="L147" s="9"/>
      <c r="M147" s="2"/>
    </row>
    <row r="148" spans="1:13">
      <c r="A148" s="12"/>
      <c r="B148" s="2"/>
      <c r="C148" s="2"/>
      <c r="D148" s="2"/>
      <c r="E148" s="2"/>
      <c r="F148" s="2"/>
      <c r="G148" s="2"/>
      <c r="H148" s="2"/>
      <c r="I148" s="5"/>
      <c r="J148" s="2"/>
      <c r="K148" s="6"/>
      <c r="L148" s="9"/>
      <c r="M148" s="2"/>
    </row>
    <row r="149" spans="1:13">
      <c r="A149" s="12"/>
      <c r="B149" s="2"/>
      <c r="C149" s="2"/>
      <c r="D149" s="2"/>
      <c r="E149" s="2"/>
      <c r="F149" s="2"/>
      <c r="G149" s="2"/>
      <c r="H149" s="2"/>
      <c r="I149" s="5"/>
      <c r="J149" s="2"/>
      <c r="K149" s="6"/>
      <c r="L149" s="9"/>
      <c r="M149" s="2"/>
    </row>
    <row r="150" spans="1:13">
      <c r="A150" s="12"/>
      <c r="B150" s="2"/>
      <c r="C150" s="2"/>
      <c r="D150" s="2"/>
      <c r="E150" s="2"/>
      <c r="F150" s="2"/>
      <c r="G150" s="2"/>
      <c r="H150" s="2"/>
      <c r="I150" s="5"/>
      <c r="J150" s="2"/>
      <c r="K150" s="6"/>
      <c r="L150" s="9"/>
      <c r="M150" s="2"/>
    </row>
    <row r="151" spans="1:13">
      <c r="A151" s="12"/>
      <c r="B151" s="2"/>
      <c r="C151" s="2"/>
      <c r="D151" s="2"/>
      <c r="E151" s="2"/>
      <c r="F151" s="2"/>
      <c r="G151" s="2"/>
      <c r="H151" s="2"/>
      <c r="I151" s="5"/>
      <c r="J151" s="2"/>
      <c r="K151" s="6"/>
      <c r="L151" s="9"/>
      <c r="M151" s="2"/>
    </row>
    <row r="152" spans="1:13">
      <c r="A152" s="12"/>
      <c r="B152" s="2"/>
      <c r="C152" s="2"/>
      <c r="D152" s="2"/>
      <c r="E152" s="2"/>
      <c r="F152" s="2"/>
      <c r="G152" s="2"/>
      <c r="H152" s="2"/>
      <c r="I152" s="5"/>
      <c r="J152" s="2"/>
      <c r="K152" s="6"/>
      <c r="L152" s="9"/>
      <c r="M152" s="2"/>
    </row>
    <row r="153" spans="1:13">
      <c r="A153" s="12"/>
      <c r="B153" s="2"/>
      <c r="C153" s="2"/>
      <c r="D153" s="2"/>
      <c r="E153" s="2"/>
      <c r="F153" s="2"/>
      <c r="G153" s="2"/>
      <c r="H153" s="2"/>
      <c r="I153" s="5"/>
      <c r="J153" s="2"/>
      <c r="K153" s="6"/>
      <c r="L153" s="9"/>
      <c r="M153" s="2"/>
    </row>
    <row r="154" spans="1:13">
      <c r="A154" s="12"/>
      <c r="B154" s="2"/>
      <c r="C154" s="2"/>
      <c r="D154" s="2"/>
      <c r="E154" s="2"/>
      <c r="F154" s="2"/>
      <c r="G154" s="2"/>
      <c r="H154" s="2"/>
      <c r="I154" s="5"/>
      <c r="J154" s="2"/>
      <c r="K154" s="6"/>
      <c r="L154" s="9"/>
      <c r="M154" s="2"/>
    </row>
    <row r="155" spans="1:13">
      <c r="A155" s="12"/>
      <c r="B155" s="2"/>
      <c r="C155" s="2"/>
      <c r="D155" s="2"/>
      <c r="E155" s="2"/>
      <c r="F155" s="2"/>
      <c r="G155" s="2"/>
      <c r="H155" s="2"/>
      <c r="I155" s="5"/>
      <c r="J155" s="2"/>
      <c r="K155" s="6"/>
      <c r="L155" s="9"/>
      <c r="M155" s="2"/>
    </row>
    <row r="156" spans="1:13">
      <c r="A156" s="12"/>
      <c r="B156" s="2"/>
      <c r="C156" s="2"/>
      <c r="D156" s="2"/>
      <c r="E156" s="2"/>
      <c r="F156" s="2"/>
      <c r="G156" s="2"/>
      <c r="H156" s="2"/>
      <c r="I156" s="5"/>
      <c r="J156" s="2"/>
      <c r="K156" s="6"/>
      <c r="L156" s="9"/>
      <c r="M156" s="2"/>
    </row>
    <row r="157" spans="1:13">
      <c r="A157" s="12"/>
      <c r="B157" s="2"/>
      <c r="C157" s="2"/>
      <c r="D157" s="2"/>
      <c r="E157" s="2"/>
      <c r="F157" s="2"/>
      <c r="G157" s="2"/>
      <c r="H157" s="2"/>
      <c r="I157" s="5"/>
      <c r="J157" s="2"/>
      <c r="K157" s="6"/>
      <c r="L157" s="9"/>
      <c r="M157" s="2"/>
    </row>
    <row r="158" spans="1:13">
      <c r="A158" s="12"/>
      <c r="B158" s="2"/>
      <c r="C158" s="2"/>
      <c r="D158" s="2"/>
      <c r="E158" s="2"/>
      <c r="F158" s="2"/>
      <c r="G158" s="2"/>
      <c r="H158" s="2"/>
      <c r="I158" s="5"/>
      <c r="J158" s="2"/>
      <c r="K158" s="6"/>
      <c r="L158" s="9"/>
      <c r="M158" s="2"/>
    </row>
    <row r="159" spans="1:13">
      <c r="A159" s="12"/>
      <c r="B159" s="2"/>
      <c r="C159" s="2"/>
      <c r="D159" s="2"/>
      <c r="E159" s="2"/>
      <c r="F159" s="2"/>
      <c r="G159" s="2"/>
      <c r="H159" s="2"/>
      <c r="I159" s="5"/>
      <c r="J159" s="2"/>
      <c r="K159" s="6"/>
      <c r="L159" s="9"/>
      <c r="M159" s="2"/>
    </row>
    <row r="160" spans="1:13">
      <c r="A160" s="12"/>
      <c r="B160" s="2"/>
      <c r="C160" s="2"/>
      <c r="D160" s="2"/>
      <c r="E160" s="2"/>
      <c r="F160" s="2"/>
      <c r="G160" s="2"/>
      <c r="H160" s="2"/>
      <c r="I160" s="5"/>
      <c r="J160" s="2"/>
      <c r="K160" s="6"/>
      <c r="L160" s="9"/>
      <c r="M160" s="2"/>
    </row>
    <row r="161" spans="1:13">
      <c r="A161" s="12"/>
      <c r="B161" s="2"/>
      <c r="C161" s="2"/>
      <c r="D161" s="2"/>
      <c r="E161" s="2"/>
      <c r="F161" s="2"/>
      <c r="G161" s="2"/>
      <c r="H161" s="2"/>
      <c r="I161" s="5"/>
      <c r="J161" s="2"/>
      <c r="K161" s="6"/>
      <c r="L161" s="9"/>
      <c r="M161" s="2"/>
    </row>
    <row r="162" spans="1:13">
      <c r="A162" s="12"/>
      <c r="B162" s="2"/>
      <c r="C162" s="2"/>
      <c r="D162" s="2"/>
      <c r="E162" s="2"/>
      <c r="F162" s="2"/>
      <c r="G162" s="2"/>
      <c r="H162" s="2"/>
      <c r="I162" s="5"/>
      <c r="J162" s="2"/>
      <c r="K162" s="6"/>
      <c r="L162" s="9"/>
      <c r="M162" s="2"/>
    </row>
    <row r="163" spans="1:13">
      <c r="A163" s="12"/>
      <c r="B163" s="2"/>
      <c r="C163" s="2"/>
      <c r="D163" s="2"/>
      <c r="E163" s="2"/>
      <c r="F163" s="2"/>
      <c r="G163" s="2"/>
      <c r="H163" s="2"/>
      <c r="I163" s="5"/>
      <c r="J163" s="2"/>
      <c r="K163" s="6"/>
      <c r="L163" s="9"/>
      <c r="M163" s="2"/>
    </row>
    <row r="164" spans="1:13">
      <c r="A164" s="12"/>
      <c r="B164" s="2"/>
      <c r="C164" s="2"/>
      <c r="D164" s="2"/>
      <c r="E164" s="2"/>
      <c r="F164" s="2"/>
      <c r="G164" s="2"/>
      <c r="H164" s="2"/>
      <c r="I164" s="5"/>
      <c r="J164" s="2"/>
      <c r="K164" s="6"/>
      <c r="L164" s="9"/>
      <c r="M164" s="2"/>
    </row>
    <row r="165" spans="1:13">
      <c r="A165" s="12"/>
      <c r="B165" s="2"/>
      <c r="C165" s="2"/>
      <c r="D165" s="2"/>
      <c r="E165" s="2"/>
      <c r="F165" s="2"/>
      <c r="G165" s="2"/>
      <c r="H165" s="2"/>
      <c r="I165" s="5"/>
      <c r="J165" s="2"/>
      <c r="K165" s="6"/>
      <c r="L165" s="9"/>
      <c r="M165" s="2"/>
    </row>
    <row r="166" spans="1:13">
      <c r="A166" s="12"/>
      <c r="B166" s="2"/>
      <c r="C166" s="2"/>
      <c r="D166" s="2"/>
      <c r="E166" s="2"/>
      <c r="F166" s="2"/>
      <c r="G166" s="2"/>
      <c r="H166" s="2"/>
      <c r="I166" s="5"/>
      <c r="J166" s="2"/>
      <c r="K166" s="6"/>
      <c r="L166" s="9"/>
      <c r="M166" s="2"/>
    </row>
    <row r="167" spans="1:13">
      <c r="A167" s="12"/>
      <c r="B167" s="2"/>
      <c r="C167" s="2"/>
      <c r="D167" s="2"/>
      <c r="E167" s="2"/>
      <c r="F167" s="2"/>
      <c r="G167" s="2"/>
      <c r="H167" s="2"/>
      <c r="I167" s="5"/>
      <c r="J167" s="2"/>
      <c r="K167" s="6"/>
      <c r="L167" s="9"/>
      <c r="M167" s="2"/>
    </row>
    <row r="168" spans="1:13">
      <c r="A168" s="12"/>
      <c r="B168" s="2"/>
      <c r="C168" s="2"/>
      <c r="D168" s="2"/>
      <c r="E168" s="2"/>
      <c r="F168" s="2"/>
      <c r="G168" s="2"/>
      <c r="H168" s="2"/>
      <c r="I168" s="5"/>
      <c r="J168" s="2"/>
      <c r="K168" s="6"/>
      <c r="L168" s="9"/>
      <c r="M168" s="2"/>
    </row>
    <row r="169" spans="1:13">
      <c r="A169" s="12"/>
      <c r="B169" s="2"/>
      <c r="C169" s="2"/>
      <c r="D169" s="2"/>
      <c r="E169" s="2"/>
      <c r="F169" s="2"/>
      <c r="G169" s="2"/>
      <c r="H169" s="2"/>
      <c r="I169" s="5"/>
      <c r="J169" s="2"/>
      <c r="K169" s="6"/>
      <c r="L169" s="9"/>
      <c r="M169" s="2"/>
    </row>
    <row r="170" spans="1:13">
      <c r="A170" s="12"/>
      <c r="B170" s="2"/>
      <c r="C170" s="2"/>
      <c r="D170" s="2"/>
      <c r="E170" s="2"/>
      <c r="F170" s="2"/>
      <c r="G170" s="2"/>
      <c r="H170" s="2"/>
      <c r="I170" s="5"/>
      <c r="J170" s="2"/>
      <c r="K170" s="6"/>
      <c r="L170" s="9"/>
      <c r="M170" s="2"/>
    </row>
    <row r="171" spans="1:13">
      <c r="A171" s="12"/>
      <c r="B171" s="2"/>
      <c r="C171" s="2"/>
      <c r="D171" s="2"/>
      <c r="E171" s="2"/>
      <c r="F171" s="2"/>
      <c r="G171" s="2"/>
      <c r="H171" s="2"/>
      <c r="I171" s="5"/>
      <c r="J171" s="2"/>
      <c r="K171" s="6"/>
      <c r="L171" s="9"/>
      <c r="M171" s="2"/>
    </row>
    <row r="172" spans="1:13">
      <c r="A172" s="12"/>
      <c r="B172" s="2"/>
      <c r="C172" s="2"/>
      <c r="D172" s="2"/>
      <c r="E172" s="2"/>
      <c r="F172" s="2"/>
      <c r="G172" s="2"/>
      <c r="H172" s="2"/>
      <c r="I172" s="5"/>
      <c r="J172" s="2"/>
      <c r="K172" s="6"/>
      <c r="L172" s="9"/>
      <c r="M172" s="2"/>
    </row>
    <row r="173" spans="1:13">
      <c r="A173" s="12"/>
      <c r="B173" s="2"/>
      <c r="C173" s="2"/>
      <c r="D173" s="2"/>
      <c r="E173" s="2"/>
      <c r="F173" s="2"/>
      <c r="G173" s="2"/>
      <c r="H173" s="2"/>
      <c r="I173" s="5"/>
      <c r="J173" s="2"/>
      <c r="K173" s="6"/>
      <c r="L173" s="9"/>
      <c r="M173" s="2"/>
    </row>
    <row r="174" spans="1:13">
      <c r="A174" s="12"/>
      <c r="B174" s="2"/>
      <c r="C174" s="2"/>
      <c r="D174" s="2"/>
      <c r="E174" s="2"/>
      <c r="F174" s="2"/>
      <c r="G174" s="2"/>
      <c r="H174" s="2"/>
      <c r="I174" s="5"/>
      <c r="J174" s="2"/>
      <c r="K174" s="6"/>
      <c r="L174" s="9"/>
      <c r="M174" s="2"/>
    </row>
    <row r="175" spans="1:13">
      <c r="A175" s="12"/>
      <c r="B175" s="2"/>
      <c r="C175" s="2"/>
      <c r="D175" s="2"/>
      <c r="E175" s="2"/>
      <c r="F175" s="2"/>
      <c r="G175" s="2"/>
      <c r="H175" s="2"/>
      <c r="I175" s="5"/>
      <c r="J175" s="2"/>
      <c r="K175" s="6"/>
      <c r="L175" s="9"/>
      <c r="M175" s="2"/>
    </row>
    <row r="176" spans="1:13">
      <c r="A176" s="12"/>
      <c r="B176" s="2"/>
      <c r="C176" s="2"/>
      <c r="D176" s="2"/>
      <c r="E176" s="2"/>
      <c r="F176" s="2"/>
      <c r="G176" s="2"/>
      <c r="H176" s="2"/>
      <c r="I176" s="5"/>
      <c r="J176" s="2"/>
      <c r="K176" s="6"/>
      <c r="L176" s="9"/>
      <c r="M176" s="2"/>
    </row>
    <row r="177" spans="1:13">
      <c r="A177" s="12"/>
      <c r="B177" s="2"/>
      <c r="C177" s="2"/>
      <c r="D177" s="2"/>
      <c r="E177" s="2"/>
      <c r="F177" s="2"/>
      <c r="G177" s="2"/>
      <c r="H177" s="2"/>
      <c r="I177" s="5"/>
      <c r="J177" s="2"/>
      <c r="K177" s="6"/>
      <c r="L177" s="9"/>
      <c r="M177" s="2"/>
    </row>
    <row r="178" spans="1:13">
      <c r="A178" s="12"/>
      <c r="B178" s="2"/>
      <c r="C178" s="2"/>
      <c r="D178" s="2"/>
      <c r="E178" s="2"/>
      <c r="F178" s="2"/>
      <c r="G178" s="2"/>
      <c r="H178" s="2"/>
      <c r="I178" s="5"/>
      <c r="J178" s="2"/>
      <c r="K178" s="6"/>
      <c r="L178" s="9"/>
      <c r="M178" s="2"/>
    </row>
    <row r="179" spans="1:13">
      <c r="A179" s="12"/>
      <c r="B179" s="2"/>
      <c r="C179" s="2"/>
      <c r="D179" s="2"/>
      <c r="E179" s="2"/>
      <c r="F179" s="2"/>
      <c r="G179" s="2"/>
      <c r="H179" s="2"/>
      <c r="I179" s="5"/>
      <c r="J179" s="2"/>
      <c r="K179" s="6"/>
      <c r="L179" s="9"/>
      <c r="M179" s="2"/>
    </row>
    <row r="180" spans="1:13">
      <c r="A180" s="12"/>
      <c r="B180" s="2"/>
      <c r="C180" s="2"/>
      <c r="D180" s="2"/>
      <c r="E180" s="2"/>
      <c r="F180" s="2"/>
      <c r="G180" s="2"/>
      <c r="H180" s="2"/>
      <c r="I180" s="5"/>
      <c r="J180" s="2"/>
      <c r="K180" s="6"/>
      <c r="L180" s="9"/>
      <c r="M180" s="2"/>
    </row>
    <row r="181" spans="1:13">
      <c r="A181" s="12"/>
      <c r="B181" s="2"/>
      <c r="C181" s="2"/>
      <c r="D181" s="2"/>
      <c r="E181" s="2"/>
      <c r="F181" s="2"/>
      <c r="G181" s="2"/>
      <c r="H181" s="2"/>
      <c r="I181" s="5"/>
      <c r="J181" s="2"/>
      <c r="K181" s="6"/>
      <c r="L181" s="9"/>
      <c r="M181" s="2"/>
    </row>
    <row r="182" spans="1:13">
      <c r="A182" s="12"/>
      <c r="B182" s="2"/>
      <c r="C182" s="2"/>
      <c r="D182" s="2"/>
      <c r="E182" s="2"/>
      <c r="F182" s="2"/>
      <c r="G182" s="2"/>
      <c r="H182" s="2"/>
      <c r="I182" s="5"/>
      <c r="J182" s="2"/>
      <c r="K182" s="6"/>
      <c r="L182" s="9"/>
      <c r="M182" s="2"/>
    </row>
    <row r="183" spans="1:13">
      <c r="A183" s="12"/>
      <c r="B183" s="2"/>
      <c r="C183" s="2"/>
      <c r="D183" s="2"/>
      <c r="E183" s="2"/>
      <c r="F183" s="2"/>
      <c r="G183" s="2"/>
      <c r="H183" s="2"/>
      <c r="I183" s="5"/>
      <c r="J183" s="2"/>
      <c r="K183" s="6"/>
      <c r="L183" s="9"/>
      <c r="M183" s="2"/>
    </row>
    <row r="184" spans="1:13">
      <c r="A184" s="12"/>
      <c r="B184" s="2"/>
      <c r="C184" s="2"/>
      <c r="D184" s="2"/>
      <c r="E184" s="2"/>
      <c r="F184" s="2"/>
      <c r="G184" s="2"/>
      <c r="H184" s="2"/>
      <c r="I184" s="5"/>
      <c r="J184" s="2"/>
      <c r="K184" s="6"/>
      <c r="L184" s="9"/>
      <c r="M184" s="2"/>
    </row>
    <row r="185" spans="1:13">
      <c r="A185" s="12"/>
      <c r="B185" s="2"/>
      <c r="C185" s="2"/>
      <c r="D185" s="2"/>
      <c r="E185" s="2"/>
      <c r="F185" s="2"/>
      <c r="G185" s="2"/>
      <c r="H185" s="2"/>
      <c r="I185" s="5"/>
      <c r="J185" s="2"/>
      <c r="K185" s="6"/>
      <c r="L185" s="9"/>
      <c r="M185" s="2"/>
    </row>
    <row r="186" spans="1:13">
      <c r="A186" s="12"/>
      <c r="B186" s="2"/>
      <c r="C186" s="2"/>
      <c r="D186" s="2"/>
      <c r="E186" s="2"/>
      <c r="F186" s="2"/>
      <c r="G186" s="2"/>
      <c r="H186" s="2"/>
      <c r="I186" s="5"/>
      <c r="J186" s="2"/>
      <c r="K186" s="6"/>
      <c r="L186" s="9"/>
      <c r="M186" s="2"/>
    </row>
    <row r="187" spans="1:13">
      <c r="A187" s="12"/>
      <c r="B187" s="2"/>
      <c r="C187" s="2"/>
      <c r="D187" s="2"/>
      <c r="E187" s="2"/>
      <c r="F187" s="2"/>
      <c r="G187" s="2"/>
      <c r="H187" s="2"/>
      <c r="I187" s="5"/>
      <c r="J187" s="2"/>
      <c r="K187" s="6"/>
      <c r="L187" s="9"/>
      <c r="M187" s="2"/>
    </row>
    <row r="188" spans="1:13">
      <c r="A188" s="12"/>
      <c r="B188" s="2"/>
      <c r="C188" s="2"/>
      <c r="D188" s="2"/>
      <c r="E188" s="2"/>
      <c r="F188" s="2"/>
      <c r="G188" s="2"/>
      <c r="H188" s="2"/>
      <c r="I188" s="5"/>
      <c r="J188" s="2"/>
      <c r="K188" s="6"/>
      <c r="L188" s="9"/>
      <c r="M188" s="2"/>
    </row>
    <row r="189" spans="1:13">
      <c r="A189" s="12"/>
      <c r="B189" s="2"/>
      <c r="C189" s="2"/>
      <c r="D189" s="2"/>
      <c r="E189" s="2"/>
      <c r="F189" s="2"/>
      <c r="G189" s="2"/>
      <c r="H189" s="2"/>
      <c r="I189" s="5"/>
      <c r="J189" s="2"/>
      <c r="K189" s="6"/>
      <c r="L189" s="9"/>
      <c r="M189" s="2"/>
    </row>
    <row r="190" spans="1:13">
      <c r="A190" s="12"/>
      <c r="B190" s="2"/>
      <c r="C190" s="2"/>
      <c r="D190" s="2"/>
      <c r="E190" s="2"/>
      <c r="F190" s="2"/>
      <c r="G190" s="2"/>
      <c r="H190" s="2"/>
      <c r="I190" s="5"/>
      <c r="J190" s="2"/>
      <c r="K190" s="6"/>
      <c r="L190" s="9"/>
      <c r="M190" s="2"/>
    </row>
    <row r="191" spans="1:13">
      <c r="A191" s="12"/>
      <c r="B191" s="2"/>
      <c r="C191" s="2"/>
      <c r="D191" s="2"/>
      <c r="E191" s="2"/>
      <c r="F191" s="2"/>
      <c r="G191" s="2"/>
      <c r="H191" s="2"/>
      <c r="I191" s="5"/>
      <c r="J191" s="2"/>
      <c r="K191" s="6"/>
      <c r="L191" s="9"/>
      <c r="M191" s="2"/>
    </row>
    <row r="192" spans="1:13">
      <c r="A192" s="12"/>
      <c r="B192" s="2"/>
      <c r="C192" s="2"/>
      <c r="D192" s="2"/>
      <c r="E192" s="2"/>
      <c r="F192" s="2"/>
      <c r="G192" s="2"/>
      <c r="H192" s="2"/>
      <c r="I192" s="5"/>
      <c r="J192" s="2"/>
      <c r="K192" s="6"/>
      <c r="L192" s="9"/>
      <c r="M192" s="2"/>
    </row>
    <row r="193" spans="1:13">
      <c r="A193" s="12"/>
      <c r="B193" s="2"/>
      <c r="C193" s="2"/>
      <c r="D193" s="2"/>
      <c r="E193" s="2"/>
      <c r="F193" s="2"/>
      <c r="G193" s="2"/>
      <c r="H193" s="2"/>
      <c r="I193" s="5"/>
      <c r="J193" s="2"/>
      <c r="K193" s="6"/>
      <c r="L193" s="9"/>
      <c r="M193" s="2"/>
    </row>
    <row r="194" spans="1:13">
      <c r="A194" s="12"/>
      <c r="B194" s="2"/>
      <c r="C194" s="2"/>
      <c r="D194" s="2"/>
      <c r="E194" s="2"/>
      <c r="F194" s="2"/>
      <c r="G194" s="2"/>
      <c r="H194" s="2"/>
      <c r="I194" s="5"/>
      <c r="J194" s="2"/>
      <c r="K194" s="6"/>
      <c r="L194" s="9"/>
      <c r="M194" s="2"/>
    </row>
    <row r="195" spans="1:13">
      <c r="A195" s="12"/>
      <c r="B195" s="2"/>
      <c r="C195" s="2"/>
      <c r="D195" s="2"/>
      <c r="E195" s="2"/>
      <c r="F195" s="2"/>
      <c r="G195" s="2"/>
      <c r="H195" s="2"/>
      <c r="I195" s="5"/>
      <c r="J195" s="2"/>
      <c r="K195" s="6"/>
      <c r="L195" s="9"/>
      <c r="M195" s="2"/>
    </row>
    <row r="196" spans="1:13">
      <c r="A196" s="12"/>
      <c r="B196" s="2"/>
      <c r="C196" s="2"/>
      <c r="D196" s="2"/>
      <c r="E196" s="2"/>
      <c r="F196" s="2"/>
      <c r="G196" s="2"/>
      <c r="H196" s="2"/>
      <c r="I196" s="5"/>
      <c r="J196" s="2"/>
      <c r="K196" s="6"/>
      <c r="L196" s="9"/>
      <c r="M196" s="2"/>
    </row>
    <row r="197" spans="1:13">
      <c r="A197" s="12"/>
      <c r="B197" s="2"/>
      <c r="C197" s="2"/>
      <c r="D197" s="2"/>
      <c r="E197" s="2"/>
      <c r="F197" s="2"/>
      <c r="G197" s="2"/>
      <c r="H197" s="2"/>
      <c r="I197" s="5"/>
      <c r="J197" s="2"/>
      <c r="K197" s="6"/>
      <c r="L197" s="9"/>
      <c r="M197" s="2"/>
    </row>
    <row r="198" spans="1:13">
      <c r="A198" s="12"/>
      <c r="B198" s="2"/>
      <c r="C198" s="2"/>
      <c r="D198" s="2"/>
      <c r="E198" s="2"/>
      <c r="F198" s="2"/>
      <c r="G198" s="2"/>
      <c r="H198" s="2"/>
      <c r="I198" s="5"/>
      <c r="J198" s="2"/>
      <c r="K198" s="6"/>
      <c r="L198" s="9"/>
      <c r="M198" s="2"/>
    </row>
    <row r="199" spans="1:13">
      <c r="A199" s="12"/>
      <c r="B199" s="2"/>
      <c r="C199" s="2"/>
      <c r="D199" s="2"/>
      <c r="E199" s="2"/>
      <c r="F199" s="2"/>
      <c r="G199" s="2"/>
      <c r="H199" s="2"/>
      <c r="I199" s="5"/>
      <c r="J199" s="2"/>
      <c r="K199" s="6"/>
      <c r="L199" s="9"/>
      <c r="M199" s="2"/>
    </row>
    <row r="200" spans="1:13">
      <c r="A200" s="12"/>
      <c r="B200" s="2"/>
      <c r="C200" s="2"/>
      <c r="D200" s="2"/>
      <c r="E200" s="2"/>
      <c r="F200" s="2"/>
      <c r="G200" s="2"/>
      <c r="H200" s="2"/>
      <c r="I200" s="5"/>
      <c r="J200" s="2"/>
      <c r="K200" s="6"/>
      <c r="L200" s="9"/>
      <c r="M200" s="2"/>
    </row>
    <row r="201" spans="1:13">
      <c r="A201" s="12"/>
      <c r="B201" s="2"/>
      <c r="C201" s="2"/>
      <c r="D201" s="2"/>
      <c r="E201" s="2"/>
      <c r="F201" s="2"/>
      <c r="G201" s="2"/>
      <c r="H201" s="2"/>
      <c r="I201" s="5"/>
      <c r="J201" s="2"/>
      <c r="K201" s="6"/>
      <c r="L201" s="9"/>
      <c r="M201" s="2"/>
    </row>
    <row r="202" spans="1:13">
      <c r="A202" s="12"/>
      <c r="B202" s="2"/>
      <c r="C202" s="2"/>
      <c r="D202" s="2"/>
      <c r="E202" s="2"/>
      <c r="F202" s="2"/>
      <c r="G202" s="2"/>
      <c r="H202" s="2"/>
      <c r="I202" s="5"/>
      <c r="J202" s="2"/>
      <c r="K202" s="6"/>
      <c r="L202" s="9"/>
      <c r="M202" s="2"/>
    </row>
    <row r="203" spans="1:13">
      <c r="A203" s="12"/>
      <c r="B203" s="2"/>
      <c r="C203" s="2"/>
      <c r="D203" s="2"/>
      <c r="E203" s="2"/>
      <c r="F203" s="2"/>
      <c r="G203" s="2"/>
      <c r="H203" s="2"/>
      <c r="I203" s="5"/>
      <c r="J203" s="2"/>
      <c r="K203" s="6"/>
      <c r="L203" s="9"/>
      <c r="M203" s="2"/>
    </row>
    <row r="204" spans="1:13">
      <c r="A204" s="12"/>
      <c r="B204" s="2"/>
      <c r="C204" s="2"/>
      <c r="D204" s="2"/>
      <c r="E204" s="2"/>
      <c r="F204" s="2"/>
      <c r="G204" s="2"/>
      <c r="H204" s="2"/>
      <c r="I204" s="5"/>
      <c r="J204" s="2"/>
      <c r="K204" s="6"/>
      <c r="L204" s="9"/>
      <c r="M204" s="2"/>
    </row>
    <row r="205" spans="1:13">
      <c r="A205" s="12"/>
      <c r="B205" s="2"/>
      <c r="C205" s="2"/>
      <c r="D205" s="2"/>
      <c r="E205" s="2"/>
      <c r="F205" s="2"/>
      <c r="G205" s="2"/>
      <c r="H205" s="2"/>
      <c r="I205" s="5"/>
      <c r="J205" s="2"/>
      <c r="K205" s="6"/>
      <c r="L205" s="9"/>
      <c r="M205" s="2"/>
    </row>
    <row r="206" spans="1:13">
      <c r="A206" s="12"/>
      <c r="B206" s="2"/>
      <c r="C206" s="2"/>
      <c r="D206" s="2"/>
      <c r="E206" s="2"/>
      <c r="F206" s="2"/>
      <c r="G206" s="2"/>
      <c r="H206" s="2"/>
      <c r="I206" s="5"/>
      <c r="J206" s="2"/>
      <c r="K206" s="6"/>
      <c r="L206" s="9"/>
      <c r="M206" s="2"/>
    </row>
    <row r="207" spans="1:13">
      <c r="A207" s="12"/>
      <c r="B207" s="2"/>
      <c r="C207" s="2"/>
      <c r="D207" s="2"/>
      <c r="E207" s="2"/>
      <c r="F207" s="2"/>
      <c r="G207" s="2"/>
      <c r="H207" s="2"/>
      <c r="I207" s="5"/>
      <c r="J207" s="2"/>
      <c r="K207" s="6"/>
      <c r="L207" s="9"/>
      <c r="M207" s="2"/>
    </row>
    <row r="208" spans="1:13">
      <c r="A208" s="12"/>
      <c r="B208" s="2"/>
      <c r="C208" s="2"/>
      <c r="D208" s="2"/>
      <c r="E208" s="2"/>
      <c r="F208" s="2"/>
      <c r="G208" s="2"/>
      <c r="H208" s="2"/>
      <c r="I208" s="5"/>
      <c r="J208" s="2"/>
      <c r="K208" s="6"/>
      <c r="L208" s="9"/>
      <c r="M208" s="2"/>
    </row>
    <row r="209" spans="1:13">
      <c r="A209" s="12"/>
      <c r="B209" s="2"/>
      <c r="C209" s="2"/>
      <c r="D209" s="2"/>
      <c r="E209" s="2"/>
      <c r="F209" s="2"/>
      <c r="G209" s="2"/>
      <c r="H209" s="2"/>
      <c r="I209" s="5"/>
      <c r="J209" s="2"/>
      <c r="K209" s="6"/>
      <c r="L209" s="9"/>
      <c r="M209" s="2"/>
    </row>
    <row r="210" spans="1:13">
      <c r="A210" s="12"/>
      <c r="B210" s="2"/>
      <c r="C210" s="2"/>
      <c r="D210" s="2"/>
      <c r="E210" s="2"/>
      <c r="F210" s="2"/>
      <c r="G210" s="2"/>
      <c r="H210" s="2"/>
      <c r="I210" s="5"/>
      <c r="J210" s="2"/>
      <c r="K210" s="6"/>
      <c r="L210" s="9"/>
      <c r="M210" s="2"/>
    </row>
    <row r="211" spans="1:13">
      <c r="A211" s="12"/>
      <c r="B211" s="2"/>
      <c r="C211" s="2"/>
      <c r="D211" s="2"/>
      <c r="E211" s="2"/>
      <c r="F211" s="2"/>
      <c r="G211" s="2"/>
      <c r="H211" s="2"/>
      <c r="I211" s="5"/>
      <c r="J211" s="2"/>
      <c r="K211" s="6"/>
      <c r="L211" s="9"/>
      <c r="M211" s="2"/>
    </row>
    <row r="212" spans="1:13">
      <c r="A212" s="12"/>
      <c r="B212" s="2"/>
      <c r="C212" s="2"/>
      <c r="D212" s="2"/>
      <c r="E212" s="2"/>
      <c r="F212" s="2"/>
      <c r="G212" s="2"/>
      <c r="H212" s="2"/>
      <c r="I212" s="5"/>
      <c r="J212" s="2"/>
      <c r="K212" s="6"/>
      <c r="L212" s="9"/>
      <c r="M212" s="2"/>
    </row>
    <row r="213" spans="1:13">
      <c r="A213" s="12"/>
      <c r="B213" s="2"/>
      <c r="C213" s="2"/>
      <c r="D213" s="2"/>
      <c r="E213" s="2"/>
      <c r="F213" s="2"/>
      <c r="G213" s="2"/>
      <c r="H213" s="2"/>
      <c r="I213" s="5"/>
      <c r="J213" s="2"/>
      <c r="K213" s="6"/>
      <c r="L213" s="9"/>
      <c r="M213" s="2"/>
    </row>
    <row r="214" spans="1:13">
      <c r="A214" s="12"/>
      <c r="B214" s="2"/>
      <c r="C214" s="2"/>
      <c r="D214" s="2"/>
      <c r="E214" s="2"/>
      <c r="F214" s="2"/>
      <c r="G214" s="2"/>
      <c r="H214" s="2"/>
      <c r="I214" s="5"/>
      <c r="J214" s="2"/>
      <c r="K214" s="6"/>
      <c r="L214" s="9"/>
      <c r="M214" s="2"/>
    </row>
    <row r="215" spans="1:13">
      <c r="A215" s="12"/>
      <c r="B215" s="2"/>
      <c r="C215" s="2"/>
      <c r="D215" s="2"/>
      <c r="E215" s="2"/>
      <c r="F215" s="2"/>
      <c r="G215" s="2"/>
      <c r="H215" s="2"/>
      <c r="I215" s="5"/>
      <c r="J215" s="2"/>
      <c r="K215" s="6"/>
      <c r="L215" s="9"/>
      <c r="M215" s="2"/>
    </row>
    <row r="216" spans="1:13">
      <c r="A216" s="12"/>
      <c r="B216" s="2"/>
      <c r="C216" s="2"/>
      <c r="D216" s="2"/>
      <c r="E216" s="2"/>
      <c r="F216" s="2"/>
      <c r="G216" s="2"/>
      <c r="H216" s="2"/>
      <c r="I216" s="5"/>
      <c r="J216" s="2"/>
      <c r="K216" s="6"/>
      <c r="L216" s="9"/>
      <c r="M216" s="2"/>
    </row>
    <row r="217" spans="1:13">
      <c r="A217" s="12"/>
      <c r="B217" s="2"/>
      <c r="C217" s="2"/>
      <c r="D217" s="2"/>
      <c r="E217" s="2"/>
      <c r="F217" s="2"/>
      <c r="G217" s="2"/>
      <c r="H217" s="2"/>
      <c r="I217" s="5"/>
      <c r="J217" s="2"/>
      <c r="K217" s="6"/>
      <c r="L217" s="9"/>
      <c r="M217" s="2"/>
    </row>
    <row r="218" spans="1:13">
      <c r="A218" s="12"/>
      <c r="B218" s="2"/>
      <c r="C218" s="2"/>
      <c r="D218" s="2"/>
      <c r="E218" s="2"/>
      <c r="F218" s="2"/>
      <c r="G218" s="2"/>
      <c r="H218" s="2"/>
      <c r="I218" s="5"/>
      <c r="J218" s="2"/>
      <c r="K218" s="6"/>
      <c r="L218" s="9"/>
      <c r="M218" s="2"/>
    </row>
    <row r="219" spans="1:13">
      <c r="A219" s="12"/>
      <c r="B219" s="2"/>
      <c r="C219" s="2"/>
      <c r="D219" s="2"/>
      <c r="E219" s="2"/>
      <c r="F219" s="2"/>
      <c r="G219" s="2"/>
      <c r="H219" s="2"/>
      <c r="I219" s="5"/>
      <c r="J219" s="2"/>
      <c r="K219" s="6"/>
      <c r="L219" s="9"/>
      <c r="M219" s="2"/>
    </row>
    <row r="220" spans="1:13">
      <c r="A220" s="12"/>
      <c r="B220" s="2"/>
      <c r="C220" s="2"/>
      <c r="D220" s="2"/>
      <c r="E220" s="2"/>
      <c r="F220" s="2"/>
      <c r="G220" s="2"/>
      <c r="H220" s="2"/>
      <c r="I220" s="5"/>
      <c r="J220" s="2"/>
      <c r="K220" s="6"/>
      <c r="L220" s="9"/>
      <c r="M220" s="2"/>
    </row>
    <row r="221" spans="1:13">
      <c r="A221" s="12"/>
      <c r="B221" s="2"/>
      <c r="C221" s="2"/>
      <c r="D221" s="2"/>
      <c r="E221" s="2"/>
      <c r="F221" s="2"/>
      <c r="G221" s="2"/>
      <c r="H221" s="2"/>
      <c r="I221" s="5"/>
      <c r="J221" s="2"/>
      <c r="K221" s="6"/>
      <c r="L221" s="9"/>
      <c r="M221" s="2"/>
    </row>
    <row r="222" spans="1:13">
      <c r="A222" s="12"/>
      <c r="B222" s="2"/>
      <c r="C222" s="2"/>
      <c r="D222" s="2"/>
      <c r="E222" s="2"/>
      <c r="F222" s="2"/>
      <c r="G222" s="2"/>
      <c r="H222" s="2"/>
      <c r="I222" s="5"/>
      <c r="J222" s="2"/>
      <c r="K222" s="6"/>
      <c r="L222" s="9"/>
      <c r="M222" s="2"/>
    </row>
    <row r="223" spans="1:13">
      <c r="A223" s="12"/>
      <c r="B223" s="2"/>
      <c r="C223" s="2"/>
      <c r="D223" s="2"/>
      <c r="E223" s="2"/>
      <c r="F223" s="2"/>
      <c r="G223" s="2"/>
      <c r="H223" s="2"/>
      <c r="I223" s="5"/>
      <c r="J223" s="2"/>
      <c r="K223" s="6"/>
      <c r="L223" s="9"/>
      <c r="M223" s="2"/>
    </row>
    <row r="224" spans="1:13">
      <c r="A224" s="12"/>
      <c r="B224" s="2"/>
      <c r="C224" s="2"/>
      <c r="D224" s="2"/>
      <c r="E224" s="2"/>
      <c r="F224" s="2"/>
      <c r="G224" s="2"/>
      <c r="H224" s="2"/>
      <c r="I224" s="5"/>
      <c r="J224" s="2"/>
      <c r="K224" s="6"/>
      <c r="L224" s="9"/>
      <c r="M224" s="2"/>
    </row>
    <row r="225" spans="1:13">
      <c r="A225" s="12"/>
      <c r="B225" s="2"/>
      <c r="C225" s="2"/>
      <c r="D225" s="2"/>
      <c r="E225" s="2"/>
      <c r="F225" s="2"/>
      <c r="G225" s="2"/>
      <c r="H225" s="2"/>
      <c r="I225" s="5"/>
      <c r="J225" s="2"/>
      <c r="K225" s="6"/>
      <c r="L225" s="9"/>
      <c r="M225" s="2"/>
    </row>
    <row r="226" spans="1:13">
      <c r="A226" s="12"/>
      <c r="B226" s="2"/>
      <c r="C226" s="2"/>
      <c r="D226" s="2"/>
      <c r="E226" s="2"/>
      <c r="F226" s="2"/>
      <c r="G226" s="2"/>
      <c r="H226" s="2"/>
      <c r="I226" s="5"/>
      <c r="J226" s="2"/>
      <c r="K226" s="6"/>
      <c r="L226" s="9"/>
      <c r="M226" s="2"/>
    </row>
    <row r="227" spans="1:13">
      <c r="A227" s="12"/>
      <c r="B227" s="2"/>
      <c r="C227" s="2"/>
      <c r="D227" s="2"/>
      <c r="E227" s="2"/>
      <c r="F227" s="2"/>
      <c r="G227" s="2"/>
      <c r="H227" s="2"/>
      <c r="I227" s="5"/>
      <c r="J227" s="2"/>
      <c r="K227" s="6"/>
      <c r="L227" s="9"/>
      <c r="M227" s="2"/>
    </row>
    <row r="228" spans="1:13">
      <c r="A228" s="12"/>
      <c r="B228" s="2"/>
      <c r="C228" s="2"/>
      <c r="D228" s="2"/>
      <c r="E228" s="2"/>
      <c r="F228" s="2"/>
      <c r="G228" s="2"/>
      <c r="H228" s="2"/>
      <c r="I228" s="5"/>
      <c r="J228" s="2"/>
      <c r="K228" s="6"/>
      <c r="L228" s="9"/>
      <c r="M228" s="2"/>
    </row>
    <row r="229" spans="1:13">
      <c r="A229" s="12"/>
      <c r="B229" s="2"/>
      <c r="C229" s="2"/>
      <c r="D229" s="2"/>
      <c r="E229" s="2"/>
      <c r="F229" s="2"/>
      <c r="G229" s="2"/>
      <c r="H229" s="2"/>
      <c r="I229" s="5"/>
      <c r="J229" s="2"/>
      <c r="K229" s="6"/>
      <c r="L229" s="9"/>
      <c r="M229" s="2"/>
    </row>
    <row r="230" spans="1:13">
      <c r="A230" s="12"/>
      <c r="B230" s="2"/>
      <c r="C230" s="2"/>
      <c r="D230" s="2"/>
      <c r="E230" s="2"/>
      <c r="F230" s="2"/>
      <c r="G230" s="2"/>
      <c r="H230" s="2"/>
      <c r="I230" s="5"/>
      <c r="J230" s="2"/>
      <c r="K230" s="6"/>
      <c r="L230" s="9"/>
      <c r="M230" s="2"/>
    </row>
    <row r="231" spans="1:13">
      <c r="A231" s="12"/>
      <c r="B231" s="2"/>
      <c r="C231" s="2"/>
      <c r="D231" s="2"/>
      <c r="E231" s="2"/>
      <c r="F231" s="2"/>
      <c r="G231" s="2"/>
      <c r="H231" s="2"/>
      <c r="I231" s="5"/>
      <c r="J231" s="2"/>
      <c r="K231" s="6"/>
      <c r="L231" s="9"/>
      <c r="M231" s="2"/>
    </row>
    <row r="232" spans="1:13">
      <c r="A232" s="12"/>
      <c r="B232" s="2"/>
      <c r="C232" s="2"/>
      <c r="D232" s="2"/>
      <c r="E232" s="2"/>
      <c r="F232" s="2"/>
      <c r="G232" s="2"/>
      <c r="H232" s="2"/>
      <c r="I232" s="5"/>
      <c r="J232" s="2"/>
      <c r="K232" s="6"/>
      <c r="L232" s="9"/>
      <c r="M232" s="2"/>
    </row>
    <row r="233" spans="1:13">
      <c r="A233" s="12"/>
      <c r="B233" s="2"/>
      <c r="C233" s="2"/>
      <c r="D233" s="2"/>
      <c r="E233" s="2"/>
      <c r="F233" s="2"/>
      <c r="G233" s="2"/>
      <c r="H233" s="2"/>
      <c r="I233" s="5"/>
      <c r="J233" s="2"/>
      <c r="K233" s="6"/>
      <c r="L233" s="9"/>
      <c r="M233" s="2"/>
    </row>
    <row r="234" spans="1:13">
      <c r="A234" s="12"/>
      <c r="B234" s="2"/>
      <c r="C234" s="2"/>
      <c r="D234" s="2"/>
      <c r="E234" s="2"/>
      <c r="F234" s="2"/>
      <c r="G234" s="2"/>
      <c r="H234" s="2"/>
      <c r="I234" s="5"/>
      <c r="J234" s="2"/>
      <c r="K234" s="6"/>
      <c r="L234" s="9"/>
      <c r="M234" s="2"/>
    </row>
    <row r="235" spans="1:13">
      <c r="A235" s="12"/>
      <c r="B235" s="2"/>
      <c r="C235" s="2"/>
      <c r="D235" s="2"/>
      <c r="E235" s="2"/>
      <c r="F235" s="2"/>
      <c r="G235" s="2"/>
      <c r="H235" s="2"/>
      <c r="I235" s="5"/>
      <c r="J235" s="2"/>
      <c r="K235" s="6"/>
      <c r="L235" s="9"/>
      <c r="M235" s="2"/>
    </row>
    <row r="236" spans="1:13">
      <c r="A236" s="12"/>
      <c r="B236" s="2"/>
      <c r="C236" s="2"/>
      <c r="D236" s="2"/>
      <c r="E236" s="2"/>
      <c r="F236" s="2"/>
      <c r="G236" s="2"/>
      <c r="H236" s="2"/>
      <c r="I236" s="5"/>
      <c r="J236" s="2"/>
      <c r="K236" s="6"/>
      <c r="L236" s="9"/>
      <c r="M236" s="2"/>
    </row>
    <row r="237" spans="1:13">
      <c r="A237" s="12"/>
      <c r="B237" s="2"/>
      <c r="C237" s="2"/>
      <c r="D237" s="2"/>
      <c r="E237" s="2"/>
      <c r="F237" s="2"/>
      <c r="G237" s="2"/>
      <c r="H237" s="2"/>
      <c r="I237" s="5"/>
      <c r="J237" s="2"/>
      <c r="K237" s="6"/>
      <c r="L237" s="9"/>
      <c r="M237" s="2"/>
    </row>
    <row r="238" spans="1:13">
      <c r="A238" s="12"/>
      <c r="B238" s="2"/>
      <c r="C238" s="2"/>
      <c r="D238" s="2"/>
      <c r="E238" s="2"/>
      <c r="F238" s="2"/>
      <c r="G238" s="2"/>
      <c r="H238" s="2"/>
      <c r="I238" s="5"/>
      <c r="J238" s="2"/>
      <c r="K238" s="6"/>
      <c r="L238" s="9"/>
      <c r="M238" s="2"/>
    </row>
    <row r="239" spans="1:13">
      <c r="A239" s="12"/>
      <c r="B239" s="2"/>
      <c r="C239" s="2"/>
      <c r="D239" s="2"/>
      <c r="E239" s="2"/>
      <c r="F239" s="2"/>
      <c r="G239" s="2"/>
      <c r="H239" s="2"/>
      <c r="I239" s="5"/>
      <c r="J239" s="2"/>
      <c r="K239" s="6"/>
      <c r="L239" s="9"/>
      <c r="M239" s="2"/>
    </row>
    <row r="240" spans="1:13">
      <c r="A240" s="12"/>
      <c r="B240" s="2"/>
      <c r="C240" s="2"/>
      <c r="D240" s="2"/>
      <c r="E240" s="2"/>
      <c r="F240" s="2"/>
      <c r="G240" s="2"/>
      <c r="H240" s="2"/>
      <c r="I240" s="5"/>
      <c r="J240" s="2"/>
      <c r="K240" s="6"/>
      <c r="L240" s="9"/>
      <c r="M240" s="2"/>
    </row>
    <row r="241" spans="1:13">
      <c r="A241" s="12"/>
      <c r="B241" s="2"/>
      <c r="C241" s="2"/>
      <c r="D241" s="2"/>
      <c r="E241" s="2"/>
      <c r="F241" s="2"/>
      <c r="G241" s="2"/>
      <c r="H241" s="2"/>
      <c r="I241" s="5"/>
      <c r="J241" s="2"/>
      <c r="K241" s="6"/>
      <c r="L241" s="9"/>
      <c r="M241" s="2"/>
    </row>
    <row r="242" spans="1:13">
      <c r="A242" s="12"/>
      <c r="B242" s="2"/>
      <c r="C242" s="2"/>
      <c r="D242" s="2"/>
      <c r="E242" s="2"/>
      <c r="F242" s="2"/>
      <c r="G242" s="2"/>
      <c r="H242" s="2"/>
      <c r="I242" s="5"/>
      <c r="J242" s="2"/>
      <c r="K242" s="6"/>
      <c r="L242" s="9"/>
      <c r="M242" s="2"/>
    </row>
    <row r="243" spans="1:13">
      <c r="A243" s="12"/>
      <c r="B243" s="2"/>
      <c r="C243" s="2"/>
      <c r="D243" s="2"/>
      <c r="E243" s="2"/>
      <c r="F243" s="2"/>
      <c r="G243" s="2"/>
      <c r="H243" s="2"/>
      <c r="I243" s="5"/>
      <c r="J243" s="2"/>
      <c r="K243" s="6"/>
      <c r="L243" s="9"/>
      <c r="M243" s="2"/>
    </row>
    <row r="244" spans="1:13">
      <c r="A244" s="12"/>
      <c r="B244" s="2"/>
      <c r="C244" s="2"/>
      <c r="D244" s="2"/>
      <c r="E244" s="2"/>
      <c r="F244" s="2"/>
      <c r="G244" s="2"/>
      <c r="H244" s="2"/>
      <c r="I244" s="5"/>
      <c r="J244" s="2"/>
      <c r="K244" s="6"/>
      <c r="L244" s="9"/>
      <c r="M244" s="2"/>
    </row>
    <row r="245" spans="1:13">
      <c r="A245" s="12"/>
      <c r="B245" s="2"/>
      <c r="C245" s="2"/>
      <c r="D245" s="2"/>
      <c r="E245" s="2"/>
      <c r="F245" s="2"/>
      <c r="G245" s="2"/>
      <c r="H245" s="2"/>
      <c r="I245" s="5"/>
      <c r="J245" s="2"/>
      <c r="K245" s="6"/>
      <c r="L245" s="9"/>
      <c r="M245" s="2"/>
    </row>
    <row r="246" spans="1:13">
      <c r="A246" s="12"/>
      <c r="B246" s="2"/>
      <c r="C246" s="2"/>
      <c r="D246" s="2"/>
      <c r="E246" s="2"/>
      <c r="F246" s="2"/>
      <c r="G246" s="2"/>
      <c r="H246" s="2"/>
      <c r="I246" s="5"/>
      <c r="J246" s="2"/>
      <c r="K246" s="6"/>
      <c r="L246" s="9"/>
      <c r="M246" s="2"/>
    </row>
    <row r="247" spans="1:13">
      <c r="A247" s="12"/>
      <c r="B247" s="2"/>
      <c r="C247" s="2"/>
      <c r="D247" s="2"/>
      <c r="E247" s="2"/>
      <c r="F247" s="2"/>
      <c r="G247" s="2"/>
      <c r="H247" s="2"/>
      <c r="I247" s="5"/>
      <c r="J247" s="2"/>
      <c r="K247" s="6"/>
      <c r="L247" s="9"/>
      <c r="M247" s="2"/>
    </row>
    <row r="248" spans="1:13">
      <c r="A248" s="12"/>
      <c r="B248" s="2"/>
      <c r="C248" s="2"/>
      <c r="D248" s="2"/>
      <c r="E248" s="2"/>
      <c r="F248" s="2"/>
      <c r="G248" s="2"/>
      <c r="H248" s="2"/>
      <c r="I248" s="5"/>
      <c r="J248" s="2"/>
      <c r="K248" s="6"/>
      <c r="L248" s="9"/>
      <c r="M248" s="2"/>
    </row>
    <row r="249" spans="1:13">
      <c r="A249" s="12"/>
      <c r="B249" s="2"/>
      <c r="C249" s="2"/>
      <c r="D249" s="2"/>
      <c r="E249" s="2"/>
      <c r="F249" s="2"/>
      <c r="G249" s="2"/>
      <c r="H249" s="2"/>
      <c r="I249" s="5"/>
      <c r="J249" s="2"/>
      <c r="K249" s="6"/>
      <c r="L249" s="9"/>
      <c r="M249" s="2"/>
    </row>
    <row r="250" spans="1:13">
      <c r="A250" s="12"/>
      <c r="B250" s="2"/>
      <c r="C250" s="2"/>
      <c r="D250" s="2"/>
      <c r="E250" s="2"/>
      <c r="F250" s="2"/>
      <c r="G250" s="2"/>
      <c r="H250" s="2"/>
      <c r="I250" s="5"/>
      <c r="J250" s="2"/>
      <c r="K250" s="6"/>
      <c r="L250" s="9"/>
      <c r="M250" s="2"/>
    </row>
    <row r="251" spans="1:13">
      <c r="A251" s="12"/>
      <c r="B251" s="2"/>
      <c r="C251" s="2"/>
      <c r="D251" s="2"/>
      <c r="E251" s="2"/>
      <c r="F251" s="2"/>
      <c r="G251" s="2"/>
      <c r="H251" s="2"/>
      <c r="I251" s="5"/>
      <c r="J251" s="2"/>
      <c r="K251" s="6"/>
      <c r="L251" s="9"/>
      <c r="M251" s="2"/>
    </row>
    <row r="252" spans="1:13">
      <c r="A252" s="12"/>
      <c r="B252" s="2"/>
      <c r="C252" s="2"/>
      <c r="D252" s="2"/>
      <c r="E252" s="2"/>
      <c r="F252" s="2"/>
      <c r="G252" s="2"/>
      <c r="H252" s="2"/>
      <c r="I252" s="5"/>
      <c r="J252" s="2"/>
      <c r="K252" s="6"/>
      <c r="L252" s="9"/>
      <c r="M252" s="2"/>
    </row>
    <row r="253" spans="1:13">
      <c r="A253" s="12"/>
      <c r="B253" s="2"/>
      <c r="C253" s="2"/>
      <c r="D253" s="2"/>
      <c r="E253" s="2"/>
      <c r="F253" s="2"/>
      <c r="G253" s="2"/>
      <c r="H253" s="2"/>
      <c r="I253" s="5"/>
      <c r="J253" s="2"/>
      <c r="K253" s="6"/>
      <c r="L253" s="9"/>
      <c r="M253" s="2"/>
    </row>
    <row r="254" spans="1:13">
      <c r="A254" s="12"/>
      <c r="B254" s="2"/>
      <c r="C254" s="2"/>
      <c r="D254" s="2"/>
      <c r="E254" s="2"/>
      <c r="F254" s="2"/>
      <c r="G254" s="2"/>
      <c r="H254" s="2"/>
      <c r="I254" s="5"/>
      <c r="J254" s="2"/>
      <c r="K254" s="6"/>
      <c r="L254" s="9"/>
      <c r="M254" s="2"/>
    </row>
    <row r="255" spans="1:13">
      <c r="A255" s="12"/>
      <c r="B255" s="2"/>
      <c r="C255" s="2"/>
      <c r="D255" s="2"/>
      <c r="E255" s="2"/>
      <c r="F255" s="2"/>
      <c r="G255" s="2"/>
      <c r="H255" s="2"/>
      <c r="I255" s="5"/>
      <c r="J255" s="2"/>
      <c r="K255" s="6"/>
      <c r="L255" s="9"/>
      <c r="M255" s="2"/>
    </row>
    <row r="256" spans="1:13">
      <c r="A256" s="12"/>
      <c r="B256" s="2"/>
      <c r="C256" s="2"/>
      <c r="D256" s="2"/>
      <c r="E256" s="2"/>
      <c r="F256" s="2"/>
      <c r="G256" s="2"/>
      <c r="H256" s="2"/>
      <c r="I256" s="5"/>
      <c r="J256" s="2"/>
      <c r="K256" s="6"/>
      <c r="L256" s="9"/>
      <c r="M256" s="2"/>
    </row>
    <row r="257" spans="1:13">
      <c r="A257" s="12"/>
      <c r="B257" s="2"/>
      <c r="C257" s="2"/>
      <c r="D257" s="2"/>
      <c r="E257" s="2"/>
      <c r="F257" s="2"/>
      <c r="G257" s="2"/>
      <c r="H257" s="2"/>
      <c r="I257" s="5"/>
      <c r="J257" s="2"/>
      <c r="K257" s="6"/>
      <c r="L257" s="9"/>
      <c r="M257" s="2"/>
    </row>
    <row r="258" spans="1:13">
      <c r="A258" s="12"/>
      <c r="B258" s="2"/>
      <c r="C258" s="2"/>
      <c r="D258" s="2"/>
      <c r="E258" s="2"/>
      <c r="F258" s="2"/>
      <c r="G258" s="2"/>
      <c r="H258" s="2"/>
      <c r="I258" s="5"/>
      <c r="J258" s="2"/>
      <c r="K258" s="6"/>
      <c r="L258" s="9"/>
      <c r="M258" s="2"/>
    </row>
    <row r="259" spans="1:13">
      <c r="A259" s="12"/>
      <c r="B259" s="2"/>
      <c r="C259" s="2"/>
      <c r="D259" s="2"/>
      <c r="E259" s="2"/>
      <c r="F259" s="2"/>
      <c r="G259" s="2"/>
      <c r="H259" s="2"/>
      <c r="I259" s="5"/>
      <c r="J259" s="2"/>
      <c r="K259" s="6"/>
      <c r="L259" s="9"/>
      <c r="M259" s="2"/>
    </row>
    <row r="260" spans="1:13">
      <c r="A260" s="12"/>
      <c r="B260" s="2"/>
      <c r="C260" s="2"/>
      <c r="D260" s="2"/>
      <c r="E260" s="2"/>
      <c r="F260" s="2"/>
      <c r="G260" s="2"/>
      <c r="H260" s="2"/>
      <c r="I260" s="5"/>
      <c r="J260" s="2"/>
      <c r="K260" s="6"/>
      <c r="L260" s="9"/>
      <c r="M260" s="2"/>
    </row>
    <row r="261" spans="1:13">
      <c r="A261" s="12"/>
      <c r="B261" s="2"/>
      <c r="C261" s="2"/>
      <c r="D261" s="2"/>
      <c r="E261" s="2"/>
      <c r="F261" s="2"/>
      <c r="G261" s="2"/>
      <c r="H261" s="2"/>
      <c r="I261" s="5"/>
      <c r="J261" s="2"/>
      <c r="K261" s="6"/>
      <c r="L261" s="9"/>
      <c r="M261" s="2"/>
    </row>
    <row r="262" spans="1:13">
      <c r="A262" s="12"/>
      <c r="B262" s="2"/>
      <c r="C262" s="2"/>
      <c r="D262" s="2"/>
      <c r="E262" s="2"/>
      <c r="F262" s="2"/>
      <c r="G262" s="2"/>
      <c r="H262" s="2"/>
      <c r="I262" s="5"/>
      <c r="J262" s="2"/>
      <c r="K262" s="6"/>
      <c r="L262" s="9"/>
      <c r="M262" s="2"/>
    </row>
    <row r="263" spans="1:13">
      <c r="A263" s="12"/>
      <c r="B263" s="2"/>
      <c r="C263" s="2"/>
      <c r="D263" s="2"/>
      <c r="E263" s="2"/>
      <c r="F263" s="2"/>
      <c r="G263" s="2"/>
      <c r="H263" s="2"/>
      <c r="I263" s="5"/>
      <c r="J263" s="2"/>
      <c r="K263" s="6"/>
      <c r="L263" s="9"/>
      <c r="M263" s="2"/>
    </row>
    <row r="264" spans="1:13">
      <c r="A264" s="12"/>
      <c r="B264" s="2"/>
      <c r="C264" s="2"/>
      <c r="D264" s="2"/>
      <c r="E264" s="2"/>
      <c r="F264" s="2"/>
      <c r="G264" s="2"/>
      <c r="H264" s="2"/>
      <c r="I264" s="5"/>
      <c r="J264" s="2"/>
      <c r="K264" s="6"/>
      <c r="L264" s="9"/>
      <c r="M264" s="2"/>
    </row>
    <row r="265" spans="1:13">
      <c r="A265" s="12"/>
      <c r="B265" s="2"/>
      <c r="C265" s="2"/>
      <c r="D265" s="2"/>
      <c r="E265" s="2"/>
      <c r="F265" s="2"/>
      <c r="G265" s="2"/>
      <c r="H265" s="2"/>
      <c r="I265" s="5"/>
      <c r="J265" s="2"/>
      <c r="K265" s="6"/>
      <c r="L265" s="9"/>
      <c r="M265" s="2"/>
    </row>
    <row r="266" spans="1:13">
      <c r="A266" s="12"/>
      <c r="B266" s="2"/>
      <c r="C266" s="2"/>
      <c r="D266" s="2"/>
      <c r="E266" s="2"/>
      <c r="F266" s="2"/>
      <c r="G266" s="2"/>
      <c r="H266" s="2"/>
      <c r="I266" s="5"/>
      <c r="J266" s="2"/>
      <c r="K266" s="6"/>
      <c r="L266" s="9"/>
      <c r="M266" s="2"/>
    </row>
    <row r="267" spans="1:13">
      <c r="A267" s="12"/>
      <c r="B267" s="2"/>
      <c r="C267" s="2"/>
      <c r="D267" s="2"/>
      <c r="E267" s="2"/>
      <c r="F267" s="2"/>
      <c r="G267" s="2"/>
      <c r="H267" s="2"/>
      <c r="I267" s="5"/>
      <c r="J267" s="2"/>
      <c r="K267" s="6"/>
      <c r="L267" s="9"/>
      <c r="M267" s="2"/>
    </row>
    <row r="268" spans="1:13">
      <c r="A268" s="12"/>
      <c r="B268" s="2"/>
      <c r="C268" s="2"/>
      <c r="D268" s="2"/>
      <c r="E268" s="2"/>
      <c r="F268" s="2"/>
      <c r="G268" s="2"/>
      <c r="H268" s="2"/>
      <c r="I268" s="5"/>
      <c r="J268" s="2"/>
      <c r="K268" s="6"/>
      <c r="L268" s="9"/>
      <c r="M268" s="2"/>
    </row>
    <row r="269" spans="1:13">
      <c r="A269" s="12"/>
      <c r="B269" s="2"/>
      <c r="C269" s="2"/>
      <c r="D269" s="2"/>
      <c r="E269" s="2"/>
      <c r="F269" s="2"/>
      <c r="G269" s="2"/>
      <c r="H269" s="2"/>
      <c r="I269" s="5"/>
      <c r="J269" s="2"/>
      <c r="K269" s="6"/>
      <c r="L269" s="9"/>
      <c r="M269" s="2"/>
    </row>
    <row r="270" spans="1:13">
      <c r="A270" s="12"/>
      <c r="B270" s="2"/>
      <c r="C270" s="2"/>
      <c r="D270" s="2"/>
      <c r="E270" s="2"/>
      <c r="F270" s="2"/>
      <c r="G270" s="2"/>
      <c r="H270" s="2"/>
      <c r="I270" s="5"/>
      <c r="J270" s="2"/>
      <c r="K270" s="6"/>
      <c r="L270" s="9"/>
      <c r="M270" s="2"/>
    </row>
    <row r="271" spans="1:13">
      <c r="A271" s="12"/>
      <c r="B271" s="2"/>
      <c r="C271" s="2"/>
      <c r="D271" s="2"/>
      <c r="E271" s="2"/>
      <c r="F271" s="2"/>
      <c r="G271" s="2"/>
      <c r="H271" s="2"/>
      <c r="I271" s="5"/>
      <c r="J271" s="2"/>
      <c r="K271" s="6"/>
      <c r="L271" s="9"/>
      <c r="M271" s="2"/>
    </row>
    <row r="272" spans="1:13">
      <c r="A272" s="12"/>
      <c r="B272" s="2"/>
      <c r="C272" s="2"/>
      <c r="D272" s="2"/>
      <c r="E272" s="2"/>
      <c r="F272" s="2"/>
      <c r="G272" s="2"/>
      <c r="H272" s="2"/>
      <c r="I272" s="5"/>
      <c r="J272" s="2"/>
      <c r="K272" s="6"/>
      <c r="L272" s="9"/>
      <c r="M272" s="2"/>
    </row>
    <row r="273" spans="1:13">
      <c r="A273" s="12"/>
      <c r="B273" s="2"/>
      <c r="C273" s="2"/>
      <c r="D273" s="2"/>
      <c r="E273" s="2"/>
      <c r="F273" s="2"/>
      <c r="G273" s="2"/>
      <c r="H273" s="2"/>
      <c r="I273" s="5"/>
      <c r="J273" s="2"/>
      <c r="K273" s="6"/>
      <c r="L273" s="9"/>
      <c r="M273" s="2"/>
    </row>
    <row r="274" spans="1:13">
      <c r="A274" s="12"/>
      <c r="B274" s="2"/>
      <c r="C274" s="2"/>
      <c r="D274" s="2"/>
      <c r="E274" s="2"/>
      <c r="F274" s="2"/>
      <c r="G274" s="2"/>
      <c r="H274" s="2"/>
      <c r="I274" s="5"/>
      <c r="J274" s="2"/>
      <c r="K274" s="6"/>
      <c r="L274" s="9"/>
      <c r="M274" s="2"/>
    </row>
    <row r="275" spans="1:13">
      <c r="A275" s="12"/>
      <c r="B275" s="2"/>
      <c r="C275" s="2"/>
      <c r="D275" s="2"/>
      <c r="E275" s="2"/>
      <c r="F275" s="2"/>
      <c r="G275" s="2"/>
      <c r="H275" s="2"/>
      <c r="I275" s="5"/>
      <c r="J275" s="2"/>
      <c r="K275" s="6"/>
      <c r="L275" s="9"/>
      <c r="M275" s="2"/>
    </row>
    <row r="276" spans="1:13">
      <c r="A276" s="12"/>
      <c r="B276" s="2"/>
      <c r="C276" s="2"/>
      <c r="D276" s="2"/>
      <c r="E276" s="2"/>
      <c r="F276" s="2"/>
      <c r="G276" s="2"/>
      <c r="H276" s="2"/>
      <c r="I276" s="5"/>
      <c r="J276" s="2"/>
      <c r="K276" s="6"/>
      <c r="L276" s="9"/>
      <c r="M276" s="2"/>
    </row>
    <row r="277" spans="1:13">
      <c r="A277" s="12"/>
      <c r="B277" s="2"/>
      <c r="C277" s="2"/>
      <c r="D277" s="2"/>
      <c r="E277" s="2"/>
      <c r="F277" s="2"/>
      <c r="G277" s="2"/>
      <c r="H277" s="2"/>
      <c r="I277" s="5"/>
      <c r="J277" s="2"/>
      <c r="K277" s="6"/>
      <c r="L277" s="9"/>
      <c r="M277" s="2"/>
    </row>
    <row r="278" spans="1:13">
      <c r="A278" s="12"/>
      <c r="B278" s="2"/>
      <c r="C278" s="2"/>
      <c r="D278" s="2"/>
      <c r="E278" s="2"/>
      <c r="F278" s="2"/>
      <c r="G278" s="2"/>
      <c r="H278" s="2"/>
      <c r="I278" s="5"/>
      <c r="J278" s="2"/>
      <c r="K278" s="6"/>
      <c r="L278" s="9"/>
      <c r="M278" s="2"/>
    </row>
    <row r="279" spans="1:13">
      <c r="A279" s="12"/>
      <c r="B279" s="2"/>
      <c r="C279" s="2"/>
      <c r="D279" s="2"/>
      <c r="E279" s="2"/>
      <c r="F279" s="2"/>
      <c r="G279" s="2"/>
      <c r="H279" s="2"/>
      <c r="I279" s="5"/>
      <c r="J279" s="2"/>
      <c r="K279" s="6"/>
      <c r="L279" s="9"/>
      <c r="M279" s="2"/>
    </row>
    <row r="280" spans="1:13">
      <c r="A280" s="12"/>
      <c r="B280" s="2"/>
      <c r="C280" s="2"/>
      <c r="D280" s="2"/>
      <c r="E280" s="2"/>
      <c r="F280" s="2"/>
      <c r="G280" s="2"/>
      <c r="H280" s="2"/>
      <c r="I280" s="5"/>
      <c r="J280" s="2"/>
      <c r="K280" s="6"/>
      <c r="L280" s="9"/>
      <c r="M280" s="2"/>
    </row>
    <row r="281" spans="1:13">
      <c r="A281" s="12"/>
      <c r="B281" s="2"/>
      <c r="C281" s="2"/>
      <c r="D281" s="2"/>
      <c r="E281" s="2"/>
      <c r="F281" s="2"/>
      <c r="G281" s="2"/>
      <c r="H281" s="2"/>
      <c r="I281" s="5"/>
      <c r="J281" s="2"/>
      <c r="K281" s="6"/>
      <c r="L281" s="9"/>
      <c r="M281" s="2"/>
    </row>
    <row r="282" spans="1:13">
      <c r="A282" s="12"/>
      <c r="B282" s="2"/>
      <c r="C282" s="2"/>
      <c r="D282" s="2"/>
      <c r="E282" s="2"/>
      <c r="F282" s="2"/>
      <c r="G282" s="2"/>
      <c r="H282" s="2"/>
      <c r="I282" s="5"/>
      <c r="J282" s="2"/>
      <c r="K282" s="6"/>
      <c r="L282" s="9"/>
      <c r="M282" s="2"/>
    </row>
    <row r="283" spans="1:13">
      <c r="A283" s="12"/>
      <c r="B283" s="2"/>
      <c r="C283" s="2"/>
      <c r="D283" s="2"/>
      <c r="E283" s="2"/>
      <c r="F283" s="2"/>
      <c r="G283" s="2"/>
      <c r="H283" s="2"/>
      <c r="I283" s="5"/>
      <c r="J283" s="2"/>
      <c r="K283" s="6"/>
      <c r="L283" s="9"/>
      <c r="M283" s="2"/>
    </row>
    <row r="284" spans="1:13">
      <c r="A284" s="12"/>
      <c r="B284" s="2"/>
      <c r="C284" s="2"/>
      <c r="D284" s="2"/>
      <c r="E284" s="2"/>
      <c r="F284" s="2"/>
      <c r="G284" s="2"/>
      <c r="H284" s="2"/>
      <c r="I284" s="5"/>
      <c r="J284" s="2"/>
      <c r="K284" s="6"/>
      <c r="L284" s="9"/>
      <c r="M284" s="2"/>
    </row>
    <row r="285" spans="1:13">
      <c r="A285" s="12"/>
      <c r="B285" s="2"/>
      <c r="C285" s="2"/>
      <c r="D285" s="2"/>
      <c r="E285" s="2"/>
      <c r="F285" s="2"/>
      <c r="G285" s="2"/>
      <c r="H285" s="2"/>
      <c r="I285" s="5"/>
      <c r="J285" s="2"/>
      <c r="K285" s="6"/>
      <c r="L285" s="9"/>
      <c r="M285" s="2"/>
    </row>
    <row r="286" spans="1:13">
      <c r="A286" s="12"/>
      <c r="B286" s="2"/>
      <c r="C286" s="2"/>
      <c r="D286" s="2"/>
      <c r="E286" s="2"/>
      <c r="F286" s="2"/>
      <c r="G286" s="2"/>
      <c r="H286" s="2"/>
      <c r="I286" s="5"/>
      <c r="J286" s="2"/>
      <c r="K286" s="6"/>
      <c r="L286" s="9"/>
      <c r="M286" s="2"/>
    </row>
    <row r="287" spans="1:13">
      <c r="A287" s="12"/>
      <c r="B287" s="2"/>
      <c r="C287" s="2"/>
      <c r="D287" s="2"/>
      <c r="E287" s="2"/>
      <c r="F287" s="2"/>
      <c r="G287" s="2"/>
      <c r="H287" s="2"/>
      <c r="I287" s="5"/>
      <c r="J287" s="2"/>
      <c r="K287" s="6"/>
      <c r="L287" s="9"/>
      <c r="M287" s="2"/>
    </row>
    <row r="288" spans="1:13">
      <c r="A288" s="12"/>
      <c r="B288" s="2"/>
      <c r="C288" s="2"/>
      <c r="D288" s="2"/>
      <c r="E288" s="2"/>
      <c r="F288" s="2"/>
      <c r="G288" s="2"/>
      <c r="H288" s="2"/>
      <c r="I288" s="5"/>
      <c r="J288" s="2"/>
      <c r="K288" s="6"/>
      <c r="L288" s="9"/>
      <c r="M288" s="2"/>
    </row>
    <row r="289" spans="1:13">
      <c r="A289" s="12"/>
      <c r="B289" s="2"/>
      <c r="C289" s="2"/>
      <c r="D289" s="2"/>
      <c r="E289" s="2"/>
      <c r="F289" s="2"/>
      <c r="G289" s="2"/>
      <c r="H289" s="2"/>
      <c r="I289" s="5"/>
      <c r="J289" s="2"/>
      <c r="K289" s="6"/>
      <c r="L289" s="9"/>
      <c r="M289" s="2"/>
    </row>
    <row r="290" spans="1:13">
      <c r="A290" s="12"/>
      <c r="B290" s="2"/>
      <c r="C290" s="2"/>
      <c r="D290" s="2"/>
      <c r="E290" s="2"/>
      <c r="F290" s="2"/>
      <c r="G290" s="2"/>
      <c r="H290" s="2"/>
      <c r="I290" s="5"/>
      <c r="J290" s="2"/>
      <c r="K290" s="6"/>
      <c r="L290" s="9"/>
      <c r="M290" s="2"/>
    </row>
    <row r="291" spans="1:13">
      <c r="A291" s="12"/>
      <c r="B291" s="2"/>
      <c r="C291" s="2"/>
      <c r="D291" s="2"/>
      <c r="E291" s="2"/>
      <c r="F291" s="2"/>
      <c r="G291" s="2"/>
      <c r="H291" s="2"/>
      <c r="I291" s="5"/>
      <c r="J291" s="2"/>
      <c r="K291" s="6"/>
      <c r="L291" s="9"/>
      <c r="M291" s="2"/>
    </row>
    <row r="292" spans="1:13">
      <c r="A292" s="12"/>
      <c r="B292" s="2"/>
      <c r="C292" s="2"/>
      <c r="D292" s="2"/>
      <c r="E292" s="2"/>
      <c r="F292" s="2"/>
      <c r="G292" s="2"/>
      <c r="H292" s="2"/>
      <c r="I292" s="5"/>
      <c r="J292" s="2"/>
      <c r="K292" s="6"/>
      <c r="L292" s="9"/>
      <c r="M292" s="2"/>
    </row>
    <row r="293" spans="1:13">
      <c r="A293" s="12"/>
      <c r="B293" s="2"/>
      <c r="C293" s="2"/>
      <c r="D293" s="2"/>
      <c r="E293" s="2"/>
      <c r="F293" s="2"/>
      <c r="G293" s="2"/>
      <c r="H293" s="2"/>
      <c r="I293" s="5"/>
      <c r="J293" s="2"/>
      <c r="K293" s="6"/>
      <c r="L293" s="9"/>
      <c r="M293" s="2"/>
    </row>
    <row r="294" spans="1:13">
      <c r="A294" s="12"/>
      <c r="B294" s="2"/>
      <c r="C294" s="2"/>
      <c r="D294" s="2"/>
      <c r="E294" s="2"/>
      <c r="F294" s="2"/>
      <c r="G294" s="2"/>
      <c r="H294" s="2"/>
      <c r="I294" s="5"/>
      <c r="J294" s="2"/>
      <c r="K294" s="6"/>
      <c r="L294" s="9"/>
      <c r="M294" s="2"/>
    </row>
    <row r="295" spans="1:13">
      <c r="A295" s="12"/>
      <c r="B295" s="2"/>
      <c r="C295" s="2"/>
      <c r="D295" s="2"/>
      <c r="E295" s="2"/>
      <c r="F295" s="2"/>
      <c r="G295" s="2"/>
      <c r="H295" s="2"/>
      <c r="I295" s="5"/>
      <c r="J295" s="2"/>
      <c r="K295" s="6"/>
      <c r="L295" s="9"/>
      <c r="M295" s="2"/>
    </row>
    <row r="296" spans="1:13">
      <c r="A296" s="12"/>
      <c r="B296" s="2"/>
      <c r="C296" s="2"/>
      <c r="D296" s="2"/>
      <c r="E296" s="2"/>
      <c r="F296" s="2"/>
      <c r="G296" s="2"/>
      <c r="H296" s="2"/>
      <c r="I296" s="5"/>
      <c r="J296" s="2"/>
      <c r="K296" s="6"/>
      <c r="L296" s="9"/>
      <c r="M296" s="2"/>
    </row>
    <row r="297" spans="1:13">
      <c r="A297" s="12"/>
      <c r="B297" s="2"/>
      <c r="C297" s="2"/>
      <c r="D297" s="2"/>
      <c r="E297" s="2"/>
      <c r="F297" s="2"/>
      <c r="G297" s="2"/>
      <c r="H297" s="2"/>
      <c r="I297" s="5"/>
      <c r="J297" s="2"/>
      <c r="K297" s="6"/>
      <c r="L297" s="9"/>
      <c r="M297" s="2"/>
    </row>
    <row r="298" spans="1:13">
      <c r="A298" s="12"/>
      <c r="B298" s="2"/>
      <c r="C298" s="2"/>
      <c r="D298" s="2"/>
      <c r="E298" s="2"/>
      <c r="F298" s="2"/>
      <c r="G298" s="2"/>
      <c r="H298" s="2"/>
      <c r="I298" s="5"/>
      <c r="J298" s="2"/>
      <c r="K298" s="6"/>
      <c r="L298" s="9"/>
      <c r="M298" s="2"/>
    </row>
    <row r="299" spans="1:13">
      <c r="A299" s="12"/>
      <c r="B299" s="2"/>
      <c r="C299" s="2"/>
      <c r="D299" s="2"/>
      <c r="E299" s="2"/>
      <c r="F299" s="2"/>
      <c r="G299" s="2"/>
      <c r="H299" s="2"/>
      <c r="I299" s="5"/>
      <c r="J299" s="2"/>
      <c r="K299" s="6"/>
      <c r="L299" s="9"/>
      <c r="M299" s="2"/>
    </row>
    <row r="300" spans="1:13">
      <c r="A300" s="12"/>
      <c r="B300" s="2"/>
      <c r="C300" s="2"/>
      <c r="D300" s="2"/>
      <c r="E300" s="2"/>
      <c r="F300" s="2"/>
      <c r="G300" s="2"/>
      <c r="H300" s="2"/>
      <c r="I300" s="5"/>
      <c r="J300" s="2"/>
      <c r="K300" s="6"/>
      <c r="L300" s="9"/>
      <c r="M300" s="2"/>
    </row>
    <row r="301" spans="1:13">
      <c r="A301" s="10"/>
    </row>
    <row r="302" spans="1:13">
      <c r="A302" s="10"/>
    </row>
    <row r="303" spans="1:13">
      <c r="A303" s="10"/>
    </row>
    <row r="304" spans="1:13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  <row r="390" spans="1:1">
      <c r="A390" s="10"/>
    </row>
    <row r="391" spans="1:1">
      <c r="A391" s="10"/>
    </row>
    <row r="392" spans="1:1">
      <c r="A392" s="10"/>
    </row>
    <row r="393" spans="1:1">
      <c r="A393" s="10"/>
    </row>
    <row r="394" spans="1:1">
      <c r="A394" s="10"/>
    </row>
    <row r="395" spans="1:1">
      <c r="A395" s="10"/>
    </row>
    <row r="396" spans="1:1">
      <c r="A396" s="10"/>
    </row>
    <row r="397" spans="1:1">
      <c r="A397" s="10"/>
    </row>
    <row r="398" spans="1:1">
      <c r="A398" s="10"/>
    </row>
    <row r="399" spans="1:1">
      <c r="A399" s="10"/>
    </row>
    <row r="400" spans="1:1">
      <c r="A400" s="10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10"/>
    </row>
    <row r="410" spans="1:1">
      <c r="A410" s="10"/>
    </row>
    <row r="411" spans="1:1">
      <c r="A411" s="10"/>
    </row>
    <row r="412" spans="1:1">
      <c r="A412" s="10"/>
    </row>
    <row r="413" spans="1:1">
      <c r="A413" s="10"/>
    </row>
    <row r="414" spans="1:1">
      <c r="A414" s="10"/>
    </row>
    <row r="415" spans="1:1">
      <c r="A415" s="10"/>
    </row>
    <row r="416" spans="1:1">
      <c r="A416" s="10"/>
    </row>
    <row r="417" spans="1:1">
      <c r="A417" s="10"/>
    </row>
    <row r="418" spans="1:1">
      <c r="A418" s="10"/>
    </row>
    <row r="419" spans="1:1">
      <c r="A419" s="10"/>
    </row>
    <row r="420" spans="1:1">
      <c r="A420" s="10"/>
    </row>
    <row r="421" spans="1:1">
      <c r="A421" s="10"/>
    </row>
    <row r="422" spans="1:1">
      <c r="A422" s="10"/>
    </row>
    <row r="423" spans="1:1">
      <c r="A423" s="10"/>
    </row>
    <row r="424" spans="1:1">
      <c r="A424" s="10"/>
    </row>
    <row r="425" spans="1:1">
      <c r="A425" s="10"/>
    </row>
    <row r="426" spans="1:1">
      <c r="A426" s="10"/>
    </row>
    <row r="427" spans="1:1">
      <c r="A427" s="10"/>
    </row>
    <row r="428" spans="1:1">
      <c r="A428" s="10"/>
    </row>
    <row r="429" spans="1:1">
      <c r="A429" s="10"/>
    </row>
    <row r="430" spans="1:1">
      <c r="A430" s="10"/>
    </row>
    <row r="431" spans="1:1">
      <c r="A431" s="10"/>
    </row>
    <row r="432" spans="1:1">
      <c r="A432" s="10"/>
    </row>
    <row r="433" spans="1:1">
      <c r="A433" s="10"/>
    </row>
    <row r="434" spans="1:1">
      <c r="A434" s="10"/>
    </row>
    <row r="435" spans="1:1">
      <c r="A435" s="10"/>
    </row>
    <row r="436" spans="1:1">
      <c r="A436" s="10"/>
    </row>
    <row r="437" spans="1:1">
      <c r="A437" s="10"/>
    </row>
    <row r="438" spans="1:1">
      <c r="A438" s="10"/>
    </row>
    <row r="439" spans="1:1">
      <c r="A439" s="10"/>
    </row>
    <row r="440" spans="1:1">
      <c r="A440" s="10"/>
    </row>
    <row r="441" spans="1:1">
      <c r="A441" s="10"/>
    </row>
    <row r="442" spans="1:1">
      <c r="A442" s="10"/>
    </row>
    <row r="443" spans="1:1">
      <c r="A443" s="10"/>
    </row>
    <row r="444" spans="1:1">
      <c r="A444" s="10"/>
    </row>
    <row r="445" spans="1:1">
      <c r="A445" s="10"/>
    </row>
    <row r="446" spans="1:1">
      <c r="A446" s="10"/>
    </row>
    <row r="447" spans="1:1">
      <c r="A447" s="10"/>
    </row>
    <row r="448" spans="1:1">
      <c r="A448" s="10"/>
    </row>
    <row r="449" spans="1:1">
      <c r="A449" s="10"/>
    </row>
    <row r="450" spans="1:1">
      <c r="A450" s="10"/>
    </row>
    <row r="451" spans="1:1">
      <c r="A451" s="10"/>
    </row>
    <row r="452" spans="1:1">
      <c r="A452" s="10"/>
    </row>
    <row r="453" spans="1:1">
      <c r="A453" s="10"/>
    </row>
    <row r="454" spans="1:1">
      <c r="A454" s="10"/>
    </row>
    <row r="455" spans="1:1">
      <c r="A455" s="10"/>
    </row>
    <row r="456" spans="1:1">
      <c r="A456" s="10"/>
    </row>
    <row r="457" spans="1:1">
      <c r="A457" s="10"/>
    </row>
    <row r="458" spans="1:1">
      <c r="A458" s="10"/>
    </row>
    <row r="459" spans="1:1">
      <c r="A459" s="10"/>
    </row>
    <row r="460" spans="1:1">
      <c r="A460" s="10"/>
    </row>
    <row r="461" spans="1:1">
      <c r="A461" s="10"/>
    </row>
    <row r="462" spans="1:1">
      <c r="A462" s="10"/>
    </row>
    <row r="463" spans="1:1">
      <c r="A463" s="10"/>
    </row>
    <row r="464" spans="1:1">
      <c r="A464" s="10"/>
    </row>
    <row r="465" spans="1:1">
      <c r="A465" s="10"/>
    </row>
    <row r="466" spans="1:1">
      <c r="A466" s="10"/>
    </row>
    <row r="467" spans="1:1">
      <c r="A467" s="10"/>
    </row>
    <row r="468" spans="1:1">
      <c r="A468" s="10"/>
    </row>
    <row r="469" spans="1:1">
      <c r="A469" s="10"/>
    </row>
    <row r="470" spans="1:1">
      <c r="A470" s="10"/>
    </row>
    <row r="471" spans="1:1">
      <c r="A471" s="10"/>
    </row>
    <row r="472" spans="1:1">
      <c r="A472" s="10"/>
    </row>
    <row r="473" spans="1:1">
      <c r="A473" s="10"/>
    </row>
    <row r="474" spans="1:1">
      <c r="A474" s="10"/>
    </row>
    <row r="475" spans="1:1">
      <c r="A475" s="10"/>
    </row>
    <row r="476" spans="1:1">
      <c r="A476" s="10"/>
    </row>
    <row r="477" spans="1:1">
      <c r="A477" s="10"/>
    </row>
    <row r="478" spans="1:1">
      <c r="A478" s="10"/>
    </row>
    <row r="479" spans="1:1">
      <c r="A479" s="10"/>
    </row>
    <row r="480" spans="1:1">
      <c r="A480" s="10"/>
    </row>
    <row r="481" spans="1:1">
      <c r="A481" s="10"/>
    </row>
    <row r="482" spans="1:1">
      <c r="A482" s="10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500"/>
  <sheetViews>
    <sheetView workbookViewId="0"/>
  </sheetViews>
  <sheetFormatPr baseColWidth="10" defaultColWidth="8.6640625" defaultRowHeight="14"/>
  <cols>
    <col min="1" max="1" width="4.9140625" customWidth="1"/>
    <col min="2" max="2" width="5.08203125" customWidth="1"/>
    <col min="3" max="3" width="7.6640625" customWidth="1"/>
    <col min="4" max="4" width="8.4140625" customWidth="1"/>
    <col min="5" max="5" width="3.9140625" customWidth="1"/>
    <col min="6" max="6" width="8.6640625" customWidth="1"/>
    <col min="7" max="7" width="5.08203125" customWidth="1"/>
    <col min="8" max="8" width="9.5" customWidth="1"/>
    <col min="9" max="9" width="12.6640625" customWidth="1"/>
    <col min="10" max="10" width="8.9140625" customWidth="1"/>
    <col min="11" max="11" width="6.1640625" customWidth="1"/>
    <col min="12" max="12" width="15" customWidth="1"/>
  </cols>
  <sheetData>
    <row r="1" spans="1:12" ht="15.15" customHeight="1">
      <c r="A1" s="43" t="s">
        <v>286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>
      <c r="A2" s="10"/>
    </row>
    <row r="3" spans="1:12" ht="13.4" customHeight="1">
      <c r="A3" s="11" t="s">
        <v>287</v>
      </c>
      <c r="B3" s="1" t="s">
        <v>219</v>
      </c>
      <c r="C3" s="1" t="s">
        <v>288</v>
      </c>
      <c r="D3" s="1" t="s">
        <v>289</v>
      </c>
      <c r="E3" s="1" t="s">
        <v>290</v>
      </c>
      <c r="F3" s="1" t="s">
        <v>291</v>
      </c>
      <c r="G3" s="1" t="s">
        <v>292</v>
      </c>
      <c r="H3" s="1" t="s">
        <v>293</v>
      </c>
      <c r="I3" s="1" t="s">
        <v>294</v>
      </c>
      <c r="J3" s="1" t="s">
        <v>295</v>
      </c>
      <c r="K3" s="1" t="s">
        <v>165</v>
      </c>
      <c r="L3" s="1" t="s">
        <v>296</v>
      </c>
    </row>
    <row r="4" spans="1:12">
      <c r="A4" s="12"/>
      <c r="B4" s="5"/>
      <c r="C4" s="2"/>
      <c r="D4" s="2"/>
      <c r="E4" s="2"/>
      <c r="F4" s="2"/>
      <c r="G4" s="2"/>
      <c r="H4" s="2"/>
      <c r="I4" s="2"/>
      <c r="J4" s="2"/>
      <c r="K4" s="2"/>
      <c r="L4" s="7"/>
    </row>
    <row r="5" spans="1:12">
      <c r="A5" s="12"/>
      <c r="B5" s="5"/>
      <c r="C5" s="2"/>
      <c r="D5" s="2"/>
      <c r="E5" s="2"/>
      <c r="F5" s="2"/>
      <c r="G5" s="2"/>
      <c r="H5" s="2"/>
      <c r="I5" s="2"/>
      <c r="J5" s="2"/>
      <c r="K5" s="2"/>
      <c r="L5" s="7"/>
    </row>
    <row r="6" spans="1:12">
      <c r="A6" s="12"/>
      <c r="B6" s="5"/>
      <c r="C6" s="2"/>
      <c r="D6" s="2"/>
      <c r="E6" s="2"/>
      <c r="F6" s="2"/>
      <c r="G6" s="2"/>
      <c r="H6" s="2"/>
      <c r="I6" s="2"/>
      <c r="J6" s="2"/>
      <c r="K6" s="2"/>
      <c r="L6" s="7"/>
    </row>
    <row r="7" spans="1:12">
      <c r="A7" s="12"/>
      <c r="B7" s="5"/>
      <c r="C7" s="2"/>
      <c r="D7" s="2"/>
      <c r="E7" s="2"/>
      <c r="F7" s="2"/>
      <c r="G7" s="2"/>
      <c r="H7" s="2"/>
      <c r="I7" s="2"/>
      <c r="J7" s="2"/>
      <c r="K7" s="2"/>
      <c r="L7" s="7"/>
    </row>
    <row r="8" spans="1:12">
      <c r="A8" s="12"/>
      <c r="B8" s="5"/>
      <c r="C8" s="2"/>
      <c r="D8" s="2"/>
      <c r="E8" s="2"/>
      <c r="F8" s="2"/>
      <c r="G8" s="2"/>
      <c r="H8" s="2"/>
      <c r="I8" s="2"/>
      <c r="J8" s="2"/>
      <c r="K8" s="2"/>
      <c r="L8" s="7"/>
    </row>
    <row r="9" spans="1:12">
      <c r="A9" s="12"/>
      <c r="B9" s="5"/>
      <c r="C9" s="2"/>
      <c r="D9" s="2"/>
      <c r="E9" s="2"/>
      <c r="F9" s="2"/>
      <c r="G9" s="2"/>
      <c r="H9" s="2"/>
      <c r="I9" s="2"/>
      <c r="J9" s="2"/>
      <c r="K9" s="2"/>
      <c r="L9" s="7"/>
    </row>
    <row r="10" spans="1:12">
      <c r="A10" s="12"/>
      <c r="B10" s="5"/>
      <c r="C10" s="2"/>
      <c r="D10" s="2"/>
      <c r="E10" s="2"/>
      <c r="F10" s="2"/>
      <c r="G10" s="2"/>
      <c r="H10" s="2"/>
      <c r="I10" s="2"/>
      <c r="J10" s="2"/>
      <c r="K10" s="2"/>
      <c r="L10" s="7"/>
    </row>
    <row r="11" spans="1:12">
      <c r="A11" s="12"/>
      <c r="B11" s="5"/>
      <c r="C11" s="2"/>
      <c r="D11" s="2"/>
      <c r="E11" s="2"/>
      <c r="F11" s="2"/>
      <c r="G11" s="2"/>
      <c r="H11" s="2"/>
      <c r="I11" s="2"/>
      <c r="J11" s="2"/>
      <c r="K11" s="2"/>
      <c r="L11" s="7"/>
    </row>
    <row r="12" spans="1:12">
      <c r="A12" s="12"/>
      <c r="B12" s="5"/>
      <c r="C12" s="2"/>
      <c r="D12" s="2"/>
      <c r="E12" s="2"/>
      <c r="F12" s="2"/>
      <c r="G12" s="2"/>
      <c r="H12" s="2"/>
      <c r="I12" s="2"/>
      <c r="J12" s="2"/>
      <c r="K12" s="2"/>
      <c r="L12" s="7"/>
    </row>
    <row r="13" spans="1:12">
      <c r="A13" s="12"/>
      <c r="B13" s="5"/>
      <c r="C13" s="2"/>
      <c r="D13" s="2"/>
      <c r="E13" s="2"/>
      <c r="F13" s="2"/>
      <c r="G13" s="2"/>
      <c r="H13" s="2"/>
      <c r="I13" s="2"/>
      <c r="J13" s="2"/>
      <c r="K13" s="2"/>
      <c r="L13" s="7"/>
    </row>
    <row r="14" spans="1:12">
      <c r="A14" s="12"/>
      <c r="B14" s="5"/>
      <c r="C14" s="2"/>
      <c r="D14" s="2"/>
      <c r="E14" s="2"/>
      <c r="F14" s="2"/>
      <c r="G14" s="2"/>
      <c r="H14" s="2"/>
      <c r="I14" s="2"/>
      <c r="J14" s="2"/>
      <c r="K14" s="2"/>
      <c r="L14" s="7"/>
    </row>
    <row r="15" spans="1:12">
      <c r="A15" s="12"/>
      <c r="B15" s="5"/>
      <c r="C15" s="2"/>
      <c r="D15" s="2"/>
      <c r="E15" s="2"/>
      <c r="F15" s="2"/>
      <c r="G15" s="2"/>
      <c r="H15" s="2"/>
      <c r="I15" s="2"/>
      <c r="J15" s="2"/>
      <c r="K15" s="2"/>
      <c r="L15" s="7"/>
    </row>
    <row r="16" spans="1:12">
      <c r="A16" s="12"/>
      <c r="B16" s="5"/>
      <c r="C16" s="2"/>
      <c r="D16" s="2"/>
      <c r="E16" s="2"/>
      <c r="F16" s="2"/>
      <c r="G16" s="2"/>
      <c r="H16" s="2"/>
      <c r="I16" s="2"/>
      <c r="J16" s="2"/>
      <c r="K16" s="2"/>
      <c r="L16" s="7"/>
    </row>
    <row r="17" spans="1:12">
      <c r="A17" s="12"/>
      <c r="B17" s="5"/>
      <c r="C17" s="2"/>
      <c r="D17" s="2"/>
      <c r="E17" s="2"/>
      <c r="F17" s="2"/>
      <c r="G17" s="2"/>
      <c r="H17" s="2"/>
      <c r="I17" s="2"/>
      <c r="J17" s="2"/>
      <c r="K17" s="2"/>
      <c r="L17" s="7"/>
    </row>
    <row r="18" spans="1:12">
      <c r="A18" s="12"/>
      <c r="B18" s="5"/>
      <c r="C18" s="2"/>
      <c r="D18" s="2"/>
      <c r="E18" s="2"/>
      <c r="F18" s="2"/>
      <c r="G18" s="2"/>
      <c r="H18" s="2"/>
      <c r="I18" s="2"/>
      <c r="J18" s="2"/>
      <c r="K18" s="2"/>
      <c r="L18" s="7"/>
    </row>
    <row r="19" spans="1:12">
      <c r="A19" s="12"/>
      <c r="B19" s="5"/>
      <c r="C19" s="2"/>
      <c r="D19" s="2"/>
      <c r="E19" s="2"/>
      <c r="F19" s="2"/>
      <c r="G19" s="2"/>
      <c r="H19" s="2"/>
      <c r="I19" s="2"/>
      <c r="J19" s="2"/>
      <c r="K19" s="2"/>
      <c r="L19" s="7"/>
    </row>
    <row r="20" spans="1:12">
      <c r="A20" s="12"/>
      <c r="B20" s="5"/>
      <c r="C20" s="2"/>
      <c r="D20" s="2"/>
      <c r="E20" s="2"/>
      <c r="F20" s="2"/>
      <c r="G20" s="2"/>
      <c r="H20" s="2"/>
      <c r="I20" s="2"/>
      <c r="J20" s="2"/>
      <c r="K20" s="2"/>
      <c r="L20" s="7"/>
    </row>
    <row r="21" spans="1:12">
      <c r="A21" s="12"/>
      <c r="B21" s="5"/>
      <c r="C21" s="2"/>
      <c r="D21" s="2"/>
      <c r="E21" s="2"/>
      <c r="F21" s="2"/>
      <c r="G21" s="2"/>
      <c r="H21" s="2"/>
      <c r="I21" s="2"/>
      <c r="J21" s="2"/>
      <c r="K21" s="2"/>
      <c r="L21" s="7"/>
    </row>
    <row r="22" spans="1:12">
      <c r="A22" s="12"/>
      <c r="B22" s="5"/>
      <c r="C22" s="2"/>
      <c r="D22" s="2"/>
      <c r="E22" s="2"/>
      <c r="F22" s="2"/>
      <c r="G22" s="2"/>
      <c r="H22" s="2"/>
      <c r="I22" s="2"/>
      <c r="J22" s="2"/>
      <c r="K22" s="2"/>
      <c r="L22" s="7"/>
    </row>
    <row r="23" spans="1:12">
      <c r="A23" s="12"/>
      <c r="B23" s="5"/>
      <c r="C23" s="2"/>
      <c r="D23" s="2"/>
      <c r="E23" s="2"/>
      <c r="F23" s="2"/>
      <c r="G23" s="2"/>
      <c r="H23" s="2"/>
      <c r="I23" s="2"/>
      <c r="J23" s="2"/>
      <c r="K23" s="2"/>
      <c r="L23" s="7"/>
    </row>
    <row r="24" spans="1:12">
      <c r="A24" s="12"/>
      <c r="B24" s="5"/>
      <c r="C24" s="2"/>
      <c r="D24" s="2"/>
      <c r="E24" s="2"/>
      <c r="F24" s="2"/>
      <c r="G24" s="2"/>
      <c r="H24" s="2"/>
      <c r="I24" s="2"/>
      <c r="J24" s="2"/>
      <c r="K24" s="2"/>
      <c r="L24" s="7"/>
    </row>
    <row r="25" spans="1:12">
      <c r="A25" s="12"/>
      <c r="B25" s="5"/>
      <c r="C25" s="2"/>
      <c r="D25" s="2"/>
      <c r="E25" s="2"/>
      <c r="F25" s="2"/>
      <c r="G25" s="2"/>
      <c r="H25" s="2"/>
      <c r="I25" s="2"/>
      <c r="J25" s="2"/>
      <c r="K25" s="2"/>
      <c r="L25" s="7"/>
    </row>
    <row r="26" spans="1:12">
      <c r="A26" s="12"/>
      <c r="B26" s="5"/>
      <c r="C26" s="2"/>
      <c r="D26" s="2"/>
      <c r="E26" s="2"/>
      <c r="F26" s="2"/>
      <c r="G26" s="2"/>
      <c r="H26" s="2"/>
      <c r="I26" s="2"/>
      <c r="J26" s="2"/>
      <c r="K26" s="2"/>
      <c r="L26" s="7"/>
    </row>
    <row r="27" spans="1:12">
      <c r="A27" s="12"/>
      <c r="B27" s="5"/>
      <c r="C27" s="2"/>
      <c r="D27" s="2"/>
      <c r="E27" s="2"/>
      <c r="F27" s="2"/>
      <c r="G27" s="2"/>
      <c r="H27" s="2"/>
      <c r="I27" s="2"/>
      <c r="J27" s="2"/>
      <c r="K27" s="2"/>
      <c r="L27" s="7"/>
    </row>
    <row r="28" spans="1:12">
      <c r="A28" s="12"/>
      <c r="B28" s="5"/>
      <c r="C28" s="2"/>
      <c r="D28" s="2"/>
      <c r="E28" s="2"/>
      <c r="F28" s="2"/>
      <c r="G28" s="2"/>
      <c r="H28" s="2"/>
      <c r="I28" s="2"/>
      <c r="J28" s="2"/>
      <c r="K28" s="2"/>
      <c r="L28" s="7"/>
    </row>
    <row r="29" spans="1:12">
      <c r="A29" s="12"/>
      <c r="B29" s="5"/>
      <c r="C29" s="2"/>
      <c r="D29" s="2"/>
      <c r="E29" s="2"/>
      <c r="F29" s="2"/>
      <c r="G29" s="2"/>
      <c r="H29" s="2"/>
      <c r="I29" s="2"/>
      <c r="J29" s="2"/>
      <c r="K29" s="2"/>
      <c r="L29" s="7"/>
    </row>
    <row r="30" spans="1:12">
      <c r="A30" s="12"/>
      <c r="B30" s="5"/>
      <c r="C30" s="2"/>
      <c r="D30" s="2"/>
      <c r="E30" s="2"/>
      <c r="F30" s="2"/>
      <c r="G30" s="2"/>
      <c r="H30" s="2"/>
      <c r="I30" s="2"/>
      <c r="J30" s="2"/>
      <c r="K30" s="2"/>
      <c r="L30" s="7"/>
    </row>
    <row r="31" spans="1:12">
      <c r="A31" s="12"/>
      <c r="B31" s="5"/>
      <c r="C31" s="2"/>
      <c r="D31" s="2"/>
      <c r="E31" s="2"/>
      <c r="F31" s="2"/>
      <c r="G31" s="2"/>
      <c r="H31" s="2"/>
      <c r="I31" s="2"/>
      <c r="J31" s="2"/>
      <c r="K31" s="2"/>
      <c r="L31" s="7"/>
    </row>
    <row r="32" spans="1:12">
      <c r="A32" s="12"/>
      <c r="B32" s="5"/>
      <c r="C32" s="2"/>
      <c r="D32" s="2"/>
      <c r="E32" s="2"/>
      <c r="F32" s="2"/>
      <c r="G32" s="2"/>
      <c r="H32" s="2"/>
      <c r="I32" s="2"/>
      <c r="J32" s="2"/>
      <c r="K32" s="2"/>
      <c r="L32" s="7"/>
    </row>
    <row r="33" spans="1:12">
      <c r="A33" s="12"/>
      <c r="B33" s="5"/>
      <c r="C33" s="2"/>
      <c r="D33" s="2"/>
      <c r="E33" s="2"/>
      <c r="F33" s="2"/>
      <c r="G33" s="2"/>
      <c r="H33" s="2"/>
      <c r="I33" s="2"/>
      <c r="J33" s="2"/>
      <c r="K33" s="2"/>
      <c r="L33" s="7"/>
    </row>
    <row r="34" spans="1:12">
      <c r="A34" s="12"/>
      <c r="B34" s="5"/>
      <c r="C34" s="2"/>
      <c r="D34" s="2"/>
      <c r="E34" s="2"/>
      <c r="F34" s="2"/>
      <c r="G34" s="2"/>
      <c r="H34" s="2"/>
      <c r="I34" s="2"/>
      <c r="J34" s="2"/>
      <c r="K34" s="2"/>
      <c r="L34" s="7"/>
    </row>
    <row r="35" spans="1:12">
      <c r="A35" s="12"/>
      <c r="B35" s="5"/>
      <c r="C35" s="2"/>
      <c r="D35" s="2"/>
      <c r="E35" s="2"/>
      <c r="F35" s="2"/>
      <c r="G35" s="2"/>
      <c r="H35" s="2"/>
      <c r="I35" s="2"/>
      <c r="J35" s="2"/>
      <c r="K35" s="2"/>
      <c r="L35" s="7"/>
    </row>
    <row r="36" spans="1:12">
      <c r="A36" s="12"/>
      <c r="B36" s="5"/>
      <c r="C36" s="2"/>
      <c r="D36" s="2"/>
      <c r="E36" s="2"/>
      <c r="F36" s="2"/>
      <c r="G36" s="2"/>
      <c r="H36" s="2"/>
      <c r="I36" s="2"/>
      <c r="J36" s="2"/>
      <c r="K36" s="2"/>
      <c r="L36" s="7"/>
    </row>
    <row r="37" spans="1:12">
      <c r="A37" s="12"/>
      <c r="B37" s="5"/>
      <c r="C37" s="2"/>
      <c r="D37" s="2"/>
      <c r="E37" s="2"/>
      <c r="F37" s="2"/>
      <c r="G37" s="2"/>
      <c r="H37" s="2"/>
      <c r="I37" s="2"/>
      <c r="J37" s="2"/>
      <c r="K37" s="2"/>
      <c r="L37" s="7"/>
    </row>
    <row r="38" spans="1:12">
      <c r="A38" s="12"/>
      <c r="B38" s="5"/>
      <c r="C38" s="2"/>
      <c r="D38" s="2"/>
      <c r="E38" s="2"/>
      <c r="F38" s="2"/>
      <c r="G38" s="2"/>
      <c r="H38" s="2"/>
      <c r="I38" s="2"/>
      <c r="J38" s="2"/>
      <c r="K38" s="2"/>
      <c r="L38" s="7"/>
    </row>
    <row r="39" spans="1:12">
      <c r="A39" s="12"/>
      <c r="B39" s="5"/>
      <c r="C39" s="2"/>
      <c r="D39" s="2"/>
      <c r="E39" s="2"/>
      <c r="F39" s="2"/>
      <c r="G39" s="2"/>
      <c r="H39" s="2"/>
      <c r="I39" s="2"/>
      <c r="J39" s="2"/>
      <c r="K39" s="2"/>
      <c r="L39" s="7"/>
    </row>
    <row r="40" spans="1:12">
      <c r="A40" s="12"/>
      <c r="B40" s="5"/>
      <c r="C40" s="2"/>
      <c r="D40" s="2"/>
      <c r="E40" s="2"/>
      <c r="F40" s="2"/>
      <c r="G40" s="2"/>
      <c r="H40" s="2"/>
      <c r="I40" s="2"/>
      <c r="J40" s="2"/>
      <c r="K40" s="2"/>
      <c r="L40" s="7"/>
    </row>
    <row r="41" spans="1:12">
      <c r="A41" s="12"/>
      <c r="B41" s="5"/>
      <c r="C41" s="2"/>
      <c r="D41" s="2"/>
      <c r="E41" s="2"/>
      <c r="F41" s="2"/>
      <c r="G41" s="2"/>
      <c r="H41" s="2"/>
      <c r="I41" s="2"/>
      <c r="J41" s="2"/>
      <c r="K41" s="2"/>
      <c r="L41" s="7"/>
    </row>
    <row r="42" spans="1:12">
      <c r="A42" s="12"/>
      <c r="B42" s="5"/>
      <c r="C42" s="2"/>
      <c r="D42" s="2"/>
      <c r="E42" s="2"/>
      <c r="F42" s="2"/>
      <c r="G42" s="2"/>
      <c r="H42" s="2"/>
      <c r="I42" s="2"/>
      <c r="J42" s="2"/>
      <c r="K42" s="2"/>
      <c r="L42" s="7"/>
    </row>
    <row r="43" spans="1:12">
      <c r="A43" s="12"/>
      <c r="B43" s="5"/>
      <c r="C43" s="2"/>
      <c r="D43" s="2"/>
      <c r="E43" s="2"/>
      <c r="F43" s="2"/>
      <c r="G43" s="2"/>
      <c r="H43" s="2"/>
      <c r="I43" s="2"/>
      <c r="J43" s="2"/>
      <c r="K43" s="2"/>
      <c r="L43" s="7"/>
    </row>
    <row r="44" spans="1:12">
      <c r="A44" s="12"/>
      <c r="B44" s="5"/>
      <c r="C44" s="2"/>
      <c r="D44" s="2"/>
      <c r="E44" s="2"/>
      <c r="F44" s="2"/>
      <c r="G44" s="2"/>
      <c r="H44" s="2"/>
      <c r="I44" s="2"/>
      <c r="J44" s="2"/>
      <c r="K44" s="2"/>
      <c r="L44" s="7"/>
    </row>
    <row r="45" spans="1:12">
      <c r="A45" s="12"/>
      <c r="B45" s="5"/>
      <c r="C45" s="2"/>
      <c r="D45" s="2"/>
      <c r="E45" s="2"/>
      <c r="F45" s="2"/>
      <c r="G45" s="2"/>
      <c r="H45" s="2"/>
      <c r="I45" s="2"/>
      <c r="J45" s="2"/>
      <c r="K45" s="2"/>
      <c r="L45" s="7"/>
    </row>
    <row r="46" spans="1:12">
      <c r="A46" s="12"/>
      <c r="B46" s="5"/>
      <c r="C46" s="2"/>
      <c r="D46" s="2"/>
      <c r="E46" s="2"/>
      <c r="F46" s="2"/>
      <c r="G46" s="2"/>
      <c r="H46" s="2"/>
      <c r="I46" s="2"/>
      <c r="J46" s="2"/>
      <c r="K46" s="2"/>
      <c r="L46" s="7"/>
    </row>
    <row r="47" spans="1:12">
      <c r="A47" s="12"/>
      <c r="B47" s="5"/>
      <c r="C47" s="2"/>
      <c r="D47" s="2"/>
      <c r="E47" s="2"/>
      <c r="F47" s="2"/>
      <c r="G47" s="2"/>
      <c r="H47" s="2"/>
      <c r="I47" s="2"/>
      <c r="J47" s="2"/>
      <c r="K47" s="2"/>
      <c r="L47" s="7"/>
    </row>
    <row r="48" spans="1:12">
      <c r="A48" s="12"/>
      <c r="B48" s="5"/>
      <c r="C48" s="2"/>
      <c r="D48" s="2"/>
      <c r="E48" s="2"/>
      <c r="F48" s="2"/>
      <c r="G48" s="2"/>
      <c r="H48" s="2"/>
      <c r="I48" s="2"/>
      <c r="J48" s="2"/>
      <c r="K48" s="2"/>
      <c r="L48" s="7"/>
    </row>
    <row r="49" spans="1:12">
      <c r="A49" s="12"/>
      <c r="B49" s="5"/>
      <c r="C49" s="2"/>
      <c r="D49" s="2"/>
      <c r="E49" s="2"/>
      <c r="F49" s="2"/>
      <c r="G49" s="2"/>
      <c r="H49" s="2"/>
      <c r="I49" s="2"/>
      <c r="J49" s="2"/>
      <c r="K49" s="2"/>
      <c r="L49" s="7"/>
    </row>
    <row r="50" spans="1:12">
      <c r="A50" s="12"/>
      <c r="B50" s="5"/>
      <c r="C50" s="2"/>
      <c r="D50" s="2"/>
      <c r="E50" s="2"/>
      <c r="F50" s="2"/>
      <c r="G50" s="2"/>
      <c r="H50" s="2"/>
      <c r="I50" s="2"/>
      <c r="J50" s="2"/>
      <c r="K50" s="2"/>
      <c r="L50" s="7"/>
    </row>
    <row r="51" spans="1:12">
      <c r="A51" s="12"/>
      <c r="B51" s="5"/>
      <c r="C51" s="2"/>
      <c r="D51" s="2"/>
      <c r="E51" s="2"/>
      <c r="F51" s="2"/>
      <c r="G51" s="2"/>
      <c r="H51" s="2"/>
      <c r="I51" s="2"/>
      <c r="J51" s="2"/>
      <c r="K51" s="2"/>
      <c r="L51" s="7"/>
    </row>
    <row r="52" spans="1:12">
      <c r="A52" s="12"/>
      <c r="B52" s="5"/>
      <c r="C52" s="2"/>
      <c r="D52" s="2"/>
      <c r="E52" s="2"/>
      <c r="F52" s="2"/>
      <c r="G52" s="2"/>
      <c r="H52" s="2"/>
      <c r="I52" s="2"/>
      <c r="J52" s="2"/>
      <c r="K52" s="2"/>
      <c r="L52" s="7"/>
    </row>
    <row r="53" spans="1:12">
      <c r="A53" s="12"/>
      <c r="B53" s="5"/>
      <c r="C53" s="2"/>
      <c r="D53" s="2"/>
      <c r="E53" s="2"/>
      <c r="F53" s="2"/>
      <c r="G53" s="2"/>
      <c r="H53" s="2"/>
      <c r="I53" s="2"/>
      <c r="J53" s="2"/>
      <c r="K53" s="2"/>
      <c r="L53" s="7"/>
    </row>
    <row r="54" spans="1:12">
      <c r="A54" s="12"/>
      <c r="B54" s="5"/>
      <c r="C54" s="2"/>
      <c r="D54" s="2"/>
      <c r="E54" s="2"/>
      <c r="F54" s="2"/>
      <c r="G54" s="2"/>
      <c r="H54" s="2"/>
      <c r="I54" s="2"/>
      <c r="J54" s="2"/>
      <c r="K54" s="2"/>
      <c r="L54" s="7"/>
    </row>
    <row r="55" spans="1:12">
      <c r="A55" s="12"/>
      <c r="B55" s="5"/>
      <c r="C55" s="2"/>
      <c r="D55" s="2"/>
      <c r="E55" s="2"/>
      <c r="F55" s="2"/>
      <c r="G55" s="2"/>
      <c r="H55" s="2"/>
      <c r="I55" s="2"/>
      <c r="J55" s="2"/>
      <c r="K55" s="2"/>
      <c r="L55" s="7"/>
    </row>
    <row r="56" spans="1:12">
      <c r="A56" s="12"/>
      <c r="B56" s="5"/>
      <c r="C56" s="2"/>
      <c r="D56" s="2"/>
      <c r="E56" s="2"/>
      <c r="F56" s="2"/>
      <c r="G56" s="2"/>
      <c r="H56" s="2"/>
      <c r="I56" s="2"/>
      <c r="J56" s="2"/>
      <c r="K56" s="2"/>
      <c r="L56" s="7"/>
    </row>
    <row r="57" spans="1:12">
      <c r="A57" s="12"/>
      <c r="B57" s="5"/>
      <c r="C57" s="2"/>
      <c r="D57" s="2"/>
      <c r="E57" s="2"/>
      <c r="F57" s="2"/>
      <c r="G57" s="2"/>
      <c r="H57" s="2"/>
      <c r="I57" s="2"/>
      <c r="J57" s="2"/>
      <c r="K57" s="2"/>
      <c r="L57" s="7"/>
    </row>
    <row r="58" spans="1:12">
      <c r="A58" s="12"/>
      <c r="B58" s="5"/>
      <c r="C58" s="2"/>
      <c r="D58" s="2"/>
      <c r="E58" s="2"/>
      <c r="F58" s="2"/>
      <c r="G58" s="2"/>
      <c r="H58" s="2"/>
      <c r="I58" s="2"/>
      <c r="J58" s="2"/>
      <c r="K58" s="2"/>
      <c r="L58" s="7"/>
    </row>
    <row r="59" spans="1:12">
      <c r="A59" s="12"/>
      <c r="B59" s="5"/>
      <c r="C59" s="2"/>
      <c r="D59" s="2"/>
      <c r="E59" s="2"/>
      <c r="F59" s="2"/>
      <c r="G59" s="2"/>
      <c r="H59" s="2"/>
      <c r="I59" s="2"/>
      <c r="J59" s="2"/>
      <c r="K59" s="2"/>
      <c r="L59" s="7"/>
    </row>
    <row r="60" spans="1:12">
      <c r="A60" s="12"/>
      <c r="B60" s="5"/>
      <c r="C60" s="2"/>
      <c r="D60" s="2"/>
      <c r="E60" s="2"/>
      <c r="F60" s="2"/>
      <c r="G60" s="2"/>
      <c r="H60" s="2"/>
      <c r="I60" s="2"/>
      <c r="J60" s="2"/>
      <c r="K60" s="2"/>
      <c r="L60" s="7"/>
    </row>
    <row r="61" spans="1:12">
      <c r="A61" s="12"/>
      <c r="B61" s="5"/>
      <c r="C61" s="2"/>
      <c r="D61" s="2"/>
      <c r="E61" s="2"/>
      <c r="F61" s="2"/>
      <c r="G61" s="2"/>
      <c r="H61" s="2"/>
      <c r="I61" s="2"/>
      <c r="J61" s="2"/>
      <c r="K61" s="2"/>
      <c r="L61" s="7"/>
    </row>
    <row r="62" spans="1:12">
      <c r="A62" s="12"/>
      <c r="B62" s="5"/>
      <c r="C62" s="2"/>
      <c r="D62" s="2"/>
      <c r="E62" s="2"/>
      <c r="F62" s="2"/>
      <c r="G62" s="2"/>
      <c r="H62" s="2"/>
      <c r="I62" s="2"/>
      <c r="J62" s="2"/>
      <c r="K62" s="2"/>
      <c r="L62" s="7"/>
    </row>
    <row r="63" spans="1:12">
      <c r="A63" s="12"/>
      <c r="B63" s="5"/>
      <c r="C63" s="2"/>
      <c r="D63" s="2"/>
      <c r="E63" s="2"/>
      <c r="F63" s="2"/>
      <c r="G63" s="2"/>
      <c r="H63" s="2"/>
      <c r="I63" s="2"/>
      <c r="J63" s="2"/>
      <c r="K63" s="2"/>
      <c r="L63" s="7"/>
    </row>
    <row r="64" spans="1:12">
      <c r="A64" s="12"/>
      <c r="B64" s="5"/>
      <c r="C64" s="2"/>
      <c r="D64" s="2"/>
      <c r="E64" s="2"/>
      <c r="F64" s="2"/>
      <c r="G64" s="2"/>
      <c r="H64" s="2"/>
      <c r="I64" s="2"/>
      <c r="J64" s="2"/>
      <c r="K64" s="2"/>
      <c r="L64" s="7"/>
    </row>
    <row r="65" spans="1:12">
      <c r="A65" s="12"/>
      <c r="B65" s="5"/>
      <c r="C65" s="2"/>
      <c r="D65" s="2"/>
      <c r="E65" s="2"/>
      <c r="F65" s="2"/>
      <c r="G65" s="2"/>
      <c r="H65" s="2"/>
      <c r="I65" s="2"/>
      <c r="J65" s="2"/>
      <c r="K65" s="2"/>
      <c r="L65" s="7"/>
    </row>
    <row r="66" spans="1:12">
      <c r="A66" s="12"/>
      <c r="B66" s="5"/>
      <c r="C66" s="2"/>
      <c r="D66" s="2"/>
      <c r="E66" s="2"/>
      <c r="F66" s="2"/>
      <c r="G66" s="2"/>
      <c r="H66" s="2"/>
      <c r="I66" s="2"/>
      <c r="J66" s="2"/>
      <c r="K66" s="2"/>
      <c r="L66" s="7"/>
    </row>
    <row r="67" spans="1:12">
      <c r="A67" s="12"/>
      <c r="B67" s="5"/>
      <c r="C67" s="2"/>
      <c r="D67" s="2"/>
      <c r="E67" s="2"/>
      <c r="F67" s="2"/>
      <c r="G67" s="2"/>
      <c r="H67" s="2"/>
      <c r="I67" s="2"/>
      <c r="J67" s="2"/>
      <c r="K67" s="2"/>
      <c r="L67" s="7"/>
    </row>
    <row r="68" spans="1:12">
      <c r="A68" s="12"/>
      <c r="B68" s="5"/>
      <c r="C68" s="2"/>
      <c r="D68" s="2"/>
      <c r="E68" s="2"/>
      <c r="F68" s="2"/>
      <c r="G68" s="2"/>
      <c r="H68" s="2"/>
      <c r="I68" s="2"/>
      <c r="J68" s="2"/>
      <c r="K68" s="2"/>
      <c r="L68" s="7"/>
    </row>
    <row r="69" spans="1:12">
      <c r="A69" s="12"/>
      <c r="B69" s="5"/>
      <c r="C69" s="2"/>
      <c r="D69" s="2"/>
      <c r="E69" s="2"/>
      <c r="F69" s="2"/>
      <c r="G69" s="2"/>
      <c r="H69" s="2"/>
      <c r="I69" s="2"/>
      <c r="J69" s="2"/>
      <c r="K69" s="2"/>
      <c r="L69" s="7"/>
    </row>
    <row r="70" spans="1:12">
      <c r="A70" s="12"/>
      <c r="B70" s="5"/>
      <c r="C70" s="2"/>
      <c r="D70" s="2"/>
      <c r="E70" s="2"/>
      <c r="F70" s="2"/>
      <c r="G70" s="2"/>
      <c r="H70" s="2"/>
      <c r="I70" s="2"/>
      <c r="J70" s="2"/>
      <c r="K70" s="2"/>
      <c r="L70" s="7"/>
    </row>
    <row r="71" spans="1:12">
      <c r="A71" s="12"/>
      <c r="B71" s="5"/>
      <c r="C71" s="2"/>
      <c r="D71" s="2"/>
      <c r="E71" s="2"/>
      <c r="F71" s="2"/>
      <c r="G71" s="2"/>
      <c r="H71" s="2"/>
      <c r="I71" s="2"/>
      <c r="J71" s="2"/>
      <c r="K71" s="2"/>
      <c r="L71" s="7"/>
    </row>
    <row r="72" spans="1:12">
      <c r="A72" s="12"/>
      <c r="B72" s="5"/>
      <c r="C72" s="2"/>
      <c r="D72" s="2"/>
      <c r="E72" s="2"/>
      <c r="F72" s="2"/>
      <c r="G72" s="2"/>
      <c r="H72" s="2"/>
      <c r="I72" s="2"/>
      <c r="J72" s="2"/>
      <c r="K72" s="2"/>
      <c r="L72" s="7"/>
    </row>
    <row r="73" spans="1:12">
      <c r="A73" s="12"/>
      <c r="B73" s="5"/>
      <c r="C73" s="2"/>
      <c r="D73" s="2"/>
      <c r="E73" s="2"/>
      <c r="F73" s="2"/>
      <c r="G73" s="2"/>
      <c r="H73" s="2"/>
      <c r="I73" s="2"/>
      <c r="J73" s="2"/>
      <c r="K73" s="2"/>
      <c r="L73" s="7"/>
    </row>
    <row r="74" spans="1:12">
      <c r="A74" s="12"/>
      <c r="B74" s="5"/>
      <c r="C74" s="2"/>
      <c r="D74" s="2"/>
      <c r="E74" s="2"/>
      <c r="F74" s="2"/>
      <c r="G74" s="2"/>
      <c r="H74" s="2"/>
      <c r="I74" s="2"/>
      <c r="J74" s="2"/>
      <c r="K74" s="2"/>
      <c r="L74" s="7"/>
    </row>
    <row r="75" spans="1:12">
      <c r="A75" s="12"/>
      <c r="B75" s="5"/>
      <c r="C75" s="2"/>
      <c r="D75" s="2"/>
      <c r="E75" s="2"/>
      <c r="F75" s="2"/>
      <c r="G75" s="2"/>
      <c r="H75" s="2"/>
      <c r="I75" s="2"/>
      <c r="J75" s="2"/>
      <c r="K75" s="2"/>
      <c r="L75" s="7"/>
    </row>
    <row r="76" spans="1:12">
      <c r="A76" s="12"/>
      <c r="B76" s="5"/>
      <c r="C76" s="2"/>
      <c r="D76" s="2"/>
      <c r="E76" s="2"/>
      <c r="F76" s="2"/>
      <c r="G76" s="2"/>
      <c r="H76" s="2"/>
      <c r="I76" s="2"/>
      <c r="J76" s="2"/>
      <c r="K76" s="2"/>
      <c r="L76" s="7"/>
    </row>
    <row r="77" spans="1:12">
      <c r="A77" s="12"/>
      <c r="B77" s="5"/>
      <c r="C77" s="2"/>
      <c r="D77" s="2"/>
      <c r="E77" s="2"/>
      <c r="F77" s="2"/>
      <c r="G77" s="2"/>
      <c r="H77" s="2"/>
      <c r="I77" s="2"/>
      <c r="J77" s="2"/>
      <c r="K77" s="2"/>
      <c r="L77" s="7"/>
    </row>
    <row r="78" spans="1:12">
      <c r="A78" s="12"/>
      <c r="B78" s="5"/>
      <c r="C78" s="2"/>
      <c r="D78" s="2"/>
      <c r="E78" s="2"/>
      <c r="F78" s="2"/>
      <c r="G78" s="2"/>
      <c r="H78" s="2"/>
      <c r="I78" s="2"/>
      <c r="J78" s="2"/>
      <c r="K78" s="2"/>
      <c r="L78" s="7"/>
    </row>
    <row r="79" spans="1:12">
      <c r="A79" s="12"/>
      <c r="B79" s="5"/>
      <c r="C79" s="2"/>
      <c r="D79" s="2"/>
      <c r="E79" s="2"/>
      <c r="F79" s="2"/>
      <c r="G79" s="2"/>
      <c r="H79" s="2"/>
      <c r="I79" s="2"/>
      <c r="J79" s="2"/>
      <c r="K79" s="2"/>
      <c r="L79" s="7"/>
    </row>
    <row r="80" spans="1:12">
      <c r="A80" s="12"/>
      <c r="B80" s="5"/>
      <c r="C80" s="2"/>
      <c r="D80" s="2"/>
      <c r="E80" s="2"/>
      <c r="F80" s="2"/>
      <c r="G80" s="2"/>
      <c r="H80" s="2"/>
      <c r="I80" s="2"/>
      <c r="J80" s="2"/>
      <c r="K80" s="2"/>
      <c r="L80" s="7"/>
    </row>
    <row r="81" spans="1:12">
      <c r="A81" s="12"/>
      <c r="B81" s="5"/>
      <c r="C81" s="2"/>
      <c r="D81" s="2"/>
      <c r="E81" s="2"/>
      <c r="F81" s="2"/>
      <c r="G81" s="2"/>
      <c r="H81" s="2"/>
      <c r="I81" s="2"/>
      <c r="J81" s="2"/>
      <c r="K81" s="2"/>
      <c r="L81" s="7"/>
    </row>
    <row r="82" spans="1:12">
      <c r="A82" s="12"/>
      <c r="B82" s="5"/>
      <c r="C82" s="2"/>
      <c r="D82" s="2"/>
      <c r="E82" s="2"/>
      <c r="F82" s="2"/>
      <c r="G82" s="2"/>
      <c r="H82" s="2"/>
      <c r="I82" s="2"/>
      <c r="J82" s="2"/>
      <c r="K82" s="2"/>
      <c r="L82" s="7"/>
    </row>
    <row r="83" spans="1:12">
      <c r="A83" s="12"/>
      <c r="B83" s="5"/>
      <c r="C83" s="2"/>
      <c r="D83" s="2"/>
      <c r="E83" s="2"/>
      <c r="F83" s="2"/>
      <c r="G83" s="2"/>
      <c r="H83" s="2"/>
      <c r="I83" s="2"/>
      <c r="J83" s="2"/>
      <c r="K83" s="2"/>
      <c r="L83" s="7"/>
    </row>
    <row r="84" spans="1:12">
      <c r="A84" s="12"/>
      <c r="B84" s="5"/>
      <c r="C84" s="2"/>
      <c r="D84" s="2"/>
      <c r="E84" s="2"/>
      <c r="F84" s="2"/>
      <c r="G84" s="2"/>
      <c r="H84" s="2"/>
      <c r="I84" s="2"/>
      <c r="J84" s="2"/>
      <c r="K84" s="2"/>
      <c r="L84" s="7"/>
    </row>
    <row r="85" spans="1:12">
      <c r="A85" s="12"/>
      <c r="B85" s="5"/>
      <c r="C85" s="2"/>
      <c r="D85" s="2"/>
      <c r="E85" s="2"/>
      <c r="F85" s="2"/>
      <c r="G85" s="2"/>
      <c r="H85" s="2"/>
      <c r="I85" s="2"/>
      <c r="J85" s="2"/>
      <c r="K85" s="2"/>
      <c r="L85" s="7"/>
    </row>
    <row r="86" spans="1:12">
      <c r="A86" s="12"/>
      <c r="B86" s="5"/>
      <c r="C86" s="2"/>
      <c r="D86" s="2"/>
      <c r="E86" s="2"/>
      <c r="F86" s="2"/>
      <c r="G86" s="2"/>
      <c r="H86" s="2"/>
      <c r="I86" s="2"/>
      <c r="J86" s="2"/>
      <c r="K86" s="2"/>
      <c r="L86" s="7"/>
    </row>
    <row r="87" spans="1:12">
      <c r="A87" s="12"/>
      <c r="B87" s="5"/>
      <c r="C87" s="2"/>
      <c r="D87" s="2"/>
      <c r="E87" s="2"/>
      <c r="F87" s="2"/>
      <c r="G87" s="2"/>
      <c r="H87" s="2"/>
      <c r="I87" s="2"/>
      <c r="J87" s="2"/>
      <c r="K87" s="2"/>
      <c r="L87" s="7"/>
    </row>
    <row r="88" spans="1:12">
      <c r="A88" s="12"/>
      <c r="B88" s="5"/>
      <c r="C88" s="2"/>
      <c r="D88" s="2"/>
      <c r="E88" s="2"/>
      <c r="F88" s="2"/>
      <c r="G88" s="2"/>
      <c r="H88" s="2"/>
      <c r="I88" s="2"/>
      <c r="J88" s="2"/>
      <c r="K88" s="2"/>
      <c r="L88" s="7"/>
    </row>
    <row r="89" spans="1:12">
      <c r="A89" s="12"/>
      <c r="B89" s="5"/>
      <c r="C89" s="2"/>
      <c r="D89" s="2"/>
      <c r="E89" s="2"/>
      <c r="F89" s="2"/>
      <c r="G89" s="2"/>
      <c r="H89" s="2"/>
      <c r="I89" s="2"/>
      <c r="J89" s="2"/>
      <c r="K89" s="2"/>
      <c r="L89" s="7"/>
    </row>
    <row r="90" spans="1:12">
      <c r="A90" s="12"/>
      <c r="B90" s="5"/>
      <c r="C90" s="2"/>
      <c r="D90" s="2"/>
      <c r="E90" s="2"/>
      <c r="F90" s="2"/>
      <c r="G90" s="2"/>
      <c r="H90" s="2"/>
      <c r="I90" s="2"/>
      <c r="J90" s="2"/>
      <c r="K90" s="2"/>
      <c r="L90" s="7"/>
    </row>
    <row r="91" spans="1:12">
      <c r="A91" s="12"/>
      <c r="B91" s="5"/>
      <c r="C91" s="2"/>
      <c r="D91" s="2"/>
      <c r="E91" s="2"/>
      <c r="F91" s="2"/>
      <c r="G91" s="2"/>
      <c r="H91" s="2"/>
      <c r="I91" s="2"/>
      <c r="J91" s="2"/>
      <c r="K91" s="2"/>
      <c r="L91" s="7"/>
    </row>
    <row r="92" spans="1:12">
      <c r="A92" s="12"/>
      <c r="B92" s="5"/>
      <c r="C92" s="2"/>
      <c r="D92" s="2"/>
      <c r="E92" s="2"/>
      <c r="F92" s="2"/>
      <c r="G92" s="2"/>
      <c r="H92" s="2"/>
      <c r="I92" s="2"/>
      <c r="J92" s="2"/>
      <c r="K92" s="2"/>
      <c r="L92" s="7"/>
    </row>
    <row r="93" spans="1:12">
      <c r="A93" s="12"/>
      <c r="B93" s="5"/>
      <c r="C93" s="2"/>
      <c r="D93" s="2"/>
      <c r="E93" s="2"/>
      <c r="F93" s="2"/>
      <c r="G93" s="2"/>
      <c r="H93" s="2"/>
      <c r="I93" s="2"/>
      <c r="J93" s="2"/>
      <c r="K93" s="2"/>
      <c r="L93" s="7"/>
    </row>
    <row r="94" spans="1:12">
      <c r="A94" s="12"/>
      <c r="B94" s="5"/>
      <c r="C94" s="2"/>
      <c r="D94" s="2"/>
      <c r="E94" s="2"/>
      <c r="F94" s="2"/>
      <c r="G94" s="2"/>
      <c r="H94" s="2"/>
      <c r="I94" s="2"/>
      <c r="J94" s="2"/>
      <c r="K94" s="2"/>
      <c r="L94" s="7"/>
    </row>
    <row r="95" spans="1:12">
      <c r="A95" s="12"/>
      <c r="B95" s="5"/>
      <c r="C95" s="2"/>
      <c r="D95" s="2"/>
      <c r="E95" s="2"/>
      <c r="F95" s="2"/>
      <c r="G95" s="2"/>
      <c r="H95" s="2"/>
      <c r="I95" s="2"/>
      <c r="J95" s="2"/>
      <c r="K95" s="2"/>
      <c r="L95" s="7"/>
    </row>
    <row r="96" spans="1:12">
      <c r="A96" s="12"/>
      <c r="B96" s="5"/>
      <c r="C96" s="2"/>
      <c r="D96" s="2"/>
      <c r="E96" s="2"/>
      <c r="F96" s="2"/>
      <c r="G96" s="2"/>
      <c r="H96" s="2"/>
      <c r="I96" s="2"/>
      <c r="J96" s="2"/>
      <c r="K96" s="2"/>
      <c r="L96" s="7"/>
    </row>
    <row r="97" spans="1:12">
      <c r="A97" s="12"/>
      <c r="B97" s="5"/>
      <c r="C97" s="2"/>
      <c r="D97" s="2"/>
      <c r="E97" s="2"/>
      <c r="F97" s="2"/>
      <c r="G97" s="2"/>
      <c r="H97" s="2"/>
      <c r="I97" s="2"/>
      <c r="J97" s="2"/>
      <c r="K97" s="2"/>
      <c r="L97" s="7"/>
    </row>
    <row r="98" spans="1:12">
      <c r="A98" s="12"/>
      <c r="B98" s="5"/>
      <c r="C98" s="2"/>
      <c r="D98" s="2"/>
      <c r="E98" s="2"/>
      <c r="F98" s="2"/>
      <c r="G98" s="2"/>
      <c r="H98" s="2"/>
      <c r="I98" s="2"/>
      <c r="J98" s="2"/>
      <c r="K98" s="2"/>
      <c r="L98" s="7"/>
    </row>
    <row r="99" spans="1:12">
      <c r="A99" s="12"/>
      <c r="B99" s="5"/>
      <c r="C99" s="2"/>
      <c r="D99" s="2"/>
      <c r="E99" s="2"/>
      <c r="F99" s="2"/>
      <c r="G99" s="2"/>
      <c r="H99" s="2"/>
      <c r="I99" s="2"/>
      <c r="J99" s="2"/>
      <c r="K99" s="2"/>
      <c r="L99" s="7"/>
    </row>
    <row r="100" spans="1:12">
      <c r="A100" s="1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7"/>
    </row>
    <row r="101" spans="1:12">
      <c r="A101" s="1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7"/>
    </row>
    <row r="102" spans="1:12">
      <c r="A102" s="1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7"/>
    </row>
    <row r="103" spans="1:12">
      <c r="A103" s="1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7"/>
    </row>
    <row r="104" spans="1:12">
      <c r="A104" s="1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7"/>
    </row>
    <row r="105" spans="1:12">
      <c r="A105" s="1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7"/>
    </row>
    <row r="106" spans="1:12">
      <c r="A106" s="1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7"/>
    </row>
    <row r="107" spans="1:12">
      <c r="A107" s="1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7"/>
    </row>
    <row r="108" spans="1:12">
      <c r="A108" s="1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7"/>
    </row>
    <row r="109" spans="1:12">
      <c r="A109" s="1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7"/>
    </row>
    <row r="110" spans="1:12">
      <c r="A110" s="1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7"/>
    </row>
    <row r="111" spans="1:12">
      <c r="A111" s="1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7"/>
    </row>
    <row r="112" spans="1:12">
      <c r="A112" s="1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7"/>
    </row>
    <row r="113" spans="1:12">
      <c r="A113" s="1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7"/>
    </row>
    <row r="114" spans="1:12">
      <c r="A114" s="1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7"/>
    </row>
    <row r="115" spans="1:12">
      <c r="A115" s="1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7"/>
    </row>
    <row r="116" spans="1:12">
      <c r="A116" s="1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7"/>
    </row>
    <row r="117" spans="1:12">
      <c r="A117" s="1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7"/>
    </row>
    <row r="118" spans="1:12">
      <c r="A118" s="1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7"/>
    </row>
    <row r="119" spans="1:12">
      <c r="A119" s="1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7"/>
    </row>
    <row r="120" spans="1:12">
      <c r="A120" s="1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7"/>
    </row>
    <row r="121" spans="1:12">
      <c r="A121" s="1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7"/>
    </row>
    <row r="122" spans="1:12">
      <c r="A122" s="1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7"/>
    </row>
    <row r="123" spans="1:12">
      <c r="A123" s="1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7"/>
    </row>
    <row r="124" spans="1:12">
      <c r="A124" s="1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7"/>
    </row>
    <row r="125" spans="1:12">
      <c r="A125" s="1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7"/>
    </row>
    <row r="126" spans="1:12">
      <c r="A126" s="1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7"/>
    </row>
    <row r="127" spans="1:12">
      <c r="A127" s="1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7"/>
    </row>
    <row r="128" spans="1:12">
      <c r="A128" s="1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7"/>
    </row>
    <row r="129" spans="1:12">
      <c r="A129" s="1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7"/>
    </row>
    <row r="130" spans="1:12">
      <c r="A130" s="1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7"/>
    </row>
    <row r="131" spans="1:12">
      <c r="A131" s="1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7"/>
    </row>
    <row r="132" spans="1:12">
      <c r="A132" s="1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7"/>
    </row>
    <row r="133" spans="1:12">
      <c r="A133" s="1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7"/>
    </row>
    <row r="134" spans="1:12">
      <c r="A134" s="1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7"/>
    </row>
    <row r="135" spans="1:12">
      <c r="A135" s="1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7"/>
    </row>
    <row r="136" spans="1:12">
      <c r="A136" s="1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7"/>
    </row>
    <row r="137" spans="1:12">
      <c r="A137" s="1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7"/>
    </row>
    <row r="138" spans="1:12">
      <c r="A138" s="1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7"/>
    </row>
    <row r="139" spans="1:12">
      <c r="A139" s="1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7"/>
    </row>
    <row r="140" spans="1:12">
      <c r="A140" s="1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7"/>
    </row>
    <row r="141" spans="1:12">
      <c r="A141" s="1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7"/>
    </row>
    <row r="142" spans="1:12">
      <c r="A142" s="1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7"/>
    </row>
    <row r="143" spans="1:12">
      <c r="A143" s="1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7"/>
    </row>
    <row r="144" spans="1:12">
      <c r="A144" s="1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7"/>
    </row>
    <row r="145" spans="1:12">
      <c r="A145" s="1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7"/>
    </row>
    <row r="146" spans="1:12">
      <c r="A146" s="1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7"/>
    </row>
    <row r="147" spans="1:12">
      <c r="A147" s="1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7"/>
    </row>
    <row r="148" spans="1:12">
      <c r="A148" s="1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7"/>
    </row>
    <row r="149" spans="1:12">
      <c r="A149" s="1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7"/>
    </row>
    <row r="150" spans="1:12">
      <c r="A150" s="1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7"/>
    </row>
    <row r="151" spans="1:12">
      <c r="A151" s="1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7"/>
    </row>
    <row r="152" spans="1:12">
      <c r="A152" s="1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7"/>
    </row>
    <row r="153" spans="1:12">
      <c r="A153" s="1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7"/>
    </row>
    <row r="154" spans="1:12">
      <c r="A154" s="1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7"/>
    </row>
    <row r="155" spans="1:12">
      <c r="A155" s="1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7"/>
    </row>
    <row r="156" spans="1:12">
      <c r="A156" s="1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7"/>
    </row>
    <row r="157" spans="1:12">
      <c r="A157" s="1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7"/>
    </row>
    <row r="158" spans="1:12">
      <c r="A158" s="1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7"/>
    </row>
    <row r="159" spans="1:12">
      <c r="A159" s="1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7"/>
    </row>
    <row r="160" spans="1:12">
      <c r="A160" s="1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7"/>
    </row>
    <row r="161" spans="1:12">
      <c r="A161" s="1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7"/>
    </row>
    <row r="162" spans="1:12">
      <c r="A162" s="1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7"/>
    </row>
    <row r="163" spans="1:12">
      <c r="A163" s="1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7"/>
    </row>
    <row r="164" spans="1:12">
      <c r="A164" s="1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7"/>
    </row>
    <row r="165" spans="1:12">
      <c r="A165" s="1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7"/>
    </row>
    <row r="166" spans="1:12">
      <c r="A166" s="1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7"/>
    </row>
    <row r="167" spans="1:12">
      <c r="A167" s="1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7"/>
    </row>
    <row r="168" spans="1:12">
      <c r="A168" s="1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7"/>
    </row>
    <row r="169" spans="1:12">
      <c r="A169" s="1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7"/>
    </row>
    <row r="170" spans="1:12">
      <c r="A170" s="1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7"/>
    </row>
    <row r="171" spans="1:12">
      <c r="A171" s="1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7"/>
    </row>
    <row r="172" spans="1:12">
      <c r="A172" s="1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7"/>
    </row>
    <row r="173" spans="1:12">
      <c r="A173" s="1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7"/>
    </row>
    <row r="174" spans="1:12">
      <c r="A174" s="1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7"/>
    </row>
    <row r="175" spans="1:12">
      <c r="A175" s="1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7"/>
    </row>
    <row r="176" spans="1:12">
      <c r="A176" s="1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7"/>
    </row>
    <row r="177" spans="1:12">
      <c r="A177" s="1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7"/>
    </row>
    <row r="178" spans="1:12">
      <c r="A178" s="1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7"/>
    </row>
    <row r="179" spans="1:12">
      <c r="A179" s="1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7"/>
    </row>
    <row r="180" spans="1:12">
      <c r="A180" s="1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7"/>
    </row>
    <row r="181" spans="1:12">
      <c r="A181" s="1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7"/>
    </row>
    <row r="182" spans="1:12">
      <c r="A182" s="1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7"/>
    </row>
    <row r="183" spans="1:12">
      <c r="A183" s="1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7"/>
    </row>
    <row r="184" spans="1:12">
      <c r="A184" s="1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7"/>
    </row>
    <row r="185" spans="1:12">
      <c r="A185" s="1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7"/>
    </row>
    <row r="186" spans="1:12">
      <c r="A186" s="1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7"/>
    </row>
    <row r="187" spans="1:12">
      <c r="A187" s="1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7"/>
    </row>
    <row r="188" spans="1:12">
      <c r="A188" s="1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7"/>
    </row>
    <row r="189" spans="1:12">
      <c r="A189" s="1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7"/>
    </row>
    <row r="190" spans="1:12">
      <c r="A190" s="1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7"/>
    </row>
    <row r="191" spans="1:12">
      <c r="A191" s="1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7"/>
    </row>
    <row r="192" spans="1:12">
      <c r="A192" s="1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7"/>
    </row>
    <row r="193" spans="1:12">
      <c r="A193" s="1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7"/>
    </row>
    <row r="194" spans="1:12">
      <c r="A194" s="1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7"/>
    </row>
    <row r="195" spans="1:12">
      <c r="A195" s="1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7"/>
    </row>
    <row r="196" spans="1:12">
      <c r="A196" s="1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7"/>
    </row>
    <row r="197" spans="1:12">
      <c r="A197" s="1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7"/>
    </row>
    <row r="198" spans="1:12">
      <c r="A198" s="1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7"/>
    </row>
    <row r="199" spans="1:12">
      <c r="A199" s="1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7"/>
    </row>
    <row r="200" spans="1:12">
      <c r="A200" s="1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7"/>
    </row>
    <row r="201" spans="1:12">
      <c r="A201" s="1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7"/>
    </row>
    <row r="202" spans="1:12">
      <c r="A202" s="1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7"/>
    </row>
    <row r="203" spans="1:12">
      <c r="A203" s="1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7"/>
    </row>
    <row r="204" spans="1:12">
      <c r="A204" s="1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7"/>
    </row>
    <row r="205" spans="1:12">
      <c r="A205" s="1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7"/>
    </row>
    <row r="206" spans="1:12">
      <c r="A206" s="1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7"/>
    </row>
    <row r="207" spans="1:12">
      <c r="A207" s="1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7"/>
    </row>
    <row r="208" spans="1:12">
      <c r="A208" s="1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7"/>
    </row>
    <row r="209" spans="1:12">
      <c r="A209" s="1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7"/>
    </row>
    <row r="210" spans="1:12">
      <c r="A210" s="1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7"/>
    </row>
    <row r="211" spans="1:12">
      <c r="A211" s="1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7"/>
    </row>
    <row r="212" spans="1:12">
      <c r="A212" s="1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7"/>
    </row>
    <row r="213" spans="1:12">
      <c r="A213" s="1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7"/>
    </row>
    <row r="214" spans="1:12">
      <c r="A214" s="1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7"/>
    </row>
    <row r="215" spans="1:12">
      <c r="A215" s="1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7"/>
    </row>
    <row r="216" spans="1:12">
      <c r="A216" s="1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7"/>
    </row>
    <row r="217" spans="1:12">
      <c r="A217" s="1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7"/>
    </row>
    <row r="218" spans="1:12">
      <c r="A218" s="1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7"/>
    </row>
    <row r="219" spans="1:12">
      <c r="A219" s="1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7"/>
    </row>
    <row r="220" spans="1:12">
      <c r="A220" s="1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7"/>
    </row>
    <row r="221" spans="1:12">
      <c r="A221" s="1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7"/>
    </row>
    <row r="222" spans="1:12">
      <c r="A222" s="1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7"/>
    </row>
    <row r="223" spans="1:12">
      <c r="A223" s="1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7"/>
    </row>
    <row r="224" spans="1:12">
      <c r="A224" s="1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7"/>
    </row>
    <row r="225" spans="1:12">
      <c r="A225" s="1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7"/>
    </row>
    <row r="226" spans="1:12">
      <c r="A226" s="1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7"/>
    </row>
    <row r="227" spans="1:12">
      <c r="A227" s="1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7"/>
    </row>
    <row r="228" spans="1:12">
      <c r="A228" s="1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7"/>
    </row>
    <row r="229" spans="1:12">
      <c r="A229" s="1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7"/>
    </row>
    <row r="230" spans="1:12">
      <c r="A230" s="1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7"/>
    </row>
    <row r="231" spans="1:12">
      <c r="A231" s="1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7"/>
    </row>
    <row r="232" spans="1:12">
      <c r="A232" s="1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7"/>
    </row>
    <row r="233" spans="1:12">
      <c r="A233" s="1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7"/>
    </row>
    <row r="234" spans="1:12">
      <c r="A234" s="1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7"/>
    </row>
    <row r="235" spans="1:12">
      <c r="A235" s="1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7"/>
    </row>
    <row r="236" spans="1:12">
      <c r="A236" s="1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7"/>
    </row>
    <row r="237" spans="1:12">
      <c r="A237" s="1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7"/>
    </row>
    <row r="238" spans="1:12">
      <c r="A238" s="1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7"/>
    </row>
    <row r="239" spans="1:12">
      <c r="A239" s="1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7"/>
    </row>
    <row r="240" spans="1:12">
      <c r="A240" s="1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7"/>
    </row>
    <row r="241" spans="1:12">
      <c r="A241" s="1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7"/>
    </row>
    <row r="242" spans="1:12">
      <c r="A242" s="1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7"/>
    </row>
    <row r="243" spans="1:12">
      <c r="A243" s="1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7"/>
    </row>
    <row r="244" spans="1:12">
      <c r="A244" s="1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7"/>
    </row>
    <row r="245" spans="1:12">
      <c r="A245" s="1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7"/>
    </row>
    <row r="246" spans="1:12">
      <c r="A246" s="1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7"/>
    </row>
    <row r="247" spans="1:12">
      <c r="A247" s="1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7"/>
    </row>
    <row r="248" spans="1:12">
      <c r="A248" s="1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7"/>
    </row>
    <row r="249" spans="1:12">
      <c r="A249" s="1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7"/>
    </row>
    <row r="250" spans="1:12">
      <c r="A250" s="1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7"/>
    </row>
    <row r="251" spans="1:12">
      <c r="A251" s="1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7"/>
    </row>
    <row r="252" spans="1:12">
      <c r="A252" s="1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7"/>
    </row>
    <row r="253" spans="1:12">
      <c r="A253" s="1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7"/>
    </row>
    <row r="254" spans="1:12">
      <c r="A254" s="1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7"/>
    </row>
    <row r="255" spans="1:12">
      <c r="A255" s="1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7"/>
    </row>
    <row r="256" spans="1:12">
      <c r="A256" s="1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7"/>
    </row>
    <row r="257" spans="1:12">
      <c r="A257" s="1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7"/>
    </row>
    <row r="258" spans="1:12">
      <c r="A258" s="1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7"/>
    </row>
    <row r="259" spans="1:12">
      <c r="A259" s="1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7"/>
    </row>
    <row r="260" spans="1:12">
      <c r="A260" s="1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7"/>
    </row>
    <row r="261" spans="1:12">
      <c r="A261" s="1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7"/>
    </row>
    <row r="262" spans="1:12">
      <c r="A262" s="1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7"/>
    </row>
    <row r="263" spans="1:12">
      <c r="A263" s="1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7"/>
    </row>
    <row r="264" spans="1:12">
      <c r="A264" s="1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7"/>
    </row>
    <row r="265" spans="1:12">
      <c r="A265" s="1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7"/>
    </row>
    <row r="266" spans="1:12">
      <c r="A266" s="1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7"/>
    </row>
    <row r="267" spans="1:12">
      <c r="A267" s="1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7"/>
    </row>
    <row r="268" spans="1:12">
      <c r="A268" s="1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7"/>
    </row>
    <row r="269" spans="1:12">
      <c r="A269" s="1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7"/>
    </row>
    <row r="270" spans="1:12">
      <c r="A270" s="1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7"/>
    </row>
    <row r="271" spans="1:12">
      <c r="A271" s="1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7"/>
    </row>
    <row r="272" spans="1:12">
      <c r="A272" s="1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7"/>
    </row>
    <row r="273" spans="1:12">
      <c r="A273" s="1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7"/>
    </row>
    <row r="274" spans="1:12">
      <c r="A274" s="1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7"/>
    </row>
    <row r="275" spans="1:12">
      <c r="A275" s="1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7"/>
    </row>
    <row r="276" spans="1:12">
      <c r="A276" s="1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7"/>
    </row>
    <row r="277" spans="1:12">
      <c r="A277" s="1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7"/>
    </row>
    <row r="278" spans="1:12">
      <c r="A278" s="1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7"/>
    </row>
    <row r="279" spans="1:12">
      <c r="A279" s="1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7"/>
    </row>
    <row r="280" spans="1:12">
      <c r="A280" s="1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7"/>
    </row>
    <row r="281" spans="1:12">
      <c r="A281" s="1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7"/>
    </row>
    <row r="282" spans="1:12">
      <c r="A282" s="1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7"/>
    </row>
    <row r="283" spans="1:12">
      <c r="A283" s="1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7"/>
    </row>
    <row r="284" spans="1:12">
      <c r="A284" s="1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7"/>
    </row>
    <row r="285" spans="1:12">
      <c r="A285" s="1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7"/>
    </row>
    <row r="286" spans="1:12">
      <c r="A286" s="1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7"/>
    </row>
    <row r="287" spans="1:12">
      <c r="A287" s="1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7"/>
    </row>
    <row r="288" spans="1:12">
      <c r="A288" s="1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7"/>
    </row>
    <row r="289" spans="1:12">
      <c r="A289" s="1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7"/>
    </row>
    <row r="290" spans="1:12">
      <c r="A290" s="1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7"/>
    </row>
    <row r="291" spans="1:12">
      <c r="A291" s="1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7"/>
    </row>
    <row r="292" spans="1:12">
      <c r="A292" s="1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7"/>
    </row>
    <row r="293" spans="1:12">
      <c r="A293" s="1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7"/>
    </row>
    <row r="294" spans="1:12">
      <c r="A294" s="1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7"/>
    </row>
    <row r="295" spans="1:12">
      <c r="A295" s="1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7"/>
    </row>
    <row r="296" spans="1:12">
      <c r="A296" s="1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7"/>
    </row>
    <row r="297" spans="1:12">
      <c r="A297" s="1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7"/>
    </row>
    <row r="298" spans="1:12">
      <c r="A298" s="1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7"/>
    </row>
    <row r="299" spans="1:12">
      <c r="A299" s="1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7"/>
    </row>
    <row r="300" spans="1:12">
      <c r="A300" s="1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7"/>
    </row>
    <row r="301" spans="1:12">
      <c r="A301" s="1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7"/>
    </row>
    <row r="302" spans="1:12">
      <c r="A302" s="1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7"/>
    </row>
    <row r="303" spans="1:12">
      <c r="A303" s="1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7"/>
    </row>
    <row r="304" spans="1:12">
      <c r="A304" s="1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7"/>
    </row>
    <row r="305" spans="1:12">
      <c r="A305" s="1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7"/>
    </row>
    <row r="306" spans="1:12">
      <c r="A306" s="1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7"/>
    </row>
    <row r="307" spans="1:12">
      <c r="A307" s="1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7"/>
    </row>
    <row r="308" spans="1:12">
      <c r="A308" s="1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7"/>
    </row>
    <row r="309" spans="1:12">
      <c r="A309" s="1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7"/>
    </row>
    <row r="310" spans="1:12">
      <c r="A310" s="1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7"/>
    </row>
    <row r="311" spans="1:12">
      <c r="A311" s="1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7"/>
    </row>
    <row r="312" spans="1:12">
      <c r="A312" s="1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7"/>
    </row>
    <row r="313" spans="1:12">
      <c r="A313" s="1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7"/>
    </row>
    <row r="314" spans="1:12">
      <c r="A314" s="1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7"/>
    </row>
    <row r="315" spans="1:12">
      <c r="A315" s="1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7"/>
    </row>
    <row r="316" spans="1:12">
      <c r="A316" s="1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7"/>
    </row>
    <row r="317" spans="1:12">
      <c r="A317" s="1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7"/>
    </row>
    <row r="318" spans="1:12">
      <c r="A318" s="1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7"/>
    </row>
    <row r="319" spans="1:12">
      <c r="A319" s="1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7"/>
    </row>
    <row r="320" spans="1:12">
      <c r="A320" s="1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7"/>
    </row>
    <row r="321" spans="1:12">
      <c r="A321" s="1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7"/>
    </row>
    <row r="322" spans="1:12">
      <c r="A322" s="1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7"/>
    </row>
    <row r="323" spans="1:12">
      <c r="A323" s="1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7"/>
    </row>
    <row r="324" spans="1:12">
      <c r="A324" s="1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7"/>
    </row>
    <row r="325" spans="1:12">
      <c r="A325" s="1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7"/>
    </row>
    <row r="326" spans="1:12">
      <c r="A326" s="1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7"/>
    </row>
    <row r="327" spans="1:12">
      <c r="A327" s="1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7"/>
    </row>
    <row r="328" spans="1:12">
      <c r="A328" s="1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7"/>
    </row>
    <row r="329" spans="1:12">
      <c r="A329" s="1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7"/>
    </row>
    <row r="330" spans="1:12">
      <c r="A330" s="1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7"/>
    </row>
    <row r="331" spans="1:12">
      <c r="A331" s="1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7"/>
    </row>
    <row r="332" spans="1:12">
      <c r="A332" s="1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7"/>
    </row>
    <row r="333" spans="1:12">
      <c r="A333" s="1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7"/>
    </row>
    <row r="334" spans="1:12">
      <c r="A334" s="1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7"/>
    </row>
    <row r="335" spans="1:12">
      <c r="A335" s="1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7"/>
    </row>
    <row r="336" spans="1:12">
      <c r="A336" s="1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7"/>
    </row>
    <row r="337" spans="1:12">
      <c r="A337" s="1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7"/>
    </row>
    <row r="338" spans="1:12">
      <c r="A338" s="1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7"/>
    </row>
    <row r="339" spans="1:12">
      <c r="A339" s="1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7"/>
    </row>
    <row r="340" spans="1:12">
      <c r="A340" s="1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7"/>
    </row>
    <row r="341" spans="1:12">
      <c r="A341" s="1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7"/>
    </row>
    <row r="342" spans="1:12">
      <c r="A342" s="1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7"/>
    </row>
    <row r="343" spans="1:12">
      <c r="A343" s="1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7"/>
    </row>
    <row r="344" spans="1:12">
      <c r="A344" s="1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7"/>
    </row>
    <row r="345" spans="1:12">
      <c r="A345" s="1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7"/>
    </row>
    <row r="346" spans="1:12">
      <c r="A346" s="1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7"/>
    </row>
    <row r="347" spans="1:12">
      <c r="A347" s="1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7"/>
    </row>
    <row r="348" spans="1:12">
      <c r="A348" s="1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7"/>
    </row>
    <row r="349" spans="1:12">
      <c r="A349" s="1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7"/>
    </row>
    <row r="350" spans="1:12">
      <c r="A350" s="1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7"/>
    </row>
    <row r="351" spans="1:12">
      <c r="A351" s="1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7"/>
    </row>
    <row r="352" spans="1:12">
      <c r="A352" s="1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7"/>
    </row>
    <row r="353" spans="1:12">
      <c r="A353" s="1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7"/>
    </row>
    <row r="354" spans="1:12">
      <c r="A354" s="1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7"/>
    </row>
    <row r="355" spans="1:12">
      <c r="A355" s="1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7"/>
    </row>
    <row r="356" spans="1:12">
      <c r="A356" s="1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7"/>
    </row>
    <row r="357" spans="1:12">
      <c r="A357" s="1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7"/>
    </row>
    <row r="358" spans="1:12">
      <c r="A358" s="1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7"/>
    </row>
    <row r="359" spans="1:12">
      <c r="A359" s="1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7"/>
    </row>
    <row r="360" spans="1:12">
      <c r="A360" s="1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7"/>
    </row>
    <row r="361" spans="1:12">
      <c r="A361" s="1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7"/>
    </row>
    <row r="362" spans="1:12">
      <c r="A362" s="1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7"/>
    </row>
    <row r="363" spans="1:12">
      <c r="A363" s="1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7"/>
    </row>
    <row r="364" spans="1:12">
      <c r="A364" s="1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7"/>
    </row>
    <row r="365" spans="1:12">
      <c r="A365" s="1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7"/>
    </row>
    <row r="366" spans="1:12">
      <c r="A366" s="1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7"/>
    </row>
    <row r="367" spans="1:12">
      <c r="A367" s="1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7"/>
    </row>
    <row r="368" spans="1:12">
      <c r="A368" s="1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7"/>
    </row>
    <row r="369" spans="1:12">
      <c r="A369" s="1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7"/>
    </row>
    <row r="370" spans="1:12">
      <c r="A370" s="1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7"/>
    </row>
    <row r="371" spans="1:12">
      <c r="A371" s="1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7"/>
    </row>
    <row r="372" spans="1:12">
      <c r="A372" s="1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7"/>
    </row>
    <row r="373" spans="1:12">
      <c r="A373" s="1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7"/>
    </row>
    <row r="374" spans="1:12">
      <c r="A374" s="1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7"/>
    </row>
    <row r="375" spans="1:12">
      <c r="A375" s="1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7"/>
    </row>
    <row r="376" spans="1:12">
      <c r="A376" s="1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7"/>
    </row>
    <row r="377" spans="1:12">
      <c r="A377" s="1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7"/>
    </row>
    <row r="378" spans="1:12">
      <c r="A378" s="1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7"/>
    </row>
    <row r="379" spans="1:12">
      <c r="A379" s="1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7"/>
    </row>
    <row r="380" spans="1:12">
      <c r="A380" s="1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7"/>
    </row>
    <row r="381" spans="1:12">
      <c r="A381" s="1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7"/>
    </row>
    <row r="382" spans="1:12">
      <c r="A382" s="1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7"/>
    </row>
    <row r="383" spans="1:12">
      <c r="A383" s="1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7"/>
    </row>
    <row r="384" spans="1:12">
      <c r="A384" s="1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7"/>
    </row>
    <row r="385" spans="1:12">
      <c r="A385" s="1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7"/>
    </row>
    <row r="386" spans="1:12">
      <c r="A386" s="1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7"/>
    </row>
    <row r="387" spans="1:12">
      <c r="A387" s="1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7"/>
    </row>
    <row r="388" spans="1:12">
      <c r="A388" s="1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7"/>
    </row>
    <row r="389" spans="1:12">
      <c r="A389" s="1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7"/>
    </row>
    <row r="390" spans="1:12">
      <c r="A390" s="1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7"/>
    </row>
    <row r="391" spans="1:12">
      <c r="A391" s="1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7"/>
    </row>
    <row r="392" spans="1:12">
      <c r="A392" s="1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7"/>
    </row>
    <row r="393" spans="1:12">
      <c r="A393" s="1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7"/>
    </row>
    <row r="394" spans="1:12">
      <c r="A394" s="1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7"/>
    </row>
    <row r="395" spans="1:12">
      <c r="A395" s="1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7"/>
    </row>
    <row r="396" spans="1:12">
      <c r="A396" s="1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7"/>
    </row>
    <row r="397" spans="1:12">
      <c r="A397" s="1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7"/>
    </row>
    <row r="398" spans="1:12">
      <c r="A398" s="1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7"/>
    </row>
    <row r="399" spans="1:12">
      <c r="A399" s="1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7"/>
    </row>
    <row r="400" spans="1:12">
      <c r="A400" s="1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7"/>
    </row>
    <row r="401" spans="1:12">
      <c r="A401" s="1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7"/>
    </row>
    <row r="402" spans="1:12">
      <c r="A402" s="1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7"/>
    </row>
    <row r="403" spans="1:12">
      <c r="A403" s="1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7"/>
    </row>
    <row r="404" spans="1:12">
      <c r="A404" s="1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7"/>
    </row>
    <row r="405" spans="1:12">
      <c r="A405" s="1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7"/>
    </row>
    <row r="406" spans="1:12">
      <c r="A406" s="1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7"/>
    </row>
    <row r="407" spans="1:12">
      <c r="A407" s="1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7"/>
    </row>
    <row r="408" spans="1:12">
      <c r="A408" s="1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7"/>
    </row>
    <row r="409" spans="1:12">
      <c r="A409" s="1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7"/>
    </row>
    <row r="410" spans="1:12">
      <c r="A410" s="1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7"/>
    </row>
    <row r="411" spans="1:12">
      <c r="A411" s="1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7"/>
    </row>
    <row r="412" spans="1:12">
      <c r="A412" s="1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7"/>
    </row>
    <row r="413" spans="1:12">
      <c r="A413" s="1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7"/>
    </row>
    <row r="414" spans="1:12">
      <c r="A414" s="1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7"/>
    </row>
    <row r="415" spans="1:12">
      <c r="A415" s="1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7"/>
    </row>
    <row r="416" spans="1:12">
      <c r="A416" s="1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7"/>
    </row>
    <row r="417" spans="1:12">
      <c r="A417" s="1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7"/>
    </row>
    <row r="418" spans="1:12">
      <c r="A418" s="1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7"/>
    </row>
    <row r="419" spans="1:12">
      <c r="A419" s="1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7"/>
    </row>
    <row r="420" spans="1:12">
      <c r="A420" s="1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7"/>
    </row>
    <row r="421" spans="1:12">
      <c r="A421" s="1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7"/>
    </row>
    <row r="422" spans="1:12">
      <c r="A422" s="1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7"/>
    </row>
    <row r="423" spans="1:12">
      <c r="A423" s="1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7"/>
    </row>
    <row r="424" spans="1:12">
      <c r="A424" s="1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7"/>
    </row>
    <row r="425" spans="1:12">
      <c r="A425" s="1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7"/>
    </row>
    <row r="426" spans="1:12">
      <c r="A426" s="1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7"/>
    </row>
    <row r="427" spans="1:12">
      <c r="A427" s="1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7"/>
    </row>
    <row r="428" spans="1:12">
      <c r="A428" s="1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7"/>
    </row>
    <row r="429" spans="1:12">
      <c r="A429" s="1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7"/>
    </row>
    <row r="430" spans="1:12">
      <c r="A430" s="1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7"/>
    </row>
    <row r="431" spans="1:12">
      <c r="A431" s="1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7"/>
    </row>
    <row r="432" spans="1:12">
      <c r="A432" s="1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7"/>
    </row>
    <row r="433" spans="1:12">
      <c r="A433" s="1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7"/>
    </row>
    <row r="434" spans="1:12">
      <c r="A434" s="1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7"/>
    </row>
    <row r="435" spans="1:12">
      <c r="A435" s="1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7"/>
    </row>
    <row r="436" spans="1:12">
      <c r="A436" s="1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7"/>
    </row>
    <row r="437" spans="1:12">
      <c r="A437" s="1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7"/>
    </row>
    <row r="438" spans="1:12">
      <c r="A438" s="1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7"/>
    </row>
    <row r="439" spans="1:12">
      <c r="A439" s="1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7"/>
    </row>
    <row r="440" spans="1:12">
      <c r="A440" s="1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7"/>
    </row>
    <row r="441" spans="1:12">
      <c r="A441" s="1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7"/>
    </row>
    <row r="442" spans="1:12">
      <c r="A442" s="1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7"/>
    </row>
    <row r="443" spans="1:12">
      <c r="A443" s="1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7"/>
    </row>
    <row r="444" spans="1:12">
      <c r="A444" s="1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7"/>
    </row>
    <row r="445" spans="1:12">
      <c r="A445" s="1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7"/>
    </row>
    <row r="446" spans="1:12">
      <c r="A446" s="1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7"/>
    </row>
    <row r="447" spans="1:12">
      <c r="A447" s="1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7"/>
    </row>
    <row r="448" spans="1:12">
      <c r="A448" s="1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7"/>
    </row>
    <row r="449" spans="1:12">
      <c r="A449" s="1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7"/>
    </row>
    <row r="450" spans="1:12">
      <c r="A450" s="1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7"/>
    </row>
    <row r="451" spans="1:12">
      <c r="A451" s="1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7"/>
    </row>
    <row r="452" spans="1:12">
      <c r="A452" s="1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7"/>
    </row>
    <row r="453" spans="1:12">
      <c r="A453" s="1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7"/>
    </row>
    <row r="454" spans="1:12">
      <c r="A454" s="1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7"/>
    </row>
    <row r="455" spans="1:12">
      <c r="A455" s="1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7"/>
    </row>
    <row r="456" spans="1:12">
      <c r="A456" s="1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7"/>
    </row>
    <row r="457" spans="1:12">
      <c r="A457" s="1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7"/>
    </row>
    <row r="458" spans="1:12">
      <c r="A458" s="1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7"/>
    </row>
    <row r="459" spans="1:12">
      <c r="A459" s="1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7"/>
    </row>
    <row r="460" spans="1:12">
      <c r="A460" s="1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7"/>
    </row>
    <row r="461" spans="1:12">
      <c r="A461" s="1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7"/>
    </row>
    <row r="462" spans="1:12">
      <c r="A462" s="1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7"/>
    </row>
    <row r="463" spans="1:12">
      <c r="A463" s="1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7"/>
    </row>
    <row r="464" spans="1:12">
      <c r="A464" s="1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7"/>
    </row>
    <row r="465" spans="1:12">
      <c r="A465" s="1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7"/>
    </row>
    <row r="466" spans="1:12">
      <c r="A466" s="1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7"/>
    </row>
    <row r="467" spans="1:12">
      <c r="A467" s="1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7"/>
    </row>
    <row r="468" spans="1:12">
      <c r="A468" s="1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7"/>
    </row>
    <row r="469" spans="1:12">
      <c r="A469" s="1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7"/>
    </row>
    <row r="470" spans="1:12">
      <c r="A470" s="1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7"/>
    </row>
    <row r="471" spans="1:12">
      <c r="A471" s="1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7"/>
    </row>
    <row r="472" spans="1:12">
      <c r="A472" s="1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7"/>
    </row>
    <row r="473" spans="1:12">
      <c r="A473" s="1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7"/>
    </row>
    <row r="474" spans="1:12">
      <c r="A474" s="1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7"/>
    </row>
    <row r="475" spans="1:12">
      <c r="A475" s="1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7"/>
    </row>
    <row r="476" spans="1:12">
      <c r="A476" s="1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7"/>
    </row>
    <row r="477" spans="1:12">
      <c r="A477" s="1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7"/>
    </row>
    <row r="478" spans="1:12">
      <c r="A478" s="1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7"/>
    </row>
    <row r="479" spans="1:12">
      <c r="A479" s="1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7"/>
    </row>
    <row r="480" spans="1:12">
      <c r="A480" s="1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7"/>
    </row>
    <row r="481" spans="1:12">
      <c r="A481" s="1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7"/>
    </row>
    <row r="482" spans="1:12">
      <c r="A482" s="1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7"/>
    </row>
    <row r="483" spans="1:12">
      <c r="A483" s="1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7"/>
    </row>
    <row r="484" spans="1:12">
      <c r="A484" s="1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7"/>
    </row>
    <row r="485" spans="1:12">
      <c r="A485" s="1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7"/>
    </row>
    <row r="486" spans="1:12">
      <c r="A486" s="1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7"/>
    </row>
    <row r="487" spans="1:12">
      <c r="A487" s="1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7"/>
    </row>
    <row r="488" spans="1:12">
      <c r="A488" s="1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7"/>
    </row>
    <row r="489" spans="1:12">
      <c r="A489" s="1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7"/>
    </row>
    <row r="490" spans="1:12">
      <c r="A490" s="1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7"/>
    </row>
    <row r="491" spans="1:12">
      <c r="A491" s="1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7"/>
    </row>
    <row r="492" spans="1:12">
      <c r="A492" s="1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7"/>
    </row>
    <row r="493" spans="1:12">
      <c r="A493" s="1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7"/>
    </row>
    <row r="494" spans="1:12">
      <c r="A494" s="1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7"/>
    </row>
    <row r="495" spans="1:12">
      <c r="A495" s="1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7"/>
    </row>
    <row r="496" spans="1:12">
      <c r="A496" s="1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7"/>
    </row>
    <row r="497" spans="1:12">
      <c r="A497" s="1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7"/>
    </row>
    <row r="498" spans="1:12">
      <c r="A498" s="1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7"/>
    </row>
    <row r="499" spans="1:12">
      <c r="A499" s="1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7"/>
    </row>
    <row r="500" spans="1:12">
      <c r="A500" s="1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7"/>
    </row>
  </sheetData>
  <mergeCells count="1">
    <mergeCell ref="A1:L1"/>
  </mergeCells>
  <dataValidations count="2">
    <dataValidation type="list" sqref="J4:J500" xr:uid="{00000000-0002-0000-1000-000000000000}">
      <formula1>"Sí,No"</formula1>
    </dataValidation>
    <dataValidation type="list" sqref="K4:K500" xr:uid="{00000000-0002-0000-1000-000001000000}">
      <formula1>"Borrador,Publicada,Archivada"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500"/>
  <sheetViews>
    <sheetView workbookViewId="0"/>
  </sheetViews>
  <sheetFormatPr baseColWidth="10" defaultColWidth="8.6640625" defaultRowHeight="14"/>
  <cols>
    <col min="1" max="1" width="12" customWidth="1"/>
    <col min="2" max="2" width="3.9140625" customWidth="1"/>
    <col min="3" max="3" width="4.9140625" customWidth="1"/>
    <col min="4" max="4" width="9.25" customWidth="1"/>
    <col min="5" max="5" width="4.6640625" customWidth="1"/>
    <col min="6" max="6" width="4.1640625" customWidth="1"/>
    <col min="7" max="7" width="14.83203125" customWidth="1"/>
    <col min="8" max="8" width="16.6640625" customWidth="1"/>
    <col min="9" max="9" width="6.1640625" customWidth="1"/>
    <col min="10" max="10" width="12.58203125" customWidth="1"/>
    <col min="11" max="11" width="11.25" customWidth="1"/>
    <col min="12" max="12" width="12.25" customWidth="1"/>
  </cols>
  <sheetData>
    <row r="1" spans="1:12" ht="15.15" customHeight="1">
      <c r="A1" s="43" t="s">
        <v>297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>
      <c r="A2" s="10"/>
    </row>
    <row r="3" spans="1:12" ht="13.4" customHeight="1">
      <c r="A3" s="11" t="s">
        <v>298</v>
      </c>
      <c r="B3" s="1" t="s">
        <v>290</v>
      </c>
      <c r="C3" s="1" t="s">
        <v>287</v>
      </c>
      <c r="D3" s="1" t="s">
        <v>226</v>
      </c>
      <c r="E3" s="1" t="s">
        <v>178</v>
      </c>
      <c r="F3" s="1" t="s">
        <v>152</v>
      </c>
      <c r="G3" s="1" t="s">
        <v>299</v>
      </c>
      <c r="H3" s="1" t="s">
        <v>300</v>
      </c>
      <c r="I3" s="1" t="s">
        <v>165</v>
      </c>
      <c r="J3" s="1" t="s">
        <v>301</v>
      </c>
      <c r="K3" s="1" t="s">
        <v>234</v>
      </c>
      <c r="L3" s="1" t="s">
        <v>198</v>
      </c>
    </row>
    <row r="4" spans="1:12">
      <c r="A4" s="12"/>
      <c r="B4" s="2"/>
      <c r="C4" s="2"/>
      <c r="D4" s="2"/>
      <c r="E4" s="2"/>
      <c r="F4" s="2"/>
      <c r="G4" s="5"/>
      <c r="H4" s="2"/>
      <c r="I4" s="2"/>
      <c r="J4" s="2"/>
      <c r="K4" s="2"/>
      <c r="L4" s="2"/>
    </row>
    <row r="5" spans="1:12">
      <c r="A5" s="12"/>
      <c r="B5" s="2"/>
      <c r="C5" s="2"/>
      <c r="D5" s="2"/>
      <c r="E5" s="2"/>
      <c r="F5" s="2"/>
      <c r="G5" s="5"/>
      <c r="H5" s="2"/>
      <c r="I5" s="2"/>
      <c r="J5" s="2"/>
      <c r="K5" s="2"/>
      <c r="L5" s="2"/>
    </row>
    <row r="6" spans="1:12">
      <c r="A6" s="12"/>
      <c r="B6" s="2"/>
      <c r="C6" s="2"/>
      <c r="D6" s="2"/>
      <c r="E6" s="2"/>
      <c r="F6" s="2"/>
      <c r="G6" s="5"/>
      <c r="H6" s="2"/>
      <c r="I6" s="2"/>
      <c r="J6" s="2"/>
      <c r="K6" s="2"/>
      <c r="L6" s="2"/>
    </row>
    <row r="7" spans="1:12">
      <c r="A7" s="12"/>
      <c r="B7" s="2"/>
      <c r="C7" s="2"/>
      <c r="D7" s="2"/>
      <c r="E7" s="2"/>
      <c r="F7" s="2"/>
      <c r="G7" s="5"/>
      <c r="H7" s="2"/>
      <c r="I7" s="2"/>
      <c r="J7" s="2"/>
      <c r="K7" s="2"/>
      <c r="L7" s="2"/>
    </row>
    <row r="8" spans="1:12">
      <c r="A8" s="12"/>
      <c r="B8" s="2"/>
      <c r="C8" s="2"/>
      <c r="D8" s="2"/>
      <c r="E8" s="2"/>
      <c r="F8" s="2"/>
      <c r="G8" s="5"/>
      <c r="H8" s="2"/>
      <c r="I8" s="2"/>
      <c r="J8" s="2"/>
      <c r="K8" s="2"/>
      <c r="L8" s="2"/>
    </row>
    <row r="9" spans="1:12">
      <c r="A9" s="12"/>
      <c r="B9" s="2"/>
      <c r="C9" s="2"/>
      <c r="D9" s="2"/>
      <c r="E9" s="2"/>
      <c r="F9" s="2"/>
      <c r="G9" s="5"/>
      <c r="H9" s="2"/>
      <c r="I9" s="2"/>
      <c r="J9" s="2"/>
      <c r="K9" s="2"/>
      <c r="L9" s="2"/>
    </row>
    <row r="10" spans="1:12">
      <c r="A10" s="12"/>
      <c r="B10" s="2"/>
      <c r="C10" s="2"/>
      <c r="D10" s="2"/>
      <c r="E10" s="2"/>
      <c r="F10" s="2"/>
      <c r="G10" s="5"/>
      <c r="H10" s="2"/>
      <c r="I10" s="2"/>
      <c r="J10" s="2"/>
      <c r="K10" s="2"/>
      <c r="L10" s="2"/>
    </row>
    <row r="11" spans="1:12">
      <c r="A11" s="12"/>
      <c r="B11" s="2"/>
      <c r="C11" s="2"/>
      <c r="D11" s="2"/>
      <c r="E11" s="2"/>
      <c r="F11" s="2"/>
      <c r="G11" s="5"/>
      <c r="H11" s="2"/>
      <c r="I11" s="2"/>
      <c r="J11" s="2"/>
      <c r="K11" s="2"/>
      <c r="L11" s="2"/>
    </row>
    <row r="12" spans="1:12">
      <c r="A12" s="12"/>
      <c r="B12" s="2"/>
      <c r="C12" s="2"/>
      <c r="D12" s="2"/>
      <c r="E12" s="2"/>
      <c r="F12" s="2"/>
      <c r="G12" s="5"/>
      <c r="H12" s="2"/>
      <c r="I12" s="2"/>
      <c r="J12" s="2"/>
      <c r="K12" s="2"/>
      <c r="L12" s="2"/>
    </row>
    <row r="13" spans="1:12">
      <c r="A13" s="12"/>
      <c r="B13" s="2"/>
      <c r="C13" s="2"/>
      <c r="D13" s="2"/>
      <c r="E13" s="2"/>
      <c r="F13" s="2"/>
      <c r="G13" s="5"/>
      <c r="H13" s="2"/>
      <c r="I13" s="2"/>
      <c r="J13" s="2"/>
      <c r="K13" s="2"/>
      <c r="L13" s="2"/>
    </row>
    <row r="14" spans="1:12">
      <c r="A14" s="12"/>
      <c r="B14" s="2"/>
      <c r="C14" s="2"/>
      <c r="D14" s="2"/>
      <c r="E14" s="2"/>
      <c r="F14" s="2"/>
      <c r="G14" s="5"/>
      <c r="H14" s="2"/>
      <c r="I14" s="2"/>
      <c r="J14" s="2"/>
      <c r="K14" s="2"/>
      <c r="L14" s="2"/>
    </row>
    <row r="15" spans="1:12">
      <c r="A15" s="12"/>
      <c r="B15" s="2"/>
      <c r="C15" s="2"/>
      <c r="D15" s="2"/>
      <c r="E15" s="2"/>
      <c r="F15" s="2"/>
      <c r="G15" s="5"/>
      <c r="H15" s="2"/>
      <c r="I15" s="2"/>
      <c r="J15" s="2"/>
      <c r="K15" s="2"/>
      <c r="L15" s="2"/>
    </row>
    <row r="16" spans="1:12">
      <c r="A16" s="12"/>
      <c r="B16" s="2"/>
      <c r="C16" s="2"/>
      <c r="D16" s="2"/>
      <c r="E16" s="2"/>
      <c r="F16" s="2"/>
      <c r="G16" s="5"/>
      <c r="H16" s="2"/>
      <c r="I16" s="2"/>
      <c r="J16" s="2"/>
      <c r="K16" s="2"/>
      <c r="L16" s="2"/>
    </row>
    <row r="17" spans="1:12">
      <c r="A17" s="12"/>
      <c r="B17" s="2"/>
      <c r="C17" s="2"/>
      <c r="D17" s="2"/>
      <c r="E17" s="2"/>
      <c r="F17" s="2"/>
      <c r="G17" s="5"/>
      <c r="H17" s="2"/>
      <c r="I17" s="2"/>
      <c r="J17" s="2"/>
      <c r="K17" s="2"/>
      <c r="L17" s="2"/>
    </row>
    <row r="18" spans="1:12">
      <c r="A18" s="12"/>
      <c r="B18" s="2"/>
      <c r="C18" s="2"/>
      <c r="D18" s="2"/>
      <c r="E18" s="2"/>
      <c r="F18" s="2"/>
      <c r="G18" s="5"/>
      <c r="H18" s="2"/>
      <c r="I18" s="2"/>
      <c r="J18" s="2"/>
      <c r="K18" s="2"/>
      <c r="L18" s="2"/>
    </row>
    <row r="19" spans="1:12">
      <c r="A19" s="12"/>
      <c r="B19" s="2"/>
      <c r="C19" s="2"/>
      <c r="D19" s="2"/>
      <c r="E19" s="2"/>
      <c r="F19" s="2"/>
      <c r="G19" s="5"/>
      <c r="H19" s="2"/>
      <c r="I19" s="2"/>
      <c r="J19" s="2"/>
      <c r="K19" s="2"/>
      <c r="L19" s="2"/>
    </row>
    <row r="20" spans="1:12">
      <c r="A20" s="12"/>
      <c r="B20" s="2"/>
      <c r="C20" s="2"/>
      <c r="D20" s="2"/>
      <c r="E20" s="2"/>
      <c r="F20" s="2"/>
      <c r="G20" s="5"/>
      <c r="H20" s="2"/>
      <c r="I20" s="2"/>
      <c r="J20" s="2"/>
      <c r="K20" s="2"/>
      <c r="L20" s="2"/>
    </row>
    <row r="21" spans="1:12">
      <c r="A21" s="12"/>
      <c r="B21" s="2"/>
      <c r="C21" s="2"/>
      <c r="D21" s="2"/>
      <c r="E21" s="2"/>
      <c r="F21" s="2"/>
      <c r="G21" s="5"/>
      <c r="H21" s="2"/>
      <c r="I21" s="2"/>
      <c r="J21" s="2"/>
      <c r="K21" s="2"/>
      <c r="L21" s="2"/>
    </row>
    <row r="22" spans="1:12">
      <c r="A22" s="12"/>
      <c r="B22" s="2"/>
      <c r="C22" s="2"/>
      <c r="D22" s="2"/>
      <c r="E22" s="2"/>
      <c r="F22" s="2"/>
      <c r="G22" s="5"/>
      <c r="H22" s="2"/>
      <c r="I22" s="2"/>
      <c r="J22" s="2"/>
      <c r="K22" s="2"/>
      <c r="L22" s="2"/>
    </row>
    <row r="23" spans="1:12">
      <c r="A23" s="12"/>
      <c r="B23" s="2"/>
      <c r="C23" s="2"/>
      <c r="D23" s="2"/>
      <c r="E23" s="2"/>
      <c r="F23" s="2"/>
      <c r="G23" s="5"/>
      <c r="H23" s="2"/>
      <c r="I23" s="2"/>
      <c r="J23" s="2"/>
      <c r="K23" s="2"/>
      <c r="L23" s="2"/>
    </row>
    <row r="24" spans="1:12">
      <c r="A24" s="12"/>
      <c r="B24" s="2"/>
      <c r="C24" s="2"/>
      <c r="D24" s="2"/>
      <c r="E24" s="2"/>
      <c r="F24" s="2"/>
      <c r="G24" s="5"/>
      <c r="H24" s="2"/>
      <c r="I24" s="2"/>
      <c r="J24" s="2"/>
      <c r="K24" s="2"/>
      <c r="L24" s="2"/>
    </row>
    <row r="25" spans="1:12">
      <c r="A25" s="12"/>
      <c r="B25" s="2"/>
      <c r="C25" s="2"/>
      <c r="D25" s="2"/>
      <c r="E25" s="2"/>
      <c r="F25" s="2"/>
      <c r="G25" s="5"/>
      <c r="H25" s="2"/>
      <c r="I25" s="2"/>
      <c r="J25" s="2"/>
      <c r="K25" s="2"/>
      <c r="L25" s="2"/>
    </row>
    <row r="26" spans="1:12">
      <c r="A26" s="12"/>
      <c r="B26" s="2"/>
      <c r="C26" s="2"/>
      <c r="D26" s="2"/>
      <c r="E26" s="2"/>
      <c r="F26" s="2"/>
      <c r="G26" s="5"/>
      <c r="H26" s="2"/>
      <c r="I26" s="2"/>
      <c r="J26" s="2"/>
      <c r="K26" s="2"/>
      <c r="L26" s="2"/>
    </row>
    <row r="27" spans="1:12">
      <c r="A27" s="12"/>
      <c r="B27" s="2"/>
      <c r="C27" s="2"/>
      <c r="D27" s="2"/>
      <c r="E27" s="2"/>
      <c r="F27" s="2"/>
      <c r="G27" s="5"/>
      <c r="H27" s="2"/>
      <c r="I27" s="2"/>
      <c r="J27" s="2"/>
      <c r="K27" s="2"/>
      <c r="L27" s="2"/>
    </row>
    <row r="28" spans="1:12">
      <c r="A28" s="12"/>
      <c r="B28" s="2"/>
      <c r="C28" s="2"/>
      <c r="D28" s="2"/>
      <c r="E28" s="2"/>
      <c r="F28" s="2"/>
      <c r="G28" s="5"/>
      <c r="H28" s="2"/>
      <c r="I28" s="2"/>
      <c r="J28" s="2"/>
      <c r="K28" s="2"/>
      <c r="L28" s="2"/>
    </row>
    <row r="29" spans="1:12">
      <c r="A29" s="12"/>
      <c r="B29" s="2"/>
      <c r="C29" s="2"/>
      <c r="D29" s="2"/>
      <c r="E29" s="2"/>
      <c r="F29" s="2"/>
      <c r="G29" s="5"/>
      <c r="H29" s="2"/>
      <c r="I29" s="2"/>
      <c r="J29" s="2"/>
      <c r="K29" s="2"/>
      <c r="L29" s="2"/>
    </row>
    <row r="30" spans="1:12">
      <c r="A30" s="12"/>
      <c r="B30" s="2"/>
      <c r="C30" s="2"/>
      <c r="D30" s="2"/>
      <c r="E30" s="2"/>
      <c r="F30" s="2"/>
      <c r="G30" s="5"/>
      <c r="H30" s="2"/>
      <c r="I30" s="2"/>
      <c r="J30" s="2"/>
      <c r="K30" s="2"/>
      <c r="L30" s="2"/>
    </row>
    <row r="31" spans="1:12">
      <c r="A31" s="12"/>
      <c r="B31" s="2"/>
      <c r="C31" s="2"/>
      <c r="D31" s="2"/>
      <c r="E31" s="2"/>
      <c r="F31" s="2"/>
      <c r="G31" s="5"/>
      <c r="H31" s="2"/>
      <c r="I31" s="2"/>
      <c r="J31" s="2"/>
      <c r="K31" s="2"/>
      <c r="L31" s="2"/>
    </row>
    <row r="32" spans="1:12">
      <c r="A32" s="12"/>
      <c r="B32" s="2"/>
      <c r="C32" s="2"/>
      <c r="D32" s="2"/>
      <c r="E32" s="2"/>
      <c r="F32" s="2"/>
      <c r="G32" s="5"/>
      <c r="H32" s="2"/>
      <c r="I32" s="2"/>
      <c r="J32" s="2"/>
      <c r="K32" s="2"/>
      <c r="L32" s="2"/>
    </row>
    <row r="33" spans="1:12">
      <c r="A33" s="12"/>
      <c r="B33" s="2"/>
      <c r="C33" s="2"/>
      <c r="D33" s="2"/>
      <c r="E33" s="2"/>
      <c r="F33" s="2"/>
      <c r="G33" s="5"/>
      <c r="H33" s="2"/>
      <c r="I33" s="2"/>
      <c r="J33" s="2"/>
      <c r="K33" s="2"/>
      <c r="L33" s="2"/>
    </row>
    <row r="34" spans="1:12">
      <c r="A34" s="12"/>
      <c r="B34" s="2"/>
      <c r="C34" s="2"/>
      <c r="D34" s="2"/>
      <c r="E34" s="2"/>
      <c r="F34" s="2"/>
      <c r="G34" s="5"/>
      <c r="H34" s="2"/>
      <c r="I34" s="2"/>
      <c r="J34" s="2"/>
      <c r="K34" s="2"/>
      <c r="L34" s="2"/>
    </row>
    <row r="35" spans="1:12">
      <c r="A35" s="12"/>
      <c r="B35" s="2"/>
      <c r="C35" s="2"/>
      <c r="D35" s="2"/>
      <c r="E35" s="2"/>
      <c r="F35" s="2"/>
      <c r="G35" s="5"/>
      <c r="H35" s="2"/>
      <c r="I35" s="2"/>
      <c r="J35" s="2"/>
      <c r="K35" s="2"/>
      <c r="L35" s="2"/>
    </row>
    <row r="36" spans="1:12">
      <c r="A36" s="12"/>
      <c r="B36" s="2"/>
      <c r="C36" s="2"/>
      <c r="D36" s="2"/>
      <c r="E36" s="2"/>
      <c r="F36" s="2"/>
      <c r="G36" s="5"/>
      <c r="H36" s="2"/>
      <c r="I36" s="2"/>
      <c r="J36" s="2"/>
      <c r="K36" s="2"/>
      <c r="L36" s="2"/>
    </row>
    <row r="37" spans="1:12">
      <c r="A37" s="12"/>
      <c r="B37" s="2"/>
      <c r="C37" s="2"/>
      <c r="D37" s="2"/>
      <c r="E37" s="2"/>
      <c r="F37" s="2"/>
      <c r="G37" s="5"/>
      <c r="H37" s="2"/>
      <c r="I37" s="2"/>
      <c r="J37" s="2"/>
      <c r="K37" s="2"/>
      <c r="L37" s="2"/>
    </row>
    <row r="38" spans="1:12">
      <c r="A38" s="12"/>
      <c r="B38" s="2"/>
      <c r="C38" s="2"/>
      <c r="D38" s="2"/>
      <c r="E38" s="2"/>
      <c r="F38" s="2"/>
      <c r="G38" s="5"/>
      <c r="H38" s="2"/>
      <c r="I38" s="2"/>
      <c r="J38" s="2"/>
      <c r="K38" s="2"/>
      <c r="L38" s="2"/>
    </row>
    <row r="39" spans="1:12">
      <c r="A39" s="12"/>
      <c r="B39" s="2"/>
      <c r="C39" s="2"/>
      <c r="D39" s="2"/>
      <c r="E39" s="2"/>
      <c r="F39" s="2"/>
      <c r="G39" s="5"/>
      <c r="H39" s="2"/>
      <c r="I39" s="2"/>
      <c r="J39" s="2"/>
      <c r="K39" s="2"/>
      <c r="L39" s="2"/>
    </row>
    <row r="40" spans="1:12">
      <c r="A40" s="12"/>
      <c r="B40" s="2"/>
      <c r="C40" s="2"/>
      <c r="D40" s="2"/>
      <c r="E40" s="2"/>
      <c r="F40" s="2"/>
      <c r="G40" s="5"/>
      <c r="H40" s="2"/>
      <c r="I40" s="2"/>
      <c r="J40" s="2"/>
      <c r="K40" s="2"/>
      <c r="L40" s="2"/>
    </row>
    <row r="41" spans="1:12">
      <c r="A41" s="12"/>
      <c r="B41" s="2"/>
      <c r="C41" s="2"/>
      <c r="D41" s="2"/>
      <c r="E41" s="2"/>
      <c r="F41" s="2"/>
      <c r="G41" s="5"/>
      <c r="H41" s="2"/>
      <c r="I41" s="2"/>
      <c r="J41" s="2"/>
      <c r="K41" s="2"/>
      <c r="L41" s="2"/>
    </row>
    <row r="42" spans="1:12">
      <c r="A42" s="12"/>
      <c r="B42" s="2"/>
      <c r="C42" s="2"/>
      <c r="D42" s="2"/>
      <c r="E42" s="2"/>
      <c r="F42" s="2"/>
      <c r="G42" s="5"/>
      <c r="H42" s="2"/>
      <c r="I42" s="2"/>
      <c r="J42" s="2"/>
      <c r="K42" s="2"/>
      <c r="L42" s="2"/>
    </row>
    <row r="43" spans="1:12">
      <c r="A43" s="12"/>
      <c r="B43" s="2"/>
      <c r="C43" s="2"/>
      <c r="D43" s="2"/>
      <c r="E43" s="2"/>
      <c r="F43" s="2"/>
      <c r="G43" s="5"/>
      <c r="H43" s="2"/>
      <c r="I43" s="2"/>
      <c r="J43" s="2"/>
      <c r="K43" s="2"/>
      <c r="L43" s="2"/>
    </row>
    <row r="44" spans="1:12">
      <c r="A44" s="12"/>
      <c r="B44" s="2"/>
      <c r="C44" s="2"/>
      <c r="D44" s="2"/>
      <c r="E44" s="2"/>
      <c r="F44" s="2"/>
      <c r="G44" s="5"/>
      <c r="H44" s="2"/>
      <c r="I44" s="2"/>
      <c r="J44" s="2"/>
      <c r="K44" s="2"/>
      <c r="L44" s="2"/>
    </row>
    <row r="45" spans="1:12">
      <c r="A45" s="12"/>
      <c r="B45" s="2"/>
      <c r="C45" s="2"/>
      <c r="D45" s="2"/>
      <c r="E45" s="2"/>
      <c r="F45" s="2"/>
      <c r="G45" s="5"/>
      <c r="H45" s="2"/>
      <c r="I45" s="2"/>
      <c r="J45" s="2"/>
      <c r="K45" s="2"/>
      <c r="L45" s="2"/>
    </row>
    <row r="46" spans="1:12">
      <c r="A46" s="12"/>
      <c r="B46" s="2"/>
      <c r="C46" s="2"/>
      <c r="D46" s="2"/>
      <c r="E46" s="2"/>
      <c r="F46" s="2"/>
      <c r="G46" s="5"/>
      <c r="H46" s="2"/>
      <c r="I46" s="2"/>
      <c r="J46" s="2"/>
      <c r="K46" s="2"/>
      <c r="L46" s="2"/>
    </row>
    <row r="47" spans="1:12">
      <c r="A47" s="12"/>
      <c r="B47" s="2"/>
      <c r="C47" s="2"/>
      <c r="D47" s="2"/>
      <c r="E47" s="2"/>
      <c r="F47" s="2"/>
      <c r="G47" s="5"/>
      <c r="H47" s="2"/>
      <c r="I47" s="2"/>
      <c r="J47" s="2"/>
      <c r="K47" s="2"/>
      <c r="L47" s="2"/>
    </row>
    <row r="48" spans="1:12">
      <c r="A48" s="12"/>
      <c r="B48" s="2"/>
      <c r="C48" s="2"/>
      <c r="D48" s="2"/>
      <c r="E48" s="2"/>
      <c r="F48" s="2"/>
      <c r="G48" s="5"/>
      <c r="H48" s="2"/>
      <c r="I48" s="2"/>
      <c r="J48" s="2"/>
      <c r="K48" s="2"/>
      <c r="L48" s="2"/>
    </row>
    <row r="49" spans="1:12">
      <c r="A49" s="12"/>
      <c r="B49" s="2"/>
      <c r="C49" s="2"/>
      <c r="D49" s="2"/>
      <c r="E49" s="2"/>
      <c r="F49" s="2"/>
      <c r="G49" s="5"/>
      <c r="H49" s="2"/>
      <c r="I49" s="2"/>
      <c r="J49" s="2"/>
      <c r="K49" s="2"/>
      <c r="L49" s="2"/>
    </row>
    <row r="50" spans="1:12">
      <c r="A50" s="12"/>
      <c r="B50" s="2"/>
      <c r="C50" s="2"/>
      <c r="D50" s="2"/>
      <c r="E50" s="2"/>
      <c r="F50" s="2"/>
      <c r="G50" s="5"/>
      <c r="H50" s="2"/>
      <c r="I50" s="2"/>
      <c r="J50" s="2"/>
      <c r="K50" s="2"/>
      <c r="L50" s="2"/>
    </row>
    <row r="51" spans="1:12">
      <c r="A51" s="12"/>
      <c r="B51" s="2"/>
      <c r="C51" s="2"/>
      <c r="D51" s="2"/>
      <c r="E51" s="2"/>
      <c r="F51" s="2"/>
      <c r="G51" s="5"/>
      <c r="H51" s="2"/>
      <c r="I51" s="2"/>
      <c r="J51" s="2"/>
      <c r="K51" s="2"/>
      <c r="L51" s="2"/>
    </row>
    <row r="52" spans="1:12">
      <c r="A52" s="12"/>
      <c r="B52" s="2"/>
      <c r="C52" s="2"/>
      <c r="D52" s="2"/>
      <c r="E52" s="2"/>
      <c r="F52" s="2"/>
      <c r="G52" s="5"/>
      <c r="H52" s="2"/>
      <c r="I52" s="2"/>
      <c r="J52" s="2"/>
      <c r="K52" s="2"/>
      <c r="L52" s="2"/>
    </row>
    <row r="53" spans="1:12">
      <c r="A53" s="12"/>
      <c r="B53" s="2"/>
      <c r="C53" s="2"/>
      <c r="D53" s="2"/>
      <c r="E53" s="2"/>
      <c r="F53" s="2"/>
      <c r="G53" s="5"/>
      <c r="H53" s="2"/>
      <c r="I53" s="2"/>
      <c r="J53" s="2"/>
      <c r="K53" s="2"/>
      <c r="L53" s="2"/>
    </row>
    <row r="54" spans="1:12">
      <c r="A54" s="12"/>
      <c r="B54" s="2"/>
      <c r="C54" s="2"/>
      <c r="D54" s="2"/>
      <c r="E54" s="2"/>
      <c r="F54" s="2"/>
      <c r="G54" s="5"/>
      <c r="H54" s="2"/>
      <c r="I54" s="2"/>
      <c r="J54" s="2"/>
      <c r="K54" s="2"/>
      <c r="L54" s="2"/>
    </row>
    <row r="55" spans="1:12">
      <c r="A55" s="12"/>
      <c r="B55" s="2"/>
      <c r="C55" s="2"/>
      <c r="D55" s="2"/>
      <c r="E55" s="2"/>
      <c r="F55" s="2"/>
      <c r="G55" s="5"/>
      <c r="H55" s="2"/>
      <c r="I55" s="2"/>
      <c r="J55" s="2"/>
      <c r="K55" s="2"/>
      <c r="L55" s="2"/>
    </row>
    <row r="56" spans="1:12">
      <c r="A56" s="12"/>
      <c r="B56" s="2"/>
      <c r="C56" s="2"/>
      <c r="D56" s="2"/>
      <c r="E56" s="2"/>
      <c r="F56" s="2"/>
      <c r="G56" s="5"/>
      <c r="H56" s="2"/>
      <c r="I56" s="2"/>
      <c r="J56" s="2"/>
      <c r="K56" s="2"/>
      <c r="L56" s="2"/>
    </row>
    <row r="57" spans="1:12">
      <c r="A57" s="12"/>
      <c r="B57" s="2"/>
      <c r="C57" s="2"/>
      <c r="D57" s="2"/>
      <c r="E57" s="2"/>
      <c r="F57" s="2"/>
      <c r="G57" s="5"/>
      <c r="H57" s="2"/>
      <c r="I57" s="2"/>
      <c r="J57" s="2"/>
      <c r="K57" s="2"/>
      <c r="L57" s="2"/>
    </row>
    <row r="58" spans="1:12">
      <c r="A58" s="12"/>
      <c r="B58" s="2"/>
      <c r="C58" s="2"/>
      <c r="D58" s="2"/>
      <c r="E58" s="2"/>
      <c r="F58" s="2"/>
      <c r="G58" s="5"/>
      <c r="H58" s="2"/>
      <c r="I58" s="2"/>
      <c r="J58" s="2"/>
      <c r="K58" s="2"/>
      <c r="L58" s="2"/>
    </row>
    <row r="59" spans="1:12">
      <c r="A59" s="12"/>
      <c r="B59" s="2"/>
      <c r="C59" s="2"/>
      <c r="D59" s="2"/>
      <c r="E59" s="2"/>
      <c r="F59" s="2"/>
      <c r="G59" s="5"/>
      <c r="H59" s="2"/>
      <c r="I59" s="2"/>
      <c r="J59" s="2"/>
      <c r="K59" s="2"/>
      <c r="L59" s="2"/>
    </row>
    <row r="60" spans="1:12">
      <c r="A60" s="12"/>
      <c r="B60" s="2"/>
      <c r="C60" s="2"/>
      <c r="D60" s="2"/>
      <c r="E60" s="2"/>
      <c r="F60" s="2"/>
      <c r="G60" s="5"/>
      <c r="H60" s="2"/>
      <c r="I60" s="2"/>
      <c r="J60" s="2"/>
      <c r="K60" s="2"/>
      <c r="L60" s="2"/>
    </row>
    <row r="61" spans="1:12">
      <c r="A61" s="12"/>
      <c r="B61" s="2"/>
      <c r="C61" s="2"/>
      <c r="D61" s="2"/>
      <c r="E61" s="2"/>
      <c r="F61" s="2"/>
      <c r="G61" s="5"/>
      <c r="H61" s="2"/>
      <c r="I61" s="2"/>
      <c r="J61" s="2"/>
      <c r="K61" s="2"/>
      <c r="L61" s="2"/>
    </row>
    <row r="62" spans="1:12">
      <c r="A62" s="12"/>
      <c r="B62" s="2"/>
      <c r="C62" s="2"/>
      <c r="D62" s="2"/>
      <c r="E62" s="2"/>
      <c r="F62" s="2"/>
      <c r="G62" s="5"/>
      <c r="H62" s="2"/>
      <c r="I62" s="2"/>
      <c r="J62" s="2"/>
      <c r="K62" s="2"/>
      <c r="L62" s="2"/>
    </row>
    <row r="63" spans="1:12">
      <c r="A63" s="12"/>
      <c r="B63" s="2"/>
      <c r="C63" s="2"/>
      <c r="D63" s="2"/>
      <c r="E63" s="2"/>
      <c r="F63" s="2"/>
      <c r="G63" s="5"/>
      <c r="H63" s="2"/>
      <c r="I63" s="2"/>
      <c r="J63" s="2"/>
      <c r="K63" s="2"/>
      <c r="L63" s="2"/>
    </row>
    <row r="64" spans="1:12">
      <c r="A64" s="12"/>
      <c r="B64" s="2"/>
      <c r="C64" s="2"/>
      <c r="D64" s="2"/>
      <c r="E64" s="2"/>
      <c r="F64" s="2"/>
      <c r="G64" s="5"/>
      <c r="H64" s="2"/>
      <c r="I64" s="2"/>
      <c r="J64" s="2"/>
      <c r="K64" s="2"/>
      <c r="L64" s="2"/>
    </row>
    <row r="65" spans="1:12">
      <c r="A65" s="12"/>
      <c r="B65" s="2"/>
      <c r="C65" s="2"/>
      <c r="D65" s="2"/>
      <c r="E65" s="2"/>
      <c r="F65" s="2"/>
      <c r="G65" s="5"/>
      <c r="H65" s="2"/>
      <c r="I65" s="2"/>
      <c r="J65" s="2"/>
      <c r="K65" s="2"/>
      <c r="L65" s="2"/>
    </row>
    <row r="66" spans="1:12">
      <c r="A66" s="12"/>
      <c r="B66" s="2"/>
      <c r="C66" s="2"/>
      <c r="D66" s="2"/>
      <c r="E66" s="2"/>
      <c r="F66" s="2"/>
      <c r="G66" s="5"/>
      <c r="H66" s="2"/>
      <c r="I66" s="2"/>
      <c r="J66" s="2"/>
      <c r="K66" s="2"/>
      <c r="L66" s="2"/>
    </row>
    <row r="67" spans="1:12">
      <c r="A67" s="12"/>
      <c r="B67" s="2"/>
      <c r="C67" s="2"/>
      <c r="D67" s="2"/>
      <c r="E67" s="2"/>
      <c r="F67" s="2"/>
      <c r="G67" s="5"/>
      <c r="H67" s="2"/>
      <c r="I67" s="2"/>
      <c r="J67" s="2"/>
      <c r="K67" s="2"/>
      <c r="L67" s="2"/>
    </row>
    <row r="68" spans="1:12">
      <c r="A68" s="12"/>
      <c r="B68" s="2"/>
      <c r="C68" s="2"/>
      <c r="D68" s="2"/>
      <c r="E68" s="2"/>
      <c r="F68" s="2"/>
      <c r="G68" s="5"/>
      <c r="H68" s="2"/>
      <c r="I68" s="2"/>
      <c r="J68" s="2"/>
      <c r="K68" s="2"/>
      <c r="L68" s="2"/>
    </row>
    <row r="69" spans="1:12">
      <c r="A69" s="12"/>
      <c r="B69" s="2"/>
      <c r="C69" s="2"/>
      <c r="D69" s="2"/>
      <c r="E69" s="2"/>
      <c r="F69" s="2"/>
      <c r="G69" s="5"/>
      <c r="H69" s="2"/>
      <c r="I69" s="2"/>
      <c r="J69" s="2"/>
      <c r="K69" s="2"/>
      <c r="L69" s="2"/>
    </row>
    <row r="70" spans="1:12">
      <c r="A70" s="12"/>
      <c r="B70" s="2"/>
      <c r="C70" s="2"/>
      <c r="D70" s="2"/>
      <c r="E70" s="2"/>
      <c r="F70" s="2"/>
      <c r="G70" s="5"/>
      <c r="H70" s="2"/>
      <c r="I70" s="2"/>
      <c r="J70" s="2"/>
      <c r="K70" s="2"/>
      <c r="L70" s="2"/>
    </row>
    <row r="71" spans="1:12">
      <c r="A71" s="12"/>
      <c r="B71" s="2"/>
      <c r="C71" s="2"/>
      <c r="D71" s="2"/>
      <c r="E71" s="2"/>
      <c r="F71" s="2"/>
      <c r="G71" s="5"/>
      <c r="H71" s="2"/>
      <c r="I71" s="2"/>
      <c r="J71" s="2"/>
      <c r="K71" s="2"/>
      <c r="L71" s="2"/>
    </row>
    <row r="72" spans="1:12">
      <c r="A72" s="12"/>
      <c r="B72" s="2"/>
      <c r="C72" s="2"/>
      <c r="D72" s="2"/>
      <c r="E72" s="2"/>
      <c r="F72" s="2"/>
      <c r="G72" s="5"/>
      <c r="H72" s="2"/>
      <c r="I72" s="2"/>
      <c r="J72" s="2"/>
      <c r="K72" s="2"/>
      <c r="L72" s="2"/>
    </row>
    <row r="73" spans="1:12">
      <c r="A73" s="12"/>
      <c r="B73" s="2"/>
      <c r="C73" s="2"/>
      <c r="D73" s="2"/>
      <c r="E73" s="2"/>
      <c r="F73" s="2"/>
      <c r="G73" s="5"/>
      <c r="H73" s="2"/>
      <c r="I73" s="2"/>
      <c r="J73" s="2"/>
      <c r="K73" s="2"/>
      <c r="L73" s="2"/>
    </row>
    <row r="74" spans="1:12">
      <c r="A74" s="12"/>
      <c r="B74" s="2"/>
      <c r="C74" s="2"/>
      <c r="D74" s="2"/>
      <c r="E74" s="2"/>
      <c r="F74" s="2"/>
      <c r="G74" s="5"/>
      <c r="H74" s="2"/>
      <c r="I74" s="2"/>
      <c r="J74" s="2"/>
      <c r="K74" s="2"/>
      <c r="L74" s="2"/>
    </row>
    <row r="75" spans="1:12">
      <c r="A75" s="12"/>
      <c r="B75" s="2"/>
      <c r="C75" s="2"/>
      <c r="D75" s="2"/>
      <c r="E75" s="2"/>
      <c r="F75" s="2"/>
      <c r="G75" s="5"/>
      <c r="H75" s="2"/>
      <c r="I75" s="2"/>
      <c r="J75" s="2"/>
      <c r="K75" s="2"/>
      <c r="L75" s="2"/>
    </row>
    <row r="76" spans="1:12">
      <c r="A76" s="12"/>
      <c r="B76" s="2"/>
      <c r="C76" s="2"/>
      <c r="D76" s="2"/>
      <c r="E76" s="2"/>
      <c r="F76" s="2"/>
      <c r="G76" s="5"/>
      <c r="H76" s="2"/>
      <c r="I76" s="2"/>
      <c r="J76" s="2"/>
      <c r="K76" s="2"/>
      <c r="L76" s="2"/>
    </row>
    <row r="77" spans="1:12">
      <c r="A77" s="12"/>
      <c r="B77" s="2"/>
      <c r="C77" s="2"/>
      <c r="D77" s="2"/>
      <c r="E77" s="2"/>
      <c r="F77" s="2"/>
      <c r="G77" s="5"/>
      <c r="H77" s="2"/>
      <c r="I77" s="2"/>
      <c r="J77" s="2"/>
      <c r="K77" s="2"/>
      <c r="L77" s="2"/>
    </row>
    <row r="78" spans="1:12">
      <c r="A78" s="12"/>
      <c r="B78" s="2"/>
      <c r="C78" s="2"/>
      <c r="D78" s="2"/>
      <c r="E78" s="2"/>
      <c r="F78" s="2"/>
      <c r="G78" s="5"/>
      <c r="H78" s="2"/>
      <c r="I78" s="2"/>
      <c r="J78" s="2"/>
      <c r="K78" s="2"/>
      <c r="L78" s="2"/>
    </row>
    <row r="79" spans="1:12">
      <c r="A79" s="12"/>
      <c r="B79" s="2"/>
      <c r="C79" s="2"/>
      <c r="D79" s="2"/>
      <c r="E79" s="2"/>
      <c r="F79" s="2"/>
      <c r="G79" s="5"/>
      <c r="H79" s="2"/>
      <c r="I79" s="2"/>
      <c r="J79" s="2"/>
      <c r="K79" s="2"/>
      <c r="L79" s="2"/>
    </row>
    <row r="80" spans="1:12">
      <c r="A80" s="12"/>
      <c r="B80" s="2"/>
      <c r="C80" s="2"/>
      <c r="D80" s="2"/>
      <c r="E80" s="2"/>
      <c r="F80" s="2"/>
      <c r="G80" s="5"/>
      <c r="H80" s="2"/>
      <c r="I80" s="2"/>
      <c r="J80" s="2"/>
      <c r="K80" s="2"/>
      <c r="L80" s="2"/>
    </row>
    <row r="81" spans="1:12">
      <c r="A81" s="12"/>
      <c r="B81" s="2"/>
      <c r="C81" s="2"/>
      <c r="D81" s="2"/>
      <c r="E81" s="2"/>
      <c r="F81" s="2"/>
      <c r="G81" s="5"/>
      <c r="H81" s="2"/>
      <c r="I81" s="2"/>
      <c r="J81" s="2"/>
      <c r="K81" s="2"/>
      <c r="L81" s="2"/>
    </row>
    <row r="82" spans="1:12">
      <c r="A82" s="12"/>
      <c r="B82" s="2"/>
      <c r="C82" s="2"/>
      <c r="D82" s="2"/>
      <c r="E82" s="2"/>
      <c r="F82" s="2"/>
      <c r="G82" s="5"/>
      <c r="H82" s="2"/>
      <c r="I82" s="2"/>
      <c r="J82" s="2"/>
      <c r="K82" s="2"/>
      <c r="L82" s="2"/>
    </row>
    <row r="83" spans="1:12">
      <c r="A83" s="12"/>
      <c r="B83" s="2"/>
      <c r="C83" s="2"/>
      <c r="D83" s="2"/>
      <c r="E83" s="2"/>
      <c r="F83" s="2"/>
      <c r="G83" s="5"/>
      <c r="H83" s="2"/>
      <c r="I83" s="2"/>
      <c r="J83" s="2"/>
      <c r="K83" s="2"/>
      <c r="L83" s="2"/>
    </row>
    <row r="84" spans="1:12">
      <c r="A84" s="12"/>
      <c r="B84" s="2"/>
      <c r="C84" s="2"/>
      <c r="D84" s="2"/>
      <c r="E84" s="2"/>
      <c r="F84" s="2"/>
      <c r="G84" s="5"/>
      <c r="H84" s="2"/>
      <c r="I84" s="2"/>
      <c r="J84" s="2"/>
      <c r="K84" s="2"/>
      <c r="L84" s="2"/>
    </row>
    <row r="85" spans="1:12">
      <c r="A85" s="12"/>
      <c r="B85" s="2"/>
      <c r="C85" s="2"/>
      <c r="D85" s="2"/>
      <c r="E85" s="2"/>
      <c r="F85" s="2"/>
      <c r="G85" s="5"/>
      <c r="H85" s="2"/>
      <c r="I85" s="2"/>
      <c r="J85" s="2"/>
      <c r="K85" s="2"/>
      <c r="L85" s="2"/>
    </row>
    <row r="86" spans="1:12">
      <c r="A86" s="12"/>
      <c r="B86" s="2"/>
      <c r="C86" s="2"/>
      <c r="D86" s="2"/>
      <c r="E86" s="2"/>
      <c r="F86" s="2"/>
      <c r="G86" s="5"/>
      <c r="H86" s="2"/>
      <c r="I86" s="2"/>
      <c r="J86" s="2"/>
      <c r="K86" s="2"/>
      <c r="L86" s="2"/>
    </row>
    <row r="87" spans="1:12">
      <c r="A87" s="12"/>
      <c r="B87" s="2"/>
      <c r="C87" s="2"/>
      <c r="D87" s="2"/>
      <c r="E87" s="2"/>
      <c r="F87" s="2"/>
      <c r="G87" s="5"/>
      <c r="H87" s="2"/>
      <c r="I87" s="2"/>
      <c r="J87" s="2"/>
      <c r="K87" s="2"/>
      <c r="L87" s="2"/>
    </row>
    <row r="88" spans="1:12">
      <c r="A88" s="12"/>
      <c r="B88" s="2"/>
      <c r="C88" s="2"/>
      <c r="D88" s="2"/>
      <c r="E88" s="2"/>
      <c r="F88" s="2"/>
      <c r="G88" s="5"/>
      <c r="H88" s="2"/>
      <c r="I88" s="2"/>
      <c r="J88" s="2"/>
      <c r="K88" s="2"/>
      <c r="L88" s="2"/>
    </row>
    <row r="89" spans="1:12">
      <c r="A89" s="12"/>
      <c r="B89" s="2"/>
      <c r="C89" s="2"/>
      <c r="D89" s="2"/>
      <c r="E89" s="2"/>
      <c r="F89" s="2"/>
      <c r="G89" s="5"/>
      <c r="H89" s="2"/>
      <c r="I89" s="2"/>
      <c r="J89" s="2"/>
      <c r="K89" s="2"/>
      <c r="L89" s="2"/>
    </row>
    <row r="90" spans="1:12">
      <c r="A90" s="12"/>
      <c r="B90" s="2"/>
      <c r="C90" s="2"/>
      <c r="D90" s="2"/>
      <c r="E90" s="2"/>
      <c r="F90" s="2"/>
      <c r="G90" s="5"/>
      <c r="H90" s="2"/>
      <c r="I90" s="2"/>
      <c r="J90" s="2"/>
      <c r="K90" s="2"/>
      <c r="L90" s="2"/>
    </row>
    <row r="91" spans="1:12">
      <c r="A91" s="12"/>
      <c r="B91" s="2"/>
      <c r="C91" s="2"/>
      <c r="D91" s="2"/>
      <c r="E91" s="2"/>
      <c r="F91" s="2"/>
      <c r="G91" s="5"/>
      <c r="H91" s="2"/>
      <c r="I91" s="2"/>
      <c r="J91" s="2"/>
      <c r="K91" s="2"/>
      <c r="L91" s="2"/>
    </row>
    <row r="92" spans="1:12">
      <c r="A92" s="12"/>
      <c r="B92" s="2"/>
      <c r="C92" s="2"/>
      <c r="D92" s="2"/>
      <c r="E92" s="2"/>
      <c r="F92" s="2"/>
      <c r="G92" s="5"/>
      <c r="H92" s="2"/>
      <c r="I92" s="2"/>
      <c r="J92" s="2"/>
      <c r="K92" s="2"/>
      <c r="L92" s="2"/>
    </row>
    <row r="93" spans="1:12">
      <c r="A93" s="12"/>
      <c r="B93" s="2"/>
      <c r="C93" s="2"/>
      <c r="D93" s="2"/>
      <c r="E93" s="2"/>
      <c r="F93" s="2"/>
      <c r="G93" s="5"/>
      <c r="H93" s="2"/>
      <c r="I93" s="2"/>
      <c r="J93" s="2"/>
      <c r="K93" s="2"/>
      <c r="L93" s="2"/>
    </row>
    <row r="94" spans="1:12">
      <c r="A94" s="12"/>
      <c r="B94" s="2"/>
      <c r="C94" s="2"/>
      <c r="D94" s="2"/>
      <c r="E94" s="2"/>
      <c r="F94" s="2"/>
      <c r="G94" s="5"/>
      <c r="H94" s="2"/>
      <c r="I94" s="2"/>
      <c r="J94" s="2"/>
      <c r="K94" s="2"/>
      <c r="L94" s="2"/>
    </row>
    <row r="95" spans="1:12">
      <c r="A95" s="12"/>
      <c r="B95" s="2"/>
      <c r="C95" s="2"/>
      <c r="D95" s="2"/>
      <c r="E95" s="2"/>
      <c r="F95" s="2"/>
      <c r="G95" s="5"/>
      <c r="H95" s="2"/>
      <c r="I95" s="2"/>
      <c r="J95" s="2"/>
      <c r="K95" s="2"/>
      <c r="L95" s="2"/>
    </row>
    <row r="96" spans="1:12">
      <c r="A96" s="12"/>
      <c r="B96" s="2"/>
      <c r="C96" s="2"/>
      <c r="D96" s="2"/>
      <c r="E96" s="2"/>
      <c r="F96" s="2"/>
      <c r="G96" s="5"/>
      <c r="H96" s="2"/>
      <c r="I96" s="2"/>
      <c r="J96" s="2"/>
      <c r="K96" s="2"/>
      <c r="L96" s="2"/>
    </row>
    <row r="97" spans="1:12">
      <c r="A97" s="12"/>
      <c r="B97" s="2"/>
      <c r="C97" s="2"/>
      <c r="D97" s="2"/>
      <c r="E97" s="2"/>
      <c r="F97" s="2"/>
      <c r="G97" s="5"/>
      <c r="H97" s="2"/>
      <c r="I97" s="2"/>
      <c r="J97" s="2"/>
      <c r="K97" s="2"/>
      <c r="L97" s="2"/>
    </row>
    <row r="98" spans="1:12">
      <c r="A98" s="12"/>
      <c r="B98" s="2"/>
      <c r="C98" s="2"/>
      <c r="D98" s="2"/>
      <c r="E98" s="2"/>
      <c r="F98" s="2"/>
      <c r="G98" s="5"/>
      <c r="H98" s="2"/>
      <c r="I98" s="2"/>
      <c r="J98" s="2"/>
      <c r="K98" s="2"/>
      <c r="L98" s="2"/>
    </row>
    <row r="99" spans="1:12">
      <c r="A99" s="12"/>
      <c r="B99" s="2"/>
      <c r="C99" s="2"/>
      <c r="D99" s="2"/>
      <c r="E99" s="2"/>
      <c r="F99" s="2"/>
      <c r="G99" s="5"/>
      <c r="H99" s="2"/>
      <c r="I99" s="2"/>
      <c r="J99" s="2"/>
      <c r="K99" s="2"/>
      <c r="L99" s="2"/>
    </row>
    <row r="100" spans="1:12">
      <c r="A100" s="12"/>
      <c r="B100" s="2"/>
      <c r="C100" s="2"/>
      <c r="D100" s="2"/>
      <c r="E100" s="2"/>
      <c r="F100" s="2"/>
      <c r="G100" s="5"/>
      <c r="H100" s="2"/>
      <c r="I100" s="2"/>
      <c r="J100" s="2"/>
      <c r="K100" s="2"/>
      <c r="L100" s="2"/>
    </row>
    <row r="101" spans="1:12">
      <c r="A101" s="12"/>
      <c r="B101" s="2"/>
      <c r="C101" s="2"/>
      <c r="D101" s="2"/>
      <c r="E101" s="2"/>
      <c r="F101" s="2"/>
      <c r="G101" s="5"/>
      <c r="H101" s="2"/>
      <c r="I101" s="2"/>
      <c r="J101" s="2"/>
      <c r="K101" s="2"/>
      <c r="L101" s="2"/>
    </row>
    <row r="102" spans="1:12">
      <c r="A102" s="12"/>
      <c r="B102" s="2"/>
      <c r="C102" s="2"/>
      <c r="D102" s="2"/>
      <c r="E102" s="2"/>
      <c r="F102" s="2"/>
      <c r="G102" s="5"/>
      <c r="H102" s="2"/>
      <c r="I102" s="2"/>
      <c r="J102" s="2"/>
      <c r="K102" s="2"/>
      <c r="L102" s="2"/>
    </row>
    <row r="103" spans="1:12">
      <c r="A103" s="12"/>
      <c r="B103" s="2"/>
      <c r="C103" s="2"/>
      <c r="D103" s="2"/>
      <c r="E103" s="2"/>
      <c r="F103" s="2"/>
      <c r="G103" s="5"/>
      <c r="H103" s="2"/>
      <c r="I103" s="2"/>
      <c r="J103" s="2"/>
      <c r="K103" s="2"/>
      <c r="L103" s="2"/>
    </row>
    <row r="104" spans="1:12">
      <c r="A104" s="12"/>
      <c r="B104" s="2"/>
      <c r="C104" s="2"/>
      <c r="D104" s="2"/>
      <c r="E104" s="2"/>
      <c r="F104" s="2"/>
      <c r="G104" s="5"/>
      <c r="H104" s="2"/>
      <c r="I104" s="2"/>
      <c r="J104" s="2"/>
      <c r="K104" s="2"/>
      <c r="L104" s="2"/>
    </row>
    <row r="105" spans="1:12">
      <c r="A105" s="12"/>
      <c r="B105" s="2"/>
      <c r="C105" s="2"/>
      <c r="D105" s="2"/>
      <c r="E105" s="2"/>
      <c r="F105" s="2"/>
      <c r="G105" s="5"/>
      <c r="H105" s="2"/>
      <c r="I105" s="2"/>
      <c r="J105" s="2"/>
      <c r="K105" s="2"/>
      <c r="L105" s="2"/>
    </row>
    <row r="106" spans="1:12">
      <c r="A106" s="12"/>
      <c r="B106" s="2"/>
      <c r="C106" s="2"/>
      <c r="D106" s="2"/>
      <c r="E106" s="2"/>
      <c r="F106" s="2"/>
      <c r="G106" s="5"/>
      <c r="H106" s="2"/>
      <c r="I106" s="2"/>
      <c r="J106" s="2"/>
      <c r="K106" s="2"/>
      <c r="L106" s="2"/>
    </row>
    <row r="107" spans="1:12">
      <c r="A107" s="12"/>
      <c r="B107" s="2"/>
      <c r="C107" s="2"/>
      <c r="D107" s="2"/>
      <c r="E107" s="2"/>
      <c r="F107" s="2"/>
      <c r="G107" s="5"/>
      <c r="H107" s="2"/>
      <c r="I107" s="2"/>
      <c r="J107" s="2"/>
      <c r="K107" s="2"/>
      <c r="L107" s="2"/>
    </row>
    <row r="108" spans="1:12">
      <c r="A108" s="12"/>
      <c r="B108" s="2"/>
      <c r="C108" s="2"/>
      <c r="D108" s="2"/>
      <c r="E108" s="2"/>
      <c r="F108" s="2"/>
      <c r="G108" s="5"/>
      <c r="H108" s="2"/>
      <c r="I108" s="2"/>
      <c r="J108" s="2"/>
      <c r="K108" s="2"/>
      <c r="L108" s="2"/>
    </row>
    <row r="109" spans="1:12">
      <c r="A109" s="12"/>
      <c r="B109" s="2"/>
      <c r="C109" s="2"/>
      <c r="D109" s="2"/>
      <c r="E109" s="2"/>
      <c r="F109" s="2"/>
      <c r="G109" s="5"/>
      <c r="H109" s="2"/>
      <c r="I109" s="2"/>
      <c r="J109" s="2"/>
      <c r="K109" s="2"/>
      <c r="L109" s="2"/>
    </row>
    <row r="110" spans="1:12">
      <c r="A110" s="12"/>
      <c r="B110" s="2"/>
      <c r="C110" s="2"/>
      <c r="D110" s="2"/>
      <c r="E110" s="2"/>
      <c r="F110" s="2"/>
      <c r="G110" s="5"/>
      <c r="H110" s="2"/>
      <c r="I110" s="2"/>
      <c r="J110" s="2"/>
      <c r="K110" s="2"/>
      <c r="L110" s="2"/>
    </row>
    <row r="111" spans="1:12">
      <c r="A111" s="12"/>
      <c r="B111" s="2"/>
      <c r="C111" s="2"/>
      <c r="D111" s="2"/>
      <c r="E111" s="2"/>
      <c r="F111" s="2"/>
      <c r="G111" s="5"/>
      <c r="H111" s="2"/>
      <c r="I111" s="2"/>
      <c r="J111" s="2"/>
      <c r="K111" s="2"/>
      <c r="L111" s="2"/>
    </row>
    <row r="112" spans="1:12">
      <c r="A112" s="12"/>
      <c r="B112" s="2"/>
      <c r="C112" s="2"/>
      <c r="D112" s="2"/>
      <c r="E112" s="2"/>
      <c r="F112" s="2"/>
      <c r="G112" s="5"/>
      <c r="H112" s="2"/>
      <c r="I112" s="2"/>
      <c r="J112" s="2"/>
      <c r="K112" s="2"/>
      <c r="L112" s="2"/>
    </row>
    <row r="113" spans="1:12">
      <c r="A113" s="12"/>
      <c r="B113" s="2"/>
      <c r="C113" s="2"/>
      <c r="D113" s="2"/>
      <c r="E113" s="2"/>
      <c r="F113" s="2"/>
      <c r="G113" s="5"/>
      <c r="H113" s="2"/>
      <c r="I113" s="2"/>
      <c r="J113" s="2"/>
      <c r="K113" s="2"/>
      <c r="L113" s="2"/>
    </row>
    <row r="114" spans="1:12">
      <c r="A114" s="12"/>
      <c r="B114" s="2"/>
      <c r="C114" s="2"/>
      <c r="D114" s="2"/>
      <c r="E114" s="2"/>
      <c r="F114" s="2"/>
      <c r="G114" s="5"/>
      <c r="H114" s="2"/>
      <c r="I114" s="2"/>
      <c r="J114" s="2"/>
      <c r="K114" s="2"/>
      <c r="L114" s="2"/>
    </row>
    <row r="115" spans="1:12">
      <c r="A115" s="12"/>
      <c r="B115" s="2"/>
      <c r="C115" s="2"/>
      <c r="D115" s="2"/>
      <c r="E115" s="2"/>
      <c r="F115" s="2"/>
      <c r="G115" s="5"/>
      <c r="H115" s="2"/>
      <c r="I115" s="2"/>
      <c r="J115" s="2"/>
      <c r="K115" s="2"/>
      <c r="L115" s="2"/>
    </row>
    <row r="116" spans="1:12">
      <c r="A116" s="12"/>
      <c r="B116" s="2"/>
      <c r="C116" s="2"/>
      <c r="D116" s="2"/>
      <c r="E116" s="2"/>
      <c r="F116" s="2"/>
      <c r="G116" s="5"/>
      <c r="H116" s="2"/>
      <c r="I116" s="2"/>
      <c r="J116" s="2"/>
      <c r="K116" s="2"/>
      <c r="L116" s="2"/>
    </row>
    <row r="117" spans="1:12">
      <c r="A117" s="12"/>
      <c r="B117" s="2"/>
      <c r="C117" s="2"/>
      <c r="D117" s="2"/>
      <c r="E117" s="2"/>
      <c r="F117" s="2"/>
      <c r="G117" s="5"/>
      <c r="H117" s="2"/>
      <c r="I117" s="2"/>
      <c r="J117" s="2"/>
      <c r="K117" s="2"/>
      <c r="L117" s="2"/>
    </row>
    <row r="118" spans="1:12">
      <c r="A118" s="12"/>
      <c r="B118" s="2"/>
      <c r="C118" s="2"/>
      <c r="D118" s="2"/>
      <c r="E118" s="2"/>
      <c r="F118" s="2"/>
      <c r="G118" s="5"/>
      <c r="H118" s="2"/>
      <c r="I118" s="2"/>
      <c r="J118" s="2"/>
      <c r="K118" s="2"/>
      <c r="L118" s="2"/>
    </row>
    <row r="119" spans="1:12">
      <c r="A119" s="12"/>
      <c r="B119" s="2"/>
      <c r="C119" s="2"/>
      <c r="D119" s="2"/>
      <c r="E119" s="2"/>
      <c r="F119" s="2"/>
      <c r="G119" s="5"/>
      <c r="H119" s="2"/>
      <c r="I119" s="2"/>
      <c r="J119" s="2"/>
      <c r="K119" s="2"/>
      <c r="L119" s="2"/>
    </row>
    <row r="120" spans="1:12">
      <c r="A120" s="12"/>
      <c r="B120" s="2"/>
      <c r="C120" s="2"/>
      <c r="D120" s="2"/>
      <c r="E120" s="2"/>
      <c r="F120" s="2"/>
      <c r="G120" s="5"/>
      <c r="H120" s="2"/>
      <c r="I120" s="2"/>
      <c r="J120" s="2"/>
      <c r="K120" s="2"/>
      <c r="L120" s="2"/>
    </row>
    <row r="121" spans="1:12">
      <c r="A121" s="12"/>
      <c r="B121" s="2"/>
      <c r="C121" s="2"/>
      <c r="D121" s="2"/>
      <c r="E121" s="2"/>
      <c r="F121" s="2"/>
      <c r="G121" s="5"/>
      <c r="H121" s="2"/>
      <c r="I121" s="2"/>
      <c r="J121" s="2"/>
      <c r="K121" s="2"/>
      <c r="L121" s="2"/>
    </row>
    <row r="122" spans="1:12">
      <c r="A122" s="12"/>
      <c r="B122" s="2"/>
      <c r="C122" s="2"/>
      <c r="D122" s="2"/>
      <c r="E122" s="2"/>
      <c r="F122" s="2"/>
      <c r="G122" s="5"/>
      <c r="H122" s="2"/>
      <c r="I122" s="2"/>
      <c r="J122" s="2"/>
      <c r="K122" s="2"/>
      <c r="L122" s="2"/>
    </row>
    <row r="123" spans="1:12">
      <c r="A123" s="12"/>
      <c r="B123" s="2"/>
      <c r="C123" s="2"/>
      <c r="D123" s="2"/>
      <c r="E123" s="2"/>
      <c r="F123" s="2"/>
      <c r="G123" s="5"/>
      <c r="H123" s="2"/>
      <c r="I123" s="2"/>
      <c r="J123" s="2"/>
      <c r="K123" s="2"/>
      <c r="L123" s="2"/>
    </row>
    <row r="124" spans="1:12">
      <c r="A124" s="12"/>
      <c r="B124" s="2"/>
      <c r="C124" s="2"/>
      <c r="D124" s="2"/>
      <c r="E124" s="2"/>
      <c r="F124" s="2"/>
      <c r="G124" s="5"/>
      <c r="H124" s="2"/>
      <c r="I124" s="2"/>
      <c r="J124" s="2"/>
      <c r="K124" s="2"/>
      <c r="L124" s="2"/>
    </row>
    <row r="125" spans="1:12">
      <c r="A125" s="12"/>
      <c r="B125" s="2"/>
      <c r="C125" s="2"/>
      <c r="D125" s="2"/>
      <c r="E125" s="2"/>
      <c r="F125" s="2"/>
      <c r="G125" s="5"/>
      <c r="H125" s="2"/>
      <c r="I125" s="2"/>
      <c r="J125" s="2"/>
      <c r="K125" s="2"/>
      <c r="L125" s="2"/>
    </row>
    <row r="126" spans="1:12">
      <c r="A126" s="12"/>
      <c r="B126" s="2"/>
      <c r="C126" s="2"/>
      <c r="D126" s="2"/>
      <c r="E126" s="2"/>
      <c r="F126" s="2"/>
      <c r="G126" s="5"/>
      <c r="H126" s="2"/>
      <c r="I126" s="2"/>
      <c r="J126" s="2"/>
      <c r="K126" s="2"/>
      <c r="L126" s="2"/>
    </row>
    <row r="127" spans="1:12">
      <c r="A127" s="12"/>
      <c r="B127" s="2"/>
      <c r="C127" s="2"/>
      <c r="D127" s="2"/>
      <c r="E127" s="2"/>
      <c r="F127" s="2"/>
      <c r="G127" s="5"/>
      <c r="H127" s="2"/>
      <c r="I127" s="2"/>
      <c r="J127" s="2"/>
      <c r="K127" s="2"/>
      <c r="L127" s="2"/>
    </row>
    <row r="128" spans="1:12">
      <c r="A128" s="12"/>
      <c r="B128" s="2"/>
      <c r="C128" s="2"/>
      <c r="D128" s="2"/>
      <c r="E128" s="2"/>
      <c r="F128" s="2"/>
      <c r="G128" s="5"/>
      <c r="H128" s="2"/>
      <c r="I128" s="2"/>
      <c r="J128" s="2"/>
      <c r="K128" s="2"/>
      <c r="L128" s="2"/>
    </row>
    <row r="129" spans="1:12">
      <c r="A129" s="12"/>
      <c r="B129" s="2"/>
      <c r="C129" s="2"/>
      <c r="D129" s="2"/>
      <c r="E129" s="2"/>
      <c r="F129" s="2"/>
      <c r="G129" s="5"/>
      <c r="H129" s="2"/>
      <c r="I129" s="2"/>
      <c r="J129" s="2"/>
      <c r="K129" s="2"/>
      <c r="L129" s="2"/>
    </row>
    <row r="130" spans="1:12">
      <c r="A130" s="12"/>
      <c r="B130" s="2"/>
      <c r="C130" s="2"/>
      <c r="D130" s="2"/>
      <c r="E130" s="2"/>
      <c r="F130" s="2"/>
      <c r="G130" s="5"/>
      <c r="H130" s="2"/>
      <c r="I130" s="2"/>
      <c r="J130" s="2"/>
      <c r="K130" s="2"/>
      <c r="L130" s="2"/>
    </row>
    <row r="131" spans="1:12">
      <c r="A131" s="12"/>
      <c r="B131" s="2"/>
      <c r="C131" s="2"/>
      <c r="D131" s="2"/>
      <c r="E131" s="2"/>
      <c r="F131" s="2"/>
      <c r="G131" s="5"/>
      <c r="H131" s="2"/>
      <c r="I131" s="2"/>
      <c r="J131" s="2"/>
      <c r="K131" s="2"/>
      <c r="L131" s="2"/>
    </row>
    <row r="132" spans="1:12">
      <c r="A132" s="12"/>
      <c r="B132" s="2"/>
      <c r="C132" s="2"/>
      <c r="D132" s="2"/>
      <c r="E132" s="2"/>
      <c r="F132" s="2"/>
      <c r="G132" s="5"/>
      <c r="H132" s="2"/>
      <c r="I132" s="2"/>
      <c r="J132" s="2"/>
      <c r="K132" s="2"/>
      <c r="L132" s="2"/>
    </row>
    <row r="133" spans="1:12">
      <c r="A133" s="12"/>
      <c r="B133" s="2"/>
      <c r="C133" s="2"/>
      <c r="D133" s="2"/>
      <c r="E133" s="2"/>
      <c r="F133" s="2"/>
      <c r="G133" s="5"/>
      <c r="H133" s="2"/>
      <c r="I133" s="2"/>
      <c r="J133" s="2"/>
      <c r="K133" s="2"/>
      <c r="L133" s="2"/>
    </row>
    <row r="134" spans="1:12">
      <c r="A134" s="12"/>
      <c r="B134" s="2"/>
      <c r="C134" s="2"/>
      <c r="D134" s="2"/>
      <c r="E134" s="2"/>
      <c r="F134" s="2"/>
      <c r="G134" s="5"/>
      <c r="H134" s="2"/>
      <c r="I134" s="2"/>
      <c r="J134" s="2"/>
      <c r="K134" s="2"/>
      <c r="L134" s="2"/>
    </row>
    <row r="135" spans="1:12">
      <c r="A135" s="12"/>
      <c r="B135" s="2"/>
      <c r="C135" s="2"/>
      <c r="D135" s="2"/>
      <c r="E135" s="2"/>
      <c r="F135" s="2"/>
      <c r="G135" s="5"/>
      <c r="H135" s="2"/>
      <c r="I135" s="2"/>
      <c r="J135" s="2"/>
      <c r="K135" s="2"/>
      <c r="L135" s="2"/>
    </row>
    <row r="136" spans="1:12">
      <c r="A136" s="12"/>
      <c r="B136" s="2"/>
      <c r="C136" s="2"/>
      <c r="D136" s="2"/>
      <c r="E136" s="2"/>
      <c r="F136" s="2"/>
      <c r="G136" s="5"/>
      <c r="H136" s="2"/>
      <c r="I136" s="2"/>
      <c r="J136" s="2"/>
      <c r="K136" s="2"/>
      <c r="L136" s="2"/>
    </row>
    <row r="137" spans="1:12">
      <c r="A137" s="12"/>
      <c r="B137" s="2"/>
      <c r="C137" s="2"/>
      <c r="D137" s="2"/>
      <c r="E137" s="2"/>
      <c r="F137" s="2"/>
      <c r="G137" s="5"/>
      <c r="H137" s="2"/>
      <c r="I137" s="2"/>
      <c r="J137" s="2"/>
      <c r="K137" s="2"/>
      <c r="L137" s="2"/>
    </row>
    <row r="138" spans="1:12">
      <c r="A138" s="12"/>
      <c r="B138" s="2"/>
      <c r="C138" s="2"/>
      <c r="D138" s="2"/>
      <c r="E138" s="2"/>
      <c r="F138" s="2"/>
      <c r="G138" s="5"/>
      <c r="H138" s="2"/>
      <c r="I138" s="2"/>
      <c r="J138" s="2"/>
      <c r="K138" s="2"/>
      <c r="L138" s="2"/>
    </row>
    <row r="139" spans="1:12">
      <c r="A139" s="12"/>
      <c r="B139" s="2"/>
      <c r="C139" s="2"/>
      <c r="D139" s="2"/>
      <c r="E139" s="2"/>
      <c r="F139" s="2"/>
      <c r="G139" s="5"/>
      <c r="H139" s="2"/>
      <c r="I139" s="2"/>
      <c r="J139" s="2"/>
      <c r="K139" s="2"/>
      <c r="L139" s="2"/>
    </row>
    <row r="140" spans="1:12">
      <c r="A140" s="12"/>
      <c r="B140" s="2"/>
      <c r="C140" s="2"/>
      <c r="D140" s="2"/>
      <c r="E140" s="2"/>
      <c r="F140" s="2"/>
      <c r="G140" s="5"/>
      <c r="H140" s="2"/>
      <c r="I140" s="2"/>
      <c r="J140" s="2"/>
      <c r="K140" s="2"/>
      <c r="L140" s="2"/>
    </row>
    <row r="141" spans="1:12">
      <c r="A141" s="12"/>
      <c r="B141" s="2"/>
      <c r="C141" s="2"/>
      <c r="D141" s="2"/>
      <c r="E141" s="2"/>
      <c r="F141" s="2"/>
      <c r="G141" s="5"/>
      <c r="H141" s="2"/>
      <c r="I141" s="2"/>
      <c r="J141" s="2"/>
      <c r="K141" s="2"/>
      <c r="L141" s="2"/>
    </row>
    <row r="142" spans="1:12">
      <c r="A142" s="12"/>
      <c r="B142" s="2"/>
      <c r="C142" s="2"/>
      <c r="D142" s="2"/>
      <c r="E142" s="2"/>
      <c r="F142" s="2"/>
      <c r="G142" s="5"/>
      <c r="H142" s="2"/>
      <c r="I142" s="2"/>
      <c r="J142" s="2"/>
      <c r="K142" s="2"/>
      <c r="L142" s="2"/>
    </row>
    <row r="143" spans="1:12">
      <c r="A143" s="12"/>
      <c r="B143" s="2"/>
      <c r="C143" s="2"/>
      <c r="D143" s="2"/>
      <c r="E143" s="2"/>
      <c r="F143" s="2"/>
      <c r="G143" s="5"/>
      <c r="H143" s="2"/>
      <c r="I143" s="2"/>
      <c r="J143" s="2"/>
      <c r="K143" s="2"/>
      <c r="L143" s="2"/>
    </row>
    <row r="144" spans="1:12">
      <c r="A144" s="12"/>
      <c r="B144" s="2"/>
      <c r="C144" s="2"/>
      <c r="D144" s="2"/>
      <c r="E144" s="2"/>
      <c r="F144" s="2"/>
      <c r="G144" s="5"/>
      <c r="H144" s="2"/>
      <c r="I144" s="2"/>
      <c r="J144" s="2"/>
      <c r="K144" s="2"/>
      <c r="L144" s="2"/>
    </row>
    <row r="145" spans="1:12">
      <c r="A145" s="12"/>
      <c r="B145" s="2"/>
      <c r="C145" s="2"/>
      <c r="D145" s="2"/>
      <c r="E145" s="2"/>
      <c r="F145" s="2"/>
      <c r="G145" s="5"/>
      <c r="H145" s="2"/>
      <c r="I145" s="2"/>
      <c r="J145" s="2"/>
      <c r="K145" s="2"/>
      <c r="L145" s="2"/>
    </row>
    <row r="146" spans="1:12">
      <c r="A146" s="12"/>
      <c r="B146" s="2"/>
      <c r="C146" s="2"/>
      <c r="D146" s="2"/>
      <c r="E146" s="2"/>
      <c r="F146" s="2"/>
      <c r="G146" s="5"/>
      <c r="H146" s="2"/>
      <c r="I146" s="2"/>
      <c r="J146" s="2"/>
      <c r="K146" s="2"/>
      <c r="L146" s="2"/>
    </row>
    <row r="147" spans="1:12">
      <c r="A147" s="12"/>
      <c r="B147" s="2"/>
      <c r="C147" s="2"/>
      <c r="D147" s="2"/>
      <c r="E147" s="2"/>
      <c r="F147" s="2"/>
      <c r="G147" s="5"/>
      <c r="H147" s="2"/>
      <c r="I147" s="2"/>
      <c r="J147" s="2"/>
      <c r="K147" s="2"/>
      <c r="L147" s="2"/>
    </row>
    <row r="148" spans="1:12">
      <c r="A148" s="12"/>
      <c r="B148" s="2"/>
      <c r="C148" s="2"/>
      <c r="D148" s="2"/>
      <c r="E148" s="2"/>
      <c r="F148" s="2"/>
      <c r="G148" s="5"/>
      <c r="H148" s="2"/>
      <c r="I148" s="2"/>
      <c r="J148" s="2"/>
      <c r="K148" s="2"/>
      <c r="L148" s="2"/>
    </row>
    <row r="149" spans="1:12">
      <c r="A149" s="12"/>
      <c r="B149" s="2"/>
      <c r="C149" s="2"/>
      <c r="D149" s="2"/>
      <c r="E149" s="2"/>
      <c r="F149" s="2"/>
      <c r="G149" s="5"/>
      <c r="H149" s="2"/>
      <c r="I149" s="2"/>
      <c r="J149" s="2"/>
      <c r="K149" s="2"/>
      <c r="L149" s="2"/>
    </row>
    <row r="150" spans="1:12">
      <c r="A150" s="12"/>
      <c r="B150" s="2"/>
      <c r="C150" s="2"/>
      <c r="D150" s="2"/>
      <c r="E150" s="2"/>
      <c r="F150" s="2"/>
      <c r="G150" s="5"/>
      <c r="H150" s="2"/>
      <c r="I150" s="2"/>
      <c r="J150" s="2"/>
      <c r="K150" s="2"/>
      <c r="L150" s="2"/>
    </row>
    <row r="151" spans="1:12">
      <c r="A151" s="12"/>
      <c r="B151" s="2"/>
      <c r="C151" s="2"/>
      <c r="D151" s="2"/>
      <c r="E151" s="2"/>
      <c r="F151" s="2"/>
      <c r="G151" s="5"/>
      <c r="H151" s="2"/>
      <c r="I151" s="2"/>
      <c r="J151" s="2"/>
      <c r="K151" s="2"/>
      <c r="L151" s="2"/>
    </row>
    <row r="152" spans="1:12">
      <c r="A152" s="12"/>
      <c r="B152" s="2"/>
      <c r="C152" s="2"/>
      <c r="D152" s="2"/>
      <c r="E152" s="2"/>
      <c r="F152" s="2"/>
      <c r="G152" s="5"/>
      <c r="H152" s="2"/>
      <c r="I152" s="2"/>
      <c r="J152" s="2"/>
      <c r="K152" s="2"/>
      <c r="L152" s="2"/>
    </row>
    <row r="153" spans="1:12">
      <c r="A153" s="12"/>
      <c r="B153" s="2"/>
      <c r="C153" s="2"/>
      <c r="D153" s="2"/>
      <c r="E153" s="2"/>
      <c r="F153" s="2"/>
      <c r="G153" s="5"/>
      <c r="H153" s="2"/>
      <c r="I153" s="2"/>
      <c r="J153" s="2"/>
      <c r="K153" s="2"/>
      <c r="L153" s="2"/>
    </row>
    <row r="154" spans="1:12">
      <c r="A154" s="12"/>
      <c r="B154" s="2"/>
      <c r="C154" s="2"/>
      <c r="D154" s="2"/>
      <c r="E154" s="2"/>
      <c r="F154" s="2"/>
      <c r="G154" s="5"/>
      <c r="H154" s="2"/>
      <c r="I154" s="2"/>
      <c r="J154" s="2"/>
      <c r="K154" s="2"/>
      <c r="L154" s="2"/>
    </row>
    <row r="155" spans="1:12">
      <c r="A155" s="12"/>
      <c r="B155" s="2"/>
      <c r="C155" s="2"/>
      <c r="D155" s="2"/>
      <c r="E155" s="2"/>
      <c r="F155" s="2"/>
      <c r="G155" s="5"/>
      <c r="H155" s="2"/>
      <c r="I155" s="2"/>
      <c r="J155" s="2"/>
      <c r="K155" s="2"/>
      <c r="L155" s="2"/>
    </row>
    <row r="156" spans="1:12">
      <c r="A156" s="12"/>
      <c r="B156" s="2"/>
      <c r="C156" s="2"/>
      <c r="D156" s="2"/>
      <c r="E156" s="2"/>
      <c r="F156" s="2"/>
      <c r="G156" s="5"/>
      <c r="H156" s="2"/>
      <c r="I156" s="2"/>
      <c r="J156" s="2"/>
      <c r="K156" s="2"/>
      <c r="L156" s="2"/>
    </row>
    <row r="157" spans="1:12">
      <c r="A157" s="12"/>
      <c r="B157" s="2"/>
      <c r="C157" s="2"/>
      <c r="D157" s="2"/>
      <c r="E157" s="2"/>
      <c r="F157" s="2"/>
      <c r="G157" s="5"/>
      <c r="H157" s="2"/>
      <c r="I157" s="2"/>
      <c r="J157" s="2"/>
      <c r="K157" s="2"/>
      <c r="L157" s="2"/>
    </row>
    <row r="158" spans="1:12">
      <c r="A158" s="12"/>
      <c r="B158" s="2"/>
      <c r="C158" s="2"/>
      <c r="D158" s="2"/>
      <c r="E158" s="2"/>
      <c r="F158" s="2"/>
      <c r="G158" s="5"/>
      <c r="H158" s="2"/>
      <c r="I158" s="2"/>
      <c r="J158" s="2"/>
      <c r="K158" s="2"/>
      <c r="L158" s="2"/>
    </row>
    <row r="159" spans="1:12">
      <c r="A159" s="12"/>
      <c r="B159" s="2"/>
      <c r="C159" s="2"/>
      <c r="D159" s="2"/>
      <c r="E159" s="2"/>
      <c r="F159" s="2"/>
      <c r="G159" s="5"/>
      <c r="H159" s="2"/>
      <c r="I159" s="2"/>
      <c r="J159" s="2"/>
      <c r="K159" s="2"/>
      <c r="L159" s="2"/>
    </row>
    <row r="160" spans="1:12">
      <c r="A160" s="12"/>
      <c r="B160" s="2"/>
      <c r="C160" s="2"/>
      <c r="D160" s="2"/>
      <c r="E160" s="2"/>
      <c r="F160" s="2"/>
      <c r="G160" s="5"/>
      <c r="H160" s="2"/>
      <c r="I160" s="2"/>
      <c r="J160" s="2"/>
      <c r="K160" s="2"/>
      <c r="L160" s="2"/>
    </row>
    <row r="161" spans="1:12">
      <c r="A161" s="12"/>
      <c r="B161" s="2"/>
      <c r="C161" s="2"/>
      <c r="D161" s="2"/>
      <c r="E161" s="2"/>
      <c r="F161" s="2"/>
      <c r="G161" s="5"/>
      <c r="H161" s="2"/>
      <c r="I161" s="2"/>
      <c r="J161" s="2"/>
      <c r="K161" s="2"/>
      <c r="L161" s="2"/>
    </row>
    <row r="162" spans="1:12">
      <c r="A162" s="12"/>
      <c r="B162" s="2"/>
      <c r="C162" s="2"/>
      <c r="D162" s="2"/>
      <c r="E162" s="2"/>
      <c r="F162" s="2"/>
      <c r="G162" s="5"/>
      <c r="H162" s="2"/>
      <c r="I162" s="2"/>
      <c r="J162" s="2"/>
      <c r="K162" s="2"/>
      <c r="L162" s="2"/>
    </row>
    <row r="163" spans="1:12">
      <c r="A163" s="12"/>
      <c r="B163" s="2"/>
      <c r="C163" s="2"/>
      <c r="D163" s="2"/>
      <c r="E163" s="2"/>
      <c r="F163" s="2"/>
      <c r="G163" s="5"/>
      <c r="H163" s="2"/>
      <c r="I163" s="2"/>
      <c r="J163" s="2"/>
      <c r="K163" s="2"/>
      <c r="L163" s="2"/>
    </row>
    <row r="164" spans="1:12">
      <c r="A164" s="12"/>
      <c r="B164" s="2"/>
      <c r="C164" s="2"/>
      <c r="D164" s="2"/>
      <c r="E164" s="2"/>
      <c r="F164" s="2"/>
      <c r="G164" s="5"/>
      <c r="H164" s="2"/>
      <c r="I164" s="2"/>
      <c r="J164" s="2"/>
      <c r="K164" s="2"/>
      <c r="L164" s="2"/>
    </row>
    <row r="165" spans="1:12">
      <c r="A165" s="12"/>
      <c r="B165" s="2"/>
      <c r="C165" s="2"/>
      <c r="D165" s="2"/>
      <c r="E165" s="2"/>
      <c r="F165" s="2"/>
      <c r="G165" s="5"/>
      <c r="H165" s="2"/>
      <c r="I165" s="2"/>
      <c r="J165" s="2"/>
      <c r="K165" s="2"/>
      <c r="L165" s="2"/>
    </row>
    <row r="166" spans="1:12">
      <c r="A166" s="12"/>
      <c r="B166" s="2"/>
      <c r="C166" s="2"/>
      <c r="D166" s="2"/>
      <c r="E166" s="2"/>
      <c r="F166" s="2"/>
      <c r="G166" s="5"/>
      <c r="H166" s="2"/>
      <c r="I166" s="2"/>
      <c r="J166" s="2"/>
      <c r="K166" s="2"/>
      <c r="L166" s="2"/>
    </row>
    <row r="167" spans="1:12">
      <c r="A167" s="12"/>
      <c r="B167" s="2"/>
      <c r="C167" s="2"/>
      <c r="D167" s="2"/>
      <c r="E167" s="2"/>
      <c r="F167" s="2"/>
      <c r="G167" s="5"/>
      <c r="H167" s="2"/>
      <c r="I167" s="2"/>
      <c r="J167" s="2"/>
      <c r="K167" s="2"/>
      <c r="L167" s="2"/>
    </row>
    <row r="168" spans="1:12">
      <c r="A168" s="12"/>
      <c r="B168" s="2"/>
      <c r="C168" s="2"/>
      <c r="D168" s="2"/>
      <c r="E168" s="2"/>
      <c r="F168" s="2"/>
      <c r="G168" s="5"/>
      <c r="H168" s="2"/>
      <c r="I168" s="2"/>
      <c r="J168" s="2"/>
      <c r="K168" s="2"/>
      <c r="L168" s="2"/>
    </row>
    <row r="169" spans="1:12">
      <c r="A169" s="12"/>
      <c r="B169" s="2"/>
      <c r="C169" s="2"/>
      <c r="D169" s="2"/>
      <c r="E169" s="2"/>
      <c r="F169" s="2"/>
      <c r="G169" s="5"/>
      <c r="H169" s="2"/>
      <c r="I169" s="2"/>
      <c r="J169" s="2"/>
      <c r="K169" s="2"/>
      <c r="L169" s="2"/>
    </row>
    <row r="170" spans="1:12">
      <c r="A170" s="12"/>
      <c r="B170" s="2"/>
      <c r="C170" s="2"/>
      <c r="D170" s="2"/>
      <c r="E170" s="2"/>
      <c r="F170" s="2"/>
      <c r="G170" s="5"/>
      <c r="H170" s="2"/>
      <c r="I170" s="2"/>
      <c r="J170" s="2"/>
      <c r="K170" s="2"/>
      <c r="L170" s="2"/>
    </row>
    <row r="171" spans="1:12">
      <c r="A171" s="12"/>
      <c r="B171" s="2"/>
      <c r="C171" s="2"/>
      <c r="D171" s="2"/>
      <c r="E171" s="2"/>
      <c r="F171" s="2"/>
      <c r="G171" s="5"/>
      <c r="H171" s="2"/>
      <c r="I171" s="2"/>
      <c r="J171" s="2"/>
      <c r="K171" s="2"/>
      <c r="L171" s="2"/>
    </row>
    <row r="172" spans="1:12">
      <c r="A172" s="12"/>
      <c r="B172" s="2"/>
      <c r="C172" s="2"/>
      <c r="D172" s="2"/>
      <c r="E172" s="2"/>
      <c r="F172" s="2"/>
      <c r="G172" s="5"/>
      <c r="H172" s="2"/>
      <c r="I172" s="2"/>
      <c r="J172" s="2"/>
      <c r="K172" s="2"/>
      <c r="L172" s="2"/>
    </row>
    <row r="173" spans="1:12">
      <c r="A173" s="12"/>
      <c r="B173" s="2"/>
      <c r="C173" s="2"/>
      <c r="D173" s="2"/>
      <c r="E173" s="2"/>
      <c r="F173" s="2"/>
      <c r="G173" s="5"/>
      <c r="H173" s="2"/>
      <c r="I173" s="2"/>
      <c r="J173" s="2"/>
      <c r="K173" s="2"/>
      <c r="L173" s="2"/>
    </row>
    <row r="174" spans="1:12">
      <c r="A174" s="12"/>
      <c r="B174" s="2"/>
      <c r="C174" s="2"/>
      <c r="D174" s="2"/>
      <c r="E174" s="2"/>
      <c r="F174" s="2"/>
      <c r="G174" s="5"/>
      <c r="H174" s="2"/>
      <c r="I174" s="2"/>
      <c r="J174" s="2"/>
      <c r="K174" s="2"/>
      <c r="L174" s="2"/>
    </row>
    <row r="175" spans="1:12">
      <c r="A175" s="12"/>
      <c r="B175" s="2"/>
      <c r="C175" s="2"/>
      <c r="D175" s="2"/>
      <c r="E175" s="2"/>
      <c r="F175" s="2"/>
      <c r="G175" s="5"/>
      <c r="H175" s="2"/>
      <c r="I175" s="2"/>
      <c r="J175" s="2"/>
      <c r="K175" s="2"/>
      <c r="L175" s="2"/>
    </row>
    <row r="176" spans="1:12">
      <c r="A176" s="12"/>
      <c r="B176" s="2"/>
      <c r="C176" s="2"/>
      <c r="D176" s="2"/>
      <c r="E176" s="2"/>
      <c r="F176" s="2"/>
      <c r="G176" s="5"/>
      <c r="H176" s="2"/>
      <c r="I176" s="2"/>
      <c r="J176" s="2"/>
      <c r="K176" s="2"/>
      <c r="L176" s="2"/>
    </row>
    <row r="177" spans="1:12">
      <c r="A177" s="12"/>
      <c r="B177" s="2"/>
      <c r="C177" s="2"/>
      <c r="D177" s="2"/>
      <c r="E177" s="2"/>
      <c r="F177" s="2"/>
      <c r="G177" s="5"/>
      <c r="H177" s="2"/>
      <c r="I177" s="2"/>
      <c r="J177" s="2"/>
      <c r="K177" s="2"/>
      <c r="L177" s="2"/>
    </row>
    <row r="178" spans="1:12">
      <c r="A178" s="12"/>
      <c r="B178" s="2"/>
      <c r="C178" s="2"/>
      <c r="D178" s="2"/>
      <c r="E178" s="2"/>
      <c r="F178" s="2"/>
      <c r="G178" s="5"/>
      <c r="H178" s="2"/>
      <c r="I178" s="2"/>
      <c r="J178" s="2"/>
      <c r="K178" s="2"/>
      <c r="L178" s="2"/>
    </row>
    <row r="179" spans="1:12">
      <c r="A179" s="12"/>
      <c r="B179" s="2"/>
      <c r="C179" s="2"/>
      <c r="D179" s="2"/>
      <c r="E179" s="2"/>
      <c r="F179" s="2"/>
      <c r="G179" s="5"/>
      <c r="H179" s="2"/>
      <c r="I179" s="2"/>
      <c r="J179" s="2"/>
      <c r="K179" s="2"/>
      <c r="L179" s="2"/>
    </row>
    <row r="180" spans="1:12">
      <c r="A180" s="12"/>
      <c r="B180" s="2"/>
      <c r="C180" s="2"/>
      <c r="D180" s="2"/>
      <c r="E180" s="2"/>
      <c r="F180" s="2"/>
      <c r="G180" s="5"/>
      <c r="H180" s="2"/>
      <c r="I180" s="2"/>
      <c r="J180" s="2"/>
      <c r="K180" s="2"/>
      <c r="L180" s="2"/>
    </row>
    <row r="181" spans="1:12">
      <c r="A181" s="12"/>
      <c r="B181" s="2"/>
      <c r="C181" s="2"/>
      <c r="D181" s="2"/>
      <c r="E181" s="2"/>
      <c r="F181" s="2"/>
      <c r="G181" s="5"/>
      <c r="H181" s="2"/>
      <c r="I181" s="2"/>
      <c r="J181" s="2"/>
      <c r="K181" s="2"/>
      <c r="L181" s="2"/>
    </row>
    <row r="182" spans="1:12">
      <c r="A182" s="12"/>
      <c r="B182" s="2"/>
      <c r="C182" s="2"/>
      <c r="D182" s="2"/>
      <c r="E182" s="2"/>
      <c r="F182" s="2"/>
      <c r="G182" s="5"/>
      <c r="H182" s="2"/>
      <c r="I182" s="2"/>
      <c r="J182" s="2"/>
      <c r="K182" s="2"/>
      <c r="L182" s="2"/>
    </row>
    <row r="183" spans="1:12">
      <c r="A183" s="12"/>
      <c r="B183" s="2"/>
      <c r="C183" s="2"/>
      <c r="D183" s="2"/>
      <c r="E183" s="2"/>
      <c r="F183" s="2"/>
      <c r="G183" s="5"/>
      <c r="H183" s="2"/>
      <c r="I183" s="2"/>
      <c r="J183" s="2"/>
      <c r="K183" s="2"/>
      <c r="L183" s="2"/>
    </row>
    <row r="184" spans="1:12">
      <c r="A184" s="12"/>
      <c r="B184" s="2"/>
      <c r="C184" s="2"/>
      <c r="D184" s="2"/>
      <c r="E184" s="2"/>
      <c r="F184" s="2"/>
      <c r="G184" s="5"/>
      <c r="H184" s="2"/>
      <c r="I184" s="2"/>
      <c r="J184" s="2"/>
      <c r="K184" s="2"/>
      <c r="L184" s="2"/>
    </row>
    <row r="185" spans="1:12">
      <c r="A185" s="12"/>
      <c r="B185" s="2"/>
      <c r="C185" s="2"/>
      <c r="D185" s="2"/>
      <c r="E185" s="2"/>
      <c r="F185" s="2"/>
      <c r="G185" s="5"/>
      <c r="H185" s="2"/>
      <c r="I185" s="2"/>
      <c r="J185" s="2"/>
      <c r="K185" s="2"/>
      <c r="L185" s="2"/>
    </row>
    <row r="186" spans="1:12">
      <c r="A186" s="12"/>
      <c r="B186" s="2"/>
      <c r="C186" s="2"/>
      <c r="D186" s="2"/>
      <c r="E186" s="2"/>
      <c r="F186" s="2"/>
      <c r="G186" s="5"/>
      <c r="H186" s="2"/>
      <c r="I186" s="2"/>
      <c r="J186" s="2"/>
      <c r="K186" s="2"/>
      <c r="L186" s="2"/>
    </row>
    <row r="187" spans="1:12">
      <c r="A187" s="12"/>
      <c r="B187" s="2"/>
      <c r="C187" s="2"/>
      <c r="D187" s="2"/>
      <c r="E187" s="2"/>
      <c r="F187" s="2"/>
      <c r="G187" s="5"/>
      <c r="H187" s="2"/>
      <c r="I187" s="2"/>
      <c r="J187" s="2"/>
      <c r="K187" s="2"/>
      <c r="L187" s="2"/>
    </row>
    <row r="188" spans="1:12">
      <c r="A188" s="12"/>
      <c r="B188" s="2"/>
      <c r="C188" s="2"/>
      <c r="D188" s="2"/>
      <c r="E188" s="2"/>
      <c r="F188" s="2"/>
      <c r="G188" s="5"/>
      <c r="H188" s="2"/>
      <c r="I188" s="2"/>
      <c r="J188" s="2"/>
      <c r="K188" s="2"/>
      <c r="L188" s="2"/>
    </row>
    <row r="189" spans="1:12">
      <c r="A189" s="12"/>
      <c r="B189" s="2"/>
      <c r="C189" s="2"/>
      <c r="D189" s="2"/>
      <c r="E189" s="2"/>
      <c r="F189" s="2"/>
      <c r="G189" s="5"/>
      <c r="H189" s="2"/>
      <c r="I189" s="2"/>
      <c r="J189" s="2"/>
      <c r="K189" s="2"/>
      <c r="L189" s="2"/>
    </row>
    <row r="190" spans="1:12">
      <c r="A190" s="12"/>
      <c r="B190" s="2"/>
      <c r="C190" s="2"/>
      <c r="D190" s="2"/>
      <c r="E190" s="2"/>
      <c r="F190" s="2"/>
      <c r="G190" s="5"/>
      <c r="H190" s="2"/>
      <c r="I190" s="2"/>
      <c r="J190" s="2"/>
      <c r="K190" s="2"/>
      <c r="L190" s="2"/>
    </row>
    <row r="191" spans="1:12">
      <c r="A191" s="12"/>
      <c r="B191" s="2"/>
      <c r="C191" s="2"/>
      <c r="D191" s="2"/>
      <c r="E191" s="2"/>
      <c r="F191" s="2"/>
      <c r="G191" s="5"/>
      <c r="H191" s="2"/>
      <c r="I191" s="2"/>
      <c r="J191" s="2"/>
      <c r="K191" s="2"/>
      <c r="L191" s="2"/>
    </row>
    <row r="192" spans="1:12">
      <c r="A192" s="12"/>
      <c r="B192" s="2"/>
      <c r="C192" s="2"/>
      <c r="D192" s="2"/>
      <c r="E192" s="2"/>
      <c r="F192" s="2"/>
      <c r="G192" s="5"/>
      <c r="H192" s="2"/>
      <c r="I192" s="2"/>
      <c r="J192" s="2"/>
      <c r="K192" s="2"/>
      <c r="L192" s="2"/>
    </row>
    <row r="193" spans="1:12">
      <c r="A193" s="12"/>
      <c r="B193" s="2"/>
      <c r="C193" s="2"/>
      <c r="D193" s="2"/>
      <c r="E193" s="2"/>
      <c r="F193" s="2"/>
      <c r="G193" s="5"/>
      <c r="H193" s="2"/>
      <c r="I193" s="2"/>
      <c r="J193" s="2"/>
      <c r="K193" s="2"/>
      <c r="L193" s="2"/>
    </row>
    <row r="194" spans="1:12">
      <c r="A194" s="12"/>
      <c r="B194" s="2"/>
      <c r="C194" s="2"/>
      <c r="D194" s="2"/>
      <c r="E194" s="2"/>
      <c r="F194" s="2"/>
      <c r="G194" s="5"/>
      <c r="H194" s="2"/>
      <c r="I194" s="2"/>
      <c r="J194" s="2"/>
      <c r="K194" s="2"/>
      <c r="L194" s="2"/>
    </row>
    <row r="195" spans="1:12">
      <c r="A195" s="12"/>
      <c r="B195" s="2"/>
      <c r="C195" s="2"/>
      <c r="D195" s="2"/>
      <c r="E195" s="2"/>
      <c r="F195" s="2"/>
      <c r="G195" s="5"/>
      <c r="H195" s="2"/>
      <c r="I195" s="2"/>
      <c r="J195" s="2"/>
      <c r="K195" s="2"/>
      <c r="L195" s="2"/>
    </row>
    <row r="196" spans="1:12">
      <c r="A196" s="12"/>
      <c r="B196" s="2"/>
      <c r="C196" s="2"/>
      <c r="D196" s="2"/>
      <c r="E196" s="2"/>
      <c r="F196" s="2"/>
      <c r="G196" s="5"/>
      <c r="H196" s="2"/>
      <c r="I196" s="2"/>
      <c r="J196" s="2"/>
      <c r="K196" s="2"/>
      <c r="L196" s="2"/>
    </row>
    <row r="197" spans="1:12">
      <c r="A197" s="12"/>
      <c r="B197" s="2"/>
      <c r="C197" s="2"/>
      <c r="D197" s="2"/>
      <c r="E197" s="2"/>
      <c r="F197" s="2"/>
      <c r="G197" s="5"/>
      <c r="H197" s="2"/>
      <c r="I197" s="2"/>
      <c r="J197" s="2"/>
      <c r="K197" s="2"/>
      <c r="L197" s="2"/>
    </row>
    <row r="198" spans="1:12">
      <c r="A198" s="12"/>
      <c r="B198" s="2"/>
      <c r="C198" s="2"/>
      <c r="D198" s="2"/>
      <c r="E198" s="2"/>
      <c r="F198" s="2"/>
      <c r="G198" s="5"/>
      <c r="H198" s="2"/>
      <c r="I198" s="2"/>
      <c r="J198" s="2"/>
      <c r="K198" s="2"/>
      <c r="L198" s="2"/>
    </row>
    <row r="199" spans="1:12">
      <c r="A199" s="12"/>
      <c r="B199" s="2"/>
      <c r="C199" s="2"/>
      <c r="D199" s="2"/>
      <c r="E199" s="2"/>
      <c r="F199" s="2"/>
      <c r="G199" s="5"/>
      <c r="H199" s="2"/>
      <c r="I199" s="2"/>
      <c r="J199" s="2"/>
      <c r="K199" s="2"/>
      <c r="L199" s="2"/>
    </row>
    <row r="200" spans="1:12">
      <c r="A200" s="12"/>
      <c r="B200" s="2"/>
      <c r="C200" s="2"/>
      <c r="D200" s="2"/>
      <c r="E200" s="2"/>
      <c r="F200" s="2"/>
      <c r="G200" s="5"/>
      <c r="H200" s="2"/>
      <c r="I200" s="2"/>
      <c r="J200" s="2"/>
      <c r="K200" s="2"/>
      <c r="L200" s="2"/>
    </row>
    <row r="201" spans="1:12">
      <c r="A201" s="12"/>
      <c r="B201" s="2"/>
      <c r="C201" s="2"/>
      <c r="D201" s="2"/>
      <c r="E201" s="2"/>
      <c r="F201" s="2"/>
      <c r="G201" s="5"/>
      <c r="H201" s="2"/>
      <c r="I201" s="2"/>
      <c r="J201" s="2"/>
      <c r="K201" s="2"/>
      <c r="L201" s="2"/>
    </row>
    <row r="202" spans="1:12">
      <c r="A202" s="12"/>
      <c r="B202" s="2"/>
      <c r="C202" s="2"/>
      <c r="D202" s="2"/>
      <c r="E202" s="2"/>
      <c r="F202" s="2"/>
      <c r="G202" s="5"/>
      <c r="H202" s="2"/>
      <c r="I202" s="2"/>
      <c r="J202" s="2"/>
      <c r="K202" s="2"/>
      <c r="L202" s="2"/>
    </row>
    <row r="203" spans="1:12">
      <c r="A203" s="12"/>
      <c r="B203" s="2"/>
      <c r="C203" s="2"/>
      <c r="D203" s="2"/>
      <c r="E203" s="2"/>
      <c r="F203" s="2"/>
      <c r="G203" s="5"/>
      <c r="H203" s="2"/>
      <c r="I203" s="2"/>
      <c r="J203" s="2"/>
      <c r="K203" s="2"/>
      <c r="L203" s="2"/>
    </row>
    <row r="204" spans="1:12">
      <c r="A204" s="12"/>
      <c r="B204" s="2"/>
      <c r="C204" s="2"/>
      <c r="D204" s="2"/>
      <c r="E204" s="2"/>
      <c r="F204" s="2"/>
      <c r="G204" s="5"/>
      <c r="H204" s="2"/>
      <c r="I204" s="2"/>
      <c r="J204" s="2"/>
      <c r="K204" s="2"/>
      <c r="L204" s="2"/>
    </row>
    <row r="205" spans="1:12">
      <c r="A205" s="12"/>
      <c r="B205" s="2"/>
      <c r="C205" s="2"/>
      <c r="D205" s="2"/>
      <c r="E205" s="2"/>
      <c r="F205" s="2"/>
      <c r="G205" s="5"/>
      <c r="H205" s="2"/>
      <c r="I205" s="2"/>
      <c r="J205" s="2"/>
      <c r="K205" s="2"/>
      <c r="L205" s="2"/>
    </row>
    <row r="206" spans="1:12">
      <c r="A206" s="12"/>
      <c r="B206" s="2"/>
      <c r="C206" s="2"/>
      <c r="D206" s="2"/>
      <c r="E206" s="2"/>
      <c r="F206" s="2"/>
      <c r="G206" s="5"/>
      <c r="H206" s="2"/>
      <c r="I206" s="2"/>
      <c r="J206" s="2"/>
      <c r="K206" s="2"/>
      <c r="L206" s="2"/>
    </row>
    <row r="207" spans="1:12">
      <c r="A207" s="12"/>
      <c r="B207" s="2"/>
      <c r="C207" s="2"/>
      <c r="D207" s="2"/>
      <c r="E207" s="2"/>
      <c r="F207" s="2"/>
      <c r="G207" s="5"/>
      <c r="H207" s="2"/>
      <c r="I207" s="2"/>
      <c r="J207" s="2"/>
      <c r="K207" s="2"/>
      <c r="L207" s="2"/>
    </row>
    <row r="208" spans="1:12">
      <c r="A208" s="12"/>
      <c r="B208" s="2"/>
      <c r="C208" s="2"/>
      <c r="D208" s="2"/>
      <c r="E208" s="2"/>
      <c r="F208" s="2"/>
      <c r="G208" s="5"/>
      <c r="H208" s="2"/>
      <c r="I208" s="2"/>
      <c r="J208" s="2"/>
      <c r="K208" s="2"/>
      <c r="L208" s="2"/>
    </row>
    <row r="209" spans="1:12">
      <c r="A209" s="12"/>
      <c r="B209" s="2"/>
      <c r="C209" s="2"/>
      <c r="D209" s="2"/>
      <c r="E209" s="2"/>
      <c r="F209" s="2"/>
      <c r="G209" s="5"/>
      <c r="H209" s="2"/>
      <c r="I209" s="2"/>
      <c r="J209" s="2"/>
      <c r="K209" s="2"/>
      <c r="L209" s="2"/>
    </row>
    <row r="210" spans="1:12">
      <c r="A210" s="12"/>
      <c r="B210" s="2"/>
      <c r="C210" s="2"/>
      <c r="D210" s="2"/>
      <c r="E210" s="2"/>
      <c r="F210" s="2"/>
      <c r="G210" s="5"/>
      <c r="H210" s="2"/>
      <c r="I210" s="2"/>
      <c r="J210" s="2"/>
      <c r="K210" s="2"/>
      <c r="L210" s="2"/>
    </row>
    <row r="211" spans="1:12">
      <c r="A211" s="12"/>
      <c r="B211" s="2"/>
      <c r="C211" s="2"/>
      <c r="D211" s="2"/>
      <c r="E211" s="2"/>
      <c r="F211" s="2"/>
      <c r="G211" s="5"/>
      <c r="H211" s="2"/>
      <c r="I211" s="2"/>
      <c r="J211" s="2"/>
      <c r="K211" s="2"/>
      <c r="L211" s="2"/>
    </row>
    <row r="212" spans="1:12">
      <c r="A212" s="12"/>
      <c r="B212" s="2"/>
      <c r="C212" s="2"/>
      <c r="D212" s="2"/>
      <c r="E212" s="2"/>
      <c r="F212" s="2"/>
      <c r="G212" s="5"/>
      <c r="H212" s="2"/>
      <c r="I212" s="2"/>
      <c r="J212" s="2"/>
      <c r="K212" s="2"/>
      <c r="L212" s="2"/>
    </row>
    <row r="213" spans="1:12">
      <c r="A213" s="12"/>
      <c r="B213" s="2"/>
      <c r="C213" s="2"/>
      <c r="D213" s="2"/>
      <c r="E213" s="2"/>
      <c r="F213" s="2"/>
      <c r="G213" s="5"/>
      <c r="H213" s="2"/>
      <c r="I213" s="2"/>
      <c r="J213" s="2"/>
      <c r="K213" s="2"/>
      <c r="L213" s="2"/>
    </row>
    <row r="214" spans="1:12">
      <c r="A214" s="12"/>
      <c r="B214" s="2"/>
      <c r="C214" s="2"/>
      <c r="D214" s="2"/>
      <c r="E214" s="2"/>
      <c r="F214" s="2"/>
      <c r="G214" s="5"/>
      <c r="H214" s="2"/>
      <c r="I214" s="2"/>
      <c r="J214" s="2"/>
      <c r="K214" s="2"/>
      <c r="L214" s="2"/>
    </row>
    <row r="215" spans="1:12">
      <c r="A215" s="12"/>
      <c r="B215" s="2"/>
      <c r="C215" s="2"/>
      <c r="D215" s="2"/>
      <c r="E215" s="2"/>
      <c r="F215" s="2"/>
      <c r="G215" s="5"/>
      <c r="H215" s="2"/>
      <c r="I215" s="2"/>
      <c r="J215" s="2"/>
      <c r="K215" s="2"/>
      <c r="L215" s="2"/>
    </row>
    <row r="216" spans="1:12">
      <c r="A216" s="12"/>
      <c r="B216" s="2"/>
      <c r="C216" s="2"/>
      <c r="D216" s="2"/>
      <c r="E216" s="2"/>
      <c r="F216" s="2"/>
      <c r="G216" s="5"/>
      <c r="H216" s="2"/>
      <c r="I216" s="2"/>
      <c r="J216" s="2"/>
      <c r="K216" s="2"/>
      <c r="L216" s="2"/>
    </row>
    <row r="217" spans="1:12">
      <c r="A217" s="12"/>
      <c r="B217" s="2"/>
      <c r="C217" s="2"/>
      <c r="D217" s="2"/>
      <c r="E217" s="2"/>
      <c r="F217" s="2"/>
      <c r="G217" s="5"/>
      <c r="H217" s="2"/>
      <c r="I217" s="2"/>
      <c r="J217" s="2"/>
      <c r="K217" s="2"/>
      <c r="L217" s="2"/>
    </row>
    <row r="218" spans="1:12">
      <c r="A218" s="12"/>
      <c r="B218" s="2"/>
      <c r="C218" s="2"/>
      <c r="D218" s="2"/>
      <c r="E218" s="2"/>
      <c r="F218" s="2"/>
      <c r="G218" s="5"/>
      <c r="H218" s="2"/>
      <c r="I218" s="2"/>
      <c r="J218" s="2"/>
      <c r="K218" s="2"/>
      <c r="L218" s="2"/>
    </row>
    <row r="219" spans="1:12">
      <c r="A219" s="12"/>
      <c r="B219" s="2"/>
      <c r="C219" s="2"/>
      <c r="D219" s="2"/>
      <c r="E219" s="2"/>
      <c r="F219" s="2"/>
      <c r="G219" s="5"/>
      <c r="H219" s="2"/>
      <c r="I219" s="2"/>
      <c r="J219" s="2"/>
      <c r="K219" s="2"/>
      <c r="L219" s="2"/>
    </row>
    <row r="220" spans="1:12">
      <c r="A220" s="12"/>
      <c r="B220" s="2"/>
      <c r="C220" s="2"/>
      <c r="D220" s="2"/>
      <c r="E220" s="2"/>
      <c r="F220" s="2"/>
      <c r="G220" s="5"/>
      <c r="H220" s="2"/>
      <c r="I220" s="2"/>
      <c r="J220" s="2"/>
      <c r="K220" s="2"/>
      <c r="L220" s="2"/>
    </row>
    <row r="221" spans="1:12">
      <c r="A221" s="12"/>
      <c r="B221" s="2"/>
      <c r="C221" s="2"/>
      <c r="D221" s="2"/>
      <c r="E221" s="2"/>
      <c r="F221" s="2"/>
      <c r="G221" s="5"/>
      <c r="H221" s="2"/>
      <c r="I221" s="2"/>
      <c r="J221" s="2"/>
      <c r="K221" s="2"/>
      <c r="L221" s="2"/>
    </row>
    <row r="222" spans="1:12">
      <c r="A222" s="12"/>
      <c r="B222" s="2"/>
      <c r="C222" s="2"/>
      <c r="D222" s="2"/>
      <c r="E222" s="2"/>
      <c r="F222" s="2"/>
      <c r="G222" s="5"/>
      <c r="H222" s="2"/>
      <c r="I222" s="2"/>
      <c r="J222" s="2"/>
      <c r="K222" s="2"/>
      <c r="L222" s="2"/>
    </row>
    <row r="223" spans="1:12">
      <c r="A223" s="12"/>
      <c r="B223" s="2"/>
      <c r="C223" s="2"/>
      <c r="D223" s="2"/>
      <c r="E223" s="2"/>
      <c r="F223" s="2"/>
      <c r="G223" s="5"/>
      <c r="H223" s="2"/>
      <c r="I223" s="2"/>
      <c r="J223" s="2"/>
      <c r="K223" s="2"/>
      <c r="L223" s="2"/>
    </row>
    <row r="224" spans="1:12">
      <c r="A224" s="12"/>
      <c r="B224" s="2"/>
      <c r="C224" s="2"/>
      <c r="D224" s="2"/>
      <c r="E224" s="2"/>
      <c r="F224" s="2"/>
      <c r="G224" s="5"/>
      <c r="H224" s="2"/>
      <c r="I224" s="2"/>
      <c r="J224" s="2"/>
      <c r="K224" s="2"/>
      <c r="L224" s="2"/>
    </row>
    <row r="225" spans="1:12">
      <c r="A225" s="12"/>
      <c r="B225" s="2"/>
      <c r="C225" s="2"/>
      <c r="D225" s="2"/>
      <c r="E225" s="2"/>
      <c r="F225" s="2"/>
      <c r="G225" s="5"/>
      <c r="H225" s="2"/>
      <c r="I225" s="2"/>
      <c r="J225" s="2"/>
      <c r="K225" s="2"/>
      <c r="L225" s="2"/>
    </row>
    <row r="226" spans="1:12">
      <c r="A226" s="12"/>
      <c r="B226" s="2"/>
      <c r="C226" s="2"/>
      <c r="D226" s="2"/>
      <c r="E226" s="2"/>
      <c r="F226" s="2"/>
      <c r="G226" s="5"/>
      <c r="H226" s="2"/>
      <c r="I226" s="2"/>
      <c r="J226" s="2"/>
      <c r="K226" s="2"/>
      <c r="L226" s="2"/>
    </row>
    <row r="227" spans="1:12">
      <c r="A227" s="12"/>
      <c r="B227" s="2"/>
      <c r="C227" s="2"/>
      <c r="D227" s="2"/>
      <c r="E227" s="2"/>
      <c r="F227" s="2"/>
      <c r="G227" s="5"/>
      <c r="H227" s="2"/>
      <c r="I227" s="2"/>
      <c r="J227" s="2"/>
      <c r="K227" s="2"/>
      <c r="L227" s="2"/>
    </row>
    <row r="228" spans="1:12">
      <c r="A228" s="12"/>
      <c r="B228" s="2"/>
      <c r="C228" s="2"/>
      <c r="D228" s="2"/>
      <c r="E228" s="2"/>
      <c r="F228" s="2"/>
      <c r="G228" s="5"/>
      <c r="H228" s="2"/>
      <c r="I228" s="2"/>
      <c r="J228" s="2"/>
      <c r="K228" s="2"/>
      <c r="L228" s="2"/>
    </row>
    <row r="229" spans="1:12">
      <c r="A229" s="12"/>
      <c r="B229" s="2"/>
      <c r="C229" s="2"/>
      <c r="D229" s="2"/>
      <c r="E229" s="2"/>
      <c r="F229" s="2"/>
      <c r="G229" s="5"/>
      <c r="H229" s="2"/>
      <c r="I229" s="2"/>
      <c r="J229" s="2"/>
      <c r="K229" s="2"/>
      <c r="L229" s="2"/>
    </row>
    <row r="230" spans="1:12">
      <c r="A230" s="12"/>
      <c r="B230" s="2"/>
      <c r="C230" s="2"/>
      <c r="D230" s="2"/>
      <c r="E230" s="2"/>
      <c r="F230" s="2"/>
      <c r="G230" s="5"/>
      <c r="H230" s="2"/>
      <c r="I230" s="2"/>
      <c r="J230" s="2"/>
      <c r="K230" s="2"/>
      <c r="L230" s="2"/>
    </row>
    <row r="231" spans="1:12">
      <c r="A231" s="12"/>
      <c r="B231" s="2"/>
      <c r="C231" s="2"/>
      <c r="D231" s="2"/>
      <c r="E231" s="2"/>
      <c r="F231" s="2"/>
      <c r="G231" s="5"/>
      <c r="H231" s="2"/>
      <c r="I231" s="2"/>
      <c r="J231" s="2"/>
      <c r="K231" s="2"/>
      <c r="L231" s="2"/>
    </row>
    <row r="232" spans="1:12">
      <c r="A232" s="12"/>
      <c r="B232" s="2"/>
      <c r="C232" s="2"/>
      <c r="D232" s="2"/>
      <c r="E232" s="2"/>
      <c r="F232" s="2"/>
      <c r="G232" s="5"/>
      <c r="H232" s="2"/>
      <c r="I232" s="2"/>
      <c r="J232" s="2"/>
      <c r="K232" s="2"/>
      <c r="L232" s="2"/>
    </row>
    <row r="233" spans="1:12">
      <c r="A233" s="12"/>
      <c r="B233" s="2"/>
      <c r="C233" s="2"/>
      <c r="D233" s="2"/>
      <c r="E233" s="2"/>
      <c r="F233" s="2"/>
      <c r="G233" s="5"/>
      <c r="H233" s="2"/>
      <c r="I233" s="2"/>
      <c r="J233" s="2"/>
      <c r="K233" s="2"/>
      <c r="L233" s="2"/>
    </row>
    <row r="234" spans="1:12">
      <c r="A234" s="12"/>
      <c r="B234" s="2"/>
      <c r="C234" s="2"/>
      <c r="D234" s="2"/>
      <c r="E234" s="2"/>
      <c r="F234" s="2"/>
      <c r="G234" s="5"/>
      <c r="H234" s="2"/>
      <c r="I234" s="2"/>
      <c r="J234" s="2"/>
      <c r="K234" s="2"/>
      <c r="L234" s="2"/>
    </row>
    <row r="235" spans="1:12">
      <c r="A235" s="12"/>
      <c r="B235" s="2"/>
      <c r="C235" s="2"/>
      <c r="D235" s="2"/>
      <c r="E235" s="2"/>
      <c r="F235" s="2"/>
      <c r="G235" s="5"/>
      <c r="H235" s="2"/>
      <c r="I235" s="2"/>
      <c r="J235" s="2"/>
      <c r="K235" s="2"/>
      <c r="L235" s="2"/>
    </row>
    <row r="236" spans="1:12">
      <c r="A236" s="12"/>
      <c r="B236" s="2"/>
      <c r="C236" s="2"/>
      <c r="D236" s="2"/>
      <c r="E236" s="2"/>
      <c r="F236" s="2"/>
      <c r="G236" s="5"/>
      <c r="H236" s="2"/>
      <c r="I236" s="2"/>
      <c r="J236" s="2"/>
      <c r="K236" s="2"/>
      <c r="L236" s="2"/>
    </row>
    <row r="237" spans="1:12">
      <c r="A237" s="12"/>
      <c r="B237" s="2"/>
      <c r="C237" s="2"/>
      <c r="D237" s="2"/>
      <c r="E237" s="2"/>
      <c r="F237" s="2"/>
      <c r="G237" s="5"/>
      <c r="H237" s="2"/>
      <c r="I237" s="2"/>
      <c r="J237" s="2"/>
      <c r="K237" s="2"/>
      <c r="L237" s="2"/>
    </row>
    <row r="238" spans="1:12">
      <c r="A238" s="12"/>
      <c r="B238" s="2"/>
      <c r="C238" s="2"/>
      <c r="D238" s="2"/>
      <c r="E238" s="2"/>
      <c r="F238" s="2"/>
      <c r="G238" s="5"/>
      <c r="H238" s="2"/>
      <c r="I238" s="2"/>
      <c r="J238" s="2"/>
      <c r="K238" s="2"/>
      <c r="L238" s="2"/>
    </row>
    <row r="239" spans="1:12">
      <c r="A239" s="12"/>
      <c r="B239" s="2"/>
      <c r="C239" s="2"/>
      <c r="D239" s="2"/>
      <c r="E239" s="2"/>
      <c r="F239" s="2"/>
      <c r="G239" s="5"/>
      <c r="H239" s="2"/>
      <c r="I239" s="2"/>
      <c r="J239" s="2"/>
      <c r="K239" s="2"/>
      <c r="L239" s="2"/>
    </row>
    <row r="240" spans="1:12">
      <c r="A240" s="12"/>
      <c r="B240" s="2"/>
      <c r="C240" s="2"/>
      <c r="D240" s="2"/>
      <c r="E240" s="2"/>
      <c r="F240" s="2"/>
      <c r="G240" s="5"/>
      <c r="H240" s="2"/>
      <c r="I240" s="2"/>
      <c r="J240" s="2"/>
      <c r="K240" s="2"/>
      <c r="L240" s="2"/>
    </row>
    <row r="241" spans="1:12">
      <c r="A241" s="12"/>
      <c r="B241" s="2"/>
      <c r="C241" s="2"/>
      <c r="D241" s="2"/>
      <c r="E241" s="2"/>
      <c r="F241" s="2"/>
      <c r="G241" s="5"/>
      <c r="H241" s="2"/>
      <c r="I241" s="2"/>
      <c r="J241" s="2"/>
      <c r="K241" s="2"/>
      <c r="L241" s="2"/>
    </row>
    <row r="242" spans="1:12">
      <c r="A242" s="12"/>
      <c r="B242" s="2"/>
      <c r="C242" s="2"/>
      <c r="D242" s="2"/>
      <c r="E242" s="2"/>
      <c r="F242" s="2"/>
      <c r="G242" s="5"/>
      <c r="H242" s="2"/>
      <c r="I242" s="2"/>
      <c r="J242" s="2"/>
      <c r="K242" s="2"/>
      <c r="L242" s="2"/>
    </row>
    <row r="243" spans="1:12">
      <c r="A243" s="12"/>
      <c r="B243" s="2"/>
      <c r="C243" s="2"/>
      <c r="D243" s="2"/>
      <c r="E243" s="2"/>
      <c r="F243" s="2"/>
      <c r="G243" s="5"/>
      <c r="H243" s="2"/>
      <c r="I243" s="2"/>
      <c r="J243" s="2"/>
      <c r="K243" s="2"/>
      <c r="L243" s="2"/>
    </row>
    <row r="244" spans="1:12">
      <c r="A244" s="12"/>
      <c r="B244" s="2"/>
      <c r="C244" s="2"/>
      <c r="D244" s="2"/>
      <c r="E244" s="2"/>
      <c r="F244" s="2"/>
      <c r="G244" s="5"/>
      <c r="H244" s="2"/>
      <c r="I244" s="2"/>
      <c r="J244" s="2"/>
      <c r="K244" s="2"/>
      <c r="L244" s="2"/>
    </row>
    <row r="245" spans="1:12">
      <c r="A245" s="12"/>
      <c r="B245" s="2"/>
      <c r="C245" s="2"/>
      <c r="D245" s="2"/>
      <c r="E245" s="2"/>
      <c r="F245" s="2"/>
      <c r="G245" s="5"/>
      <c r="H245" s="2"/>
      <c r="I245" s="2"/>
      <c r="J245" s="2"/>
      <c r="K245" s="2"/>
      <c r="L245" s="2"/>
    </row>
    <row r="246" spans="1:12">
      <c r="A246" s="12"/>
      <c r="B246" s="2"/>
      <c r="C246" s="2"/>
      <c r="D246" s="2"/>
      <c r="E246" s="2"/>
      <c r="F246" s="2"/>
      <c r="G246" s="5"/>
      <c r="H246" s="2"/>
      <c r="I246" s="2"/>
      <c r="J246" s="2"/>
      <c r="K246" s="2"/>
      <c r="L246" s="2"/>
    </row>
    <row r="247" spans="1:12">
      <c r="A247" s="12"/>
      <c r="B247" s="2"/>
      <c r="C247" s="2"/>
      <c r="D247" s="2"/>
      <c r="E247" s="2"/>
      <c r="F247" s="2"/>
      <c r="G247" s="5"/>
      <c r="H247" s="2"/>
      <c r="I247" s="2"/>
      <c r="J247" s="2"/>
      <c r="K247" s="2"/>
      <c r="L247" s="2"/>
    </row>
    <row r="248" spans="1:12">
      <c r="A248" s="12"/>
      <c r="B248" s="2"/>
      <c r="C248" s="2"/>
      <c r="D248" s="2"/>
      <c r="E248" s="2"/>
      <c r="F248" s="2"/>
      <c r="G248" s="5"/>
      <c r="H248" s="2"/>
      <c r="I248" s="2"/>
      <c r="J248" s="2"/>
      <c r="K248" s="2"/>
      <c r="L248" s="2"/>
    </row>
    <row r="249" spans="1:12">
      <c r="A249" s="12"/>
      <c r="B249" s="2"/>
      <c r="C249" s="2"/>
      <c r="D249" s="2"/>
      <c r="E249" s="2"/>
      <c r="F249" s="2"/>
      <c r="G249" s="5"/>
      <c r="H249" s="2"/>
      <c r="I249" s="2"/>
      <c r="J249" s="2"/>
      <c r="K249" s="2"/>
      <c r="L249" s="2"/>
    </row>
    <row r="250" spans="1:12">
      <c r="A250" s="12"/>
      <c r="B250" s="2"/>
      <c r="C250" s="2"/>
      <c r="D250" s="2"/>
      <c r="E250" s="2"/>
      <c r="F250" s="2"/>
      <c r="G250" s="5"/>
      <c r="H250" s="2"/>
      <c r="I250" s="2"/>
      <c r="J250" s="2"/>
      <c r="K250" s="2"/>
      <c r="L250" s="2"/>
    </row>
    <row r="251" spans="1:12">
      <c r="A251" s="12"/>
      <c r="B251" s="2"/>
      <c r="C251" s="2"/>
      <c r="D251" s="2"/>
      <c r="E251" s="2"/>
      <c r="F251" s="2"/>
      <c r="G251" s="5"/>
      <c r="H251" s="2"/>
      <c r="I251" s="2"/>
      <c r="J251" s="2"/>
      <c r="K251" s="2"/>
      <c r="L251" s="2"/>
    </row>
    <row r="252" spans="1:12">
      <c r="A252" s="12"/>
      <c r="B252" s="2"/>
      <c r="C252" s="2"/>
      <c r="D252" s="2"/>
      <c r="E252" s="2"/>
      <c r="F252" s="2"/>
      <c r="G252" s="5"/>
      <c r="H252" s="2"/>
      <c r="I252" s="2"/>
      <c r="J252" s="2"/>
      <c r="K252" s="2"/>
      <c r="L252" s="2"/>
    </row>
    <row r="253" spans="1:12">
      <c r="A253" s="12"/>
      <c r="B253" s="2"/>
      <c r="C253" s="2"/>
      <c r="D253" s="2"/>
      <c r="E253" s="2"/>
      <c r="F253" s="2"/>
      <c r="G253" s="5"/>
      <c r="H253" s="2"/>
      <c r="I253" s="2"/>
      <c r="J253" s="2"/>
      <c r="K253" s="2"/>
      <c r="L253" s="2"/>
    </row>
    <row r="254" spans="1:12">
      <c r="A254" s="12"/>
      <c r="B254" s="2"/>
      <c r="C254" s="2"/>
      <c r="D254" s="2"/>
      <c r="E254" s="2"/>
      <c r="F254" s="2"/>
      <c r="G254" s="5"/>
      <c r="H254" s="2"/>
      <c r="I254" s="2"/>
      <c r="J254" s="2"/>
      <c r="K254" s="2"/>
      <c r="L254" s="2"/>
    </row>
    <row r="255" spans="1:12">
      <c r="A255" s="12"/>
      <c r="B255" s="2"/>
      <c r="C255" s="2"/>
      <c r="D255" s="2"/>
      <c r="E255" s="2"/>
      <c r="F255" s="2"/>
      <c r="G255" s="5"/>
      <c r="H255" s="2"/>
      <c r="I255" s="2"/>
      <c r="J255" s="2"/>
      <c r="K255" s="2"/>
      <c r="L255" s="2"/>
    </row>
    <row r="256" spans="1:12">
      <c r="A256" s="12"/>
      <c r="B256" s="2"/>
      <c r="C256" s="2"/>
      <c r="D256" s="2"/>
      <c r="E256" s="2"/>
      <c r="F256" s="2"/>
      <c r="G256" s="5"/>
      <c r="H256" s="2"/>
      <c r="I256" s="2"/>
      <c r="J256" s="2"/>
      <c r="K256" s="2"/>
      <c r="L256" s="2"/>
    </row>
    <row r="257" spans="1:12">
      <c r="A257" s="12"/>
      <c r="B257" s="2"/>
      <c r="C257" s="2"/>
      <c r="D257" s="2"/>
      <c r="E257" s="2"/>
      <c r="F257" s="2"/>
      <c r="G257" s="5"/>
      <c r="H257" s="2"/>
      <c r="I257" s="2"/>
      <c r="J257" s="2"/>
      <c r="K257" s="2"/>
      <c r="L257" s="2"/>
    </row>
    <row r="258" spans="1:12">
      <c r="A258" s="12"/>
      <c r="B258" s="2"/>
      <c r="C258" s="2"/>
      <c r="D258" s="2"/>
      <c r="E258" s="2"/>
      <c r="F258" s="2"/>
      <c r="G258" s="5"/>
      <c r="H258" s="2"/>
      <c r="I258" s="2"/>
      <c r="J258" s="2"/>
      <c r="K258" s="2"/>
      <c r="L258" s="2"/>
    </row>
    <row r="259" spans="1:12">
      <c r="A259" s="12"/>
      <c r="B259" s="2"/>
      <c r="C259" s="2"/>
      <c r="D259" s="2"/>
      <c r="E259" s="2"/>
      <c r="F259" s="2"/>
      <c r="G259" s="5"/>
      <c r="H259" s="2"/>
      <c r="I259" s="2"/>
      <c r="J259" s="2"/>
      <c r="K259" s="2"/>
      <c r="L259" s="2"/>
    </row>
    <row r="260" spans="1:12">
      <c r="A260" s="12"/>
      <c r="B260" s="2"/>
      <c r="C260" s="2"/>
      <c r="D260" s="2"/>
      <c r="E260" s="2"/>
      <c r="F260" s="2"/>
      <c r="G260" s="5"/>
      <c r="H260" s="2"/>
      <c r="I260" s="2"/>
      <c r="J260" s="2"/>
      <c r="K260" s="2"/>
      <c r="L260" s="2"/>
    </row>
    <row r="261" spans="1:12">
      <c r="A261" s="12"/>
      <c r="B261" s="2"/>
      <c r="C261" s="2"/>
      <c r="D261" s="2"/>
      <c r="E261" s="2"/>
      <c r="F261" s="2"/>
      <c r="G261" s="5"/>
      <c r="H261" s="2"/>
      <c r="I261" s="2"/>
      <c r="J261" s="2"/>
      <c r="K261" s="2"/>
      <c r="L261" s="2"/>
    </row>
    <row r="262" spans="1:12">
      <c r="A262" s="12"/>
      <c r="B262" s="2"/>
      <c r="C262" s="2"/>
      <c r="D262" s="2"/>
      <c r="E262" s="2"/>
      <c r="F262" s="2"/>
      <c r="G262" s="5"/>
      <c r="H262" s="2"/>
      <c r="I262" s="2"/>
      <c r="J262" s="2"/>
      <c r="K262" s="2"/>
      <c r="L262" s="2"/>
    </row>
    <row r="263" spans="1:12">
      <c r="A263" s="12"/>
      <c r="B263" s="2"/>
      <c r="C263" s="2"/>
      <c r="D263" s="2"/>
      <c r="E263" s="2"/>
      <c r="F263" s="2"/>
      <c r="G263" s="5"/>
      <c r="H263" s="2"/>
      <c r="I263" s="2"/>
      <c r="J263" s="2"/>
      <c r="K263" s="2"/>
      <c r="L263" s="2"/>
    </row>
    <row r="264" spans="1:12">
      <c r="A264" s="12"/>
      <c r="B264" s="2"/>
      <c r="C264" s="2"/>
      <c r="D264" s="2"/>
      <c r="E264" s="2"/>
      <c r="F264" s="2"/>
      <c r="G264" s="5"/>
      <c r="H264" s="2"/>
      <c r="I264" s="2"/>
      <c r="J264" s="2"/>
      <c r="K264" s="2"/>
      <c r="L264" s="2"/>
    </row>
    <row r="265" spans="1:12">
      <c r="A265" s="12"/>
      <c r="B265" s="2"/>
      <c r="C265" s="2"/>
      <c r="D265" s="2"/>
      <c r="E265" s="2"/>
      <c r="F265" s="2"/>
      <c r="G265" s="5"/>
      <c r="H265" s="2"/>
      <c r="I265" s="2"/>
      <c r="J265" s="2"/>
      <c r="K265" s="2"/>
      <c r="L265" s="2"/>
    </row>
    <row r="266" spans="1:12">
      <c r="A266" s="12"/>
      <c r="B266" s="2"/>
      <c r="C266" s="2"/>
      <c r="D266" s="2"/>
      <c r="E266" s="2"/>
      <c r="F266" s="2"/>
      <c r="G266" s="5"/>
      <c r="H266" s="2"/>
      <c r="I266" s="2"/>
      <c r="J266" s="2"/>
      <c r="K266" s="2"/>
      <c r="L266" s="2"/>
    </row>
    <row r="267" spans="1:12">
      <c r="A267" s="12"/>
      <c r="B267" s="2"/>
      <c r="C267" s="2"/>
      <c r="D267" s="2"/>
      <c r="E267" s="2"/>
      <c r="F267" s="2"/>
      <c r="G267" s="5"/>
      <c r="H267" s="2"/>
      <c r="I267" s="2"/>
      <c r="J267" s="2"/>
      <c r="K267" s="2"/>
      <c r="L267" s="2"/>
    </row>
    <row r="268" spans="1:12">
      <c r="A268" s="12"/>
      <c r="B268" s="2"/>
      <c r="C268" s="2"/>
      <c r="D268" s="2"/>
      <c r="E268" s="2"/>
      <c r="F268" s="2"/>
      <c r="G268" s="5"/>
      <c r="H268" s="2"/>
      <c r="I268" s="2"/>
      <c r="J268" s="2"/>
      <c r="K268" s="2"/>
      <c r="L268" s="2"/>
    </row>
    <row r="269" spans="1:12">
      <c r="A269" s="12"/>
      <c r="B269" s="2"/>
      <c r="C269" s="2"/>
      <c r="D269" s="2"/>
      <c r="E269" s="2"/>
      <c r="F269" s="2"/>
      <c r="G269" s="5"/>
      <c r="H269" s="2"/>
      <c r="I269" s="2"/>
      <c r="J269" s="2"/>
      <c r="K269" s="2"/>
      <c r="L269" s="2"/>
    </row>
    <row r="270" spans="1:12">
      <c r="A270" s="12"/>
      <c r="B270" s="2"/>
      <c r="C270" s="2"/>
      <c r="D270" s="2"/>
      <c r="E270" s="2"/>
      <c r="F270" s="2"/>
      <c r="G270" s="5"/>
      <c r="H270" s="2"/>
      <c r="I270" s="2"/>
      <c r="J270" s="2"/>
      <c r="K270" s="2"/>
      <c r="L270" s="2"/>
    </row>
    <row r="271" spans="1:12">
      <c r="A271" s="12"/>
      <c r="B271" s="2"/>
      <c r="C271" s="2"/>
      <c r="D271" s="2"/>
      <c r="E271" s="2"/>
      <c r="F271" s="2"/>
      <c r="G271" s="5"/>
      <c r="H271" s="2"/>
      <c r="I271" s="2"/>
      <c r="J271" s="2"/>
      <c r="K271" s="2"/>
      <c r="L271" s="2"/>
    </row>
    <row r="272" spans="1:12">
      <c r="A272" s="12"/>
      <c r="B272" s="2"/>
      <c r="C272" s="2"/>
      <c r="D272" s="2"/>
      <c r="E272" s="2"/>
      <c r="F272" s="2"/>
      <c r="G272" s="5"/>
      <c r="H272" s="2"/>
      <c r="I272" s="2"/>
      <c r="J272" s="2"/>
      <c r="K272" s="2"/>
      <c r="L272" s="2"/>
    </row>
    <row r="273" spans="1:12">
      <c r="A273" s="12"/>
      <c r="B273" s="2"/>
      <c r="C273" s="2"/>
      <c r="D273" s="2"/>
      <c r="E273" s="2"/>
      <c r="F273" s="2"/>
      <c r="G273" s="5"/>
      <c r="H273" s="2"/>
      <c r="I273" s="2"/>
      <c r="J273" s="2"/>
      <c r="K273" s="2"/>
      <c r="L273" s="2"/>
    </row>
    <row r="274" spans="1:12">
      <c r="A274" s="12"/>
      <c r="B274" s="2"/>
      <c r="C274" s="2"/>
      <c r="D274" s="2"/>
      <c r="E274" s="2"/>
      <c r="F274" s="2"/>
      <c r="G274" s="5"/>
      <c r="H274" s="2"/>
      <c r="I274" s="2"/>
      <c r="J274" s="2"/>
      <c r="K274" s="2"/>
      <c r="L274" s="2"/>
    </row>
    <row r="275" spans="1:12">
      <c r="A275" s="12"/>
      <c r="B275" s="2"/>
      <c r="C275" s="2"/>
      <c r="D275" s="2"/>
      <c r="E275" s="2"/>
      <c r="F275" s="2"/>
      <c r="G275" s="5"/>
      <c r="H275" s="2"/>
      <c r="I275" s="2"/>
      <c r="J275" s="2"/>
      <c r="K275" s="2"/>
      <c r="L275" s="2"/>
    </row>
    <row r="276" spans="1:12">
      <c r="A276" s="12"/>
      <c r="B276" s="2"/>
      <c r="C276" s="2"/>
      <c r="D276" s="2"/>
      <c r="E276" s="2"/>
      <c r="F276" s="2"/>
      <c r="G276" s="5"/>
      <c r="H276" s="2"/>
      <c r="I276" s="2"/>
      <c r="J276" s="2"/>
      <c r="K276" s="2"/>
      <c r="L276" s="2"/>
    </row>
    <row r="277" spans="1:12">
      <c r="A277" s="12"/>
      <c r="B277" s="2"/>
      <c r="C277" s="2"/>
      <c r="D277" s="2"/>
      <c r="E277" s="2"/>
      <c r="F277" s="2"/>
      <c r="G277" s="5"/>
      <c r="H277" s="2"/>
      <c r="I277" s="2"/>
      <c r="J277" s="2"/>
      <c r="K277" s="2"/>
      <c r="L277" s="2"/>
    </row>
    <row r="278" spans="1:12">
      <c r="A278" s="12"/>
      <c r="B278" s="2"/>
      <c r="C278" s="2"/>
      <c r="D278" s="2"/>
      <c r="E278" s="2"/>
      <c r="F278" s="2"/>
      <c r="G278" s="5"/>
      <c r="H278" s="2"/>
      <c r="I278" s="2"/>
      <c r="J278" s="2"/>
      <c r="K278" s="2"/>
      <c r="L278" s="2"/>
    </row>
    <row r="279" spans="1:12">
      <c r="A279" s="12"/>
      <c r="B279" s="2"/>
      <c r="C279" s="2"/>
      <c r="D279" s="2"/>
      <c r="E279" s="2"/>
      <c r="F279" s="2"/>
      <c r="G279" s="5"/>
      <c r="H279" s="2"/>
      <c r="I279" s="2"/>
      <c r="J279" s="2"/>
      <c r="K279" s="2"/>
      <c r="L279" s="2"/>
    </row>
    <row r="280" spans="1:12">
      <c r="A280" s="12"/>
      <c r="B280" s="2"/>
      <c r="C280" s="2"/>
      <c r="D280" s="2"/>
      <c r="E280" s="2"/>
      <c r="F280" s="2"/>
      <c r="G280" s="5"/>
      <c r="H280" s="2"/>
      <c r="I280" s="2"/>
      <c r="J280" s="2"/>
      <c r="K280" s="2"/>
      <c r="L280" s="2"/>
    </row>
    <row r="281" spans="1:12">
      <c r="A281" s="12"/>
      <c r="B281" s="2"/>
      <c r="C281" s="2"/>
      <c r="D281" s="2"/>
      <c r="E281" s="2"/>
      <c r="F281" s="2"/>
      <c r="G281" s="5"/>
      <c r="H281" s="2"/>
      <c r="I281" s="2"/>
      <c r="J281" s="2"/>
      <c r="K281" s="2"/>
      <c r="L281" s="2"/>
    </row>
    <row r="282" spans="1:12">
      <c r="A282" s="12"/>
      <c r="B282" s="2"/>
      <c r="C282" s="2"/>
      <c r="D282" s="2"/>
      <c r="E282" s="2"/>
      <c r="F282" s="2"/>
      <c r="G282" s="5"/>
      <c r="H282" s="2"/>
      <c r="I282" s="2"/>
      <c r="J282" s="2"/>
      <c r="K282" s="2"/>
      <c r="L282" s="2"/>
    </row>
    <row r="283" spans="1:12">
      <c r="A283" s="12"/>
      <c r="B283" s="2"/>
      <c r="C283" s="2"/>
      <c r="D283" s="2"/>
      <c r="E283" s="2"/>
      <c r="F283" s="2"/>
      <c r="G283" s="5"/>
      <c r="H283" s="2"/>
      <c r="I283" s="2"/>
      <c r="J283" s="2"/>
      <c r="K283" s="2"/>
      <c r="L283" s="2"/>
    </row>
    <row r="284" spans="1:12">
      <c r="A284" s="12"/>
      <c r="B284" s="2"/>
      <c r="C284" s="2"/>
      <c r="D284" s="2"/>
      <c r="E284" s="2"/>
      <c r="F284" s="2"/>
      <c r="G284" s="5"/>
      <c r="H284" s="2"/>
      <c r="I284" s="2"/>
      <c r="J284" s="2"/>
      <c r="K284" s="2"/>
      <c r="L284" s="2"/>
    </row>
    <row r="285" spans="1:12">
      <c r="A285" s="12"/>
      <c r="B285" s="2"/>
      <c r="C285" s="2"/>
      <c r="D285" s="2"/>
      <c r="E285" s="2"/>
      <c r="F285" s="2"/>
      <c r="G285" s="5"/>
      <c r="H285" s="2"/>
      <c r="I285" s="2"/>
      <c r="J285" s="2"/>
      <c r="K285" s="2"/>
      <c r="L285" s="2"/>
    </row>
    <row r="286" spans="1:12">
      <c r="A286" s="12"/>
      <c r="B286" s="2"/>
      <c r="C286" s="2"/>
      <c r="D286" s="2"/>
      <c r="E286" s="2"/>
      <c r="F286" s="2"/>
      <c r="G286" s="5"/>
      <c r="H286" s="2"/>
      <c r="I286" s="2"/>
      <c r="J286" s="2"/>
      <c r="K286" s="2"/>
      <c r="L286" s="2"/>
    </row>
    <row r="287" spans="1:12">
      <c r="A287" s="12"/>
      <c r="B287" s="2"/>
      <c r="C287" s="2"/>
      <c r="D287" s="2"/>
      <c r="E287" s="2"/>
      <c r="F287" s="2"/>
      <c r="G287" s="5"/>
      <c r="H287" s="2"/>
      <c r="I287" s="2"/>
      <c r="J287" s="2"/>
      <c r="K287" s="2"/>
      <c r="L287" s="2"/>
    </row>
    <row r="288" spans="1:12">
      <c r="A288" s="12"/>
      <c r="B288" s="2"/>
      <c r="C288" s="2"/>
      <c r="D288" s="2"/>
      <c r="E288" s="2"/>
      <c r="F288" s="2"/>
      <c r="G288" s="5"/>
      <c r="H288" s="2"/>
      <c r="I288" s="2"/>
      <c r="J288" s="2"/>
      <c r="K288" s="2"/>
      <c r="L288" s="2"/>
    </row>
    <row r="289" spans="1:12">
      <c r="A289" s="12"/>
      <c r="B289" s="2"/>
      <c r="C289" s="2"/>
      <c r="D289" s="2"/>
      <c r="E289" s="2"/>
      <c r="F289" s="2"/>
      <c r="G289" s="5"/>
      <c r="H289" s="2"/>
      <c r="I289" s="2"/>
      <c r="J289" s="2"/>
      <c r="K289" s="2"/>
      <c r="L289" s="2"/>
    </row>
    <row r="290" spans="1:12">
      <c r="A290" s="12"/>
      <c r="B290" s="2"/>
      <c r="C290" s="2"/>
      <c r="D290" s="2"/>
      <c r="E290" s="2"/>
      <c r="F290" s="2"/>
      <c r="G290" s="5"/>
      <c r="H290" s="2"/>
      <c r="I290" s="2"/>
      <c r="J290" s="2"/>
      <c r="K290" s="2"/>
      <c r="L290" s="2"/>
    </row>
    <row r="291" spans="1:12">
      <c r="A291" s="12"/>
      <c r="B291" s="2"/>
      <c r="C291" s="2"/>
      <c r="D291" s="2"/>
      <c r="E291" s="2"/>
      <c r="F291" s="2"/>
      <c r="G291" s="5"/>
      <c r="H291" s="2"/>
      <c r="I291" s="2"/>
      <c r="J291" s="2"/>
      <c r="K291" s="2"/>
      <c r="L291" s="2"/>
    </row>
    <row r="292" spans="1:12">
      <c r="A292" s="12"/>
      <c r="B292" s="2"/>
      <c r="C292" s="2"/>
      <c r="D292" s="2"/>
      <c r="E292" s="2"/>
      <c r="F292" s="2"/>
      <c r="G292" s="5"/>
      <c r="H292" s="2"/>
      <c r="I292" s="2"/>
      <c r="J292" s="2"/>
      <c r="K292" s="2"/>
      <c r="L292" s="2"/>
    </row>
    <row r="293" spans="1:12">
      <c r="A293" s="12"/>
      <c r="B293" s="2"/>
      <c r="C293" s="2"/>
      <c r="D293" s="2"/>
      <c r="E293" s="2"/>
      <c r="F293" s="2"/>
      <c r="G293" s="5"/>
      <c r="H293" s="2"/>
      <c r="I293" s="2"/>
      <c r="J293" s="2"/>
      <c r="K293" s="2"/>
      <c r="L293" s="2"/>
    </row>
    <row r="294" spans="1:12">
      <c r="A294" s="12"/>
      <c r="B294" s="2"/>
      <c r="C294" s="2"/>
      <c r="D294" s="2"/>
      <c r="E294" s="2"/>
      <c r="F294" s="2"/>
      <c r="G294" s="5"/>
      <c r="H294" s="2"/>
      <c r="I294" s="2"/>
      <c r="J294" s="2"/>
      <c r="K294" s="2"/>
      <c r="L294" s="2"/>
    </row>
    <row r="295" spans="1:12">
      <c r="A295" s="12"/>
      <c r="B295" s="2"/>
      <c r="C295" s="2"/>
      <c r="D295" s="2"/>
      <c r="E295" s="2"/>
      <c r="F295" s="2"/>
      <c r="G295" s="5"/>
      <c r="H295" s="2"/>
      <c r="I295" s="2"/>
      <c r="J295" s="2"/>
      <c r="K295" s="2"/>
      <c r="L295" s="2"/>
    </row>
    <row r="296" spans="1:12">
      <c r="A296" s="12"/>
      <c r="B296" s="2"/>
      <c r="C296" s="2"/>
      <c r="D296" s="2"/>
      <c r="E296" s="2"/>
      <c r="F296" s="2"/>
      <c r="G296" s="5"/>
      <c r="H296" s="2"/>
      <c r="I296" s="2"/>
      <c r="J296" s="2"/>
      <c r="K296" s="2"/>
      <c r="L296" s="2"/>
    </row>
    <row r="297" spans="1:12">
      <c r="A297" s="12"/>
      <c r="B297" s="2"/>
      <c r="C297" s="2"/>
      <c r="D297" s="2"/>
      <c r="E297" s="2"/>
      <c r="F297" s="2"/>
      <c r="G297" s="5"/>
      <c r="H297" s="2"/>
      <c r="I297" s="2"/>
      <c r="J297" s="2"/>
      <c r="K297" s="2"/>
      <c r="L297" s="2"/>
    </row>
    <row r="298" spans="1:12">
      <c r="A298" s="12"/>
      <c r="B298" s="2"/>
      <c r="C298" s="2"/>
      <c r="D298" s="2"/>
      <c r="E298" s="2"/>
      <c r="F298" s="2"/>
      <c r="G298" s="5"/>
      <c r="H298" s="2"/>
      <c r="I298" s="2"/>
      <c r="J298" s="2"/>
      <c r="K298" s="2"/>
      <c r="L298" s="2"/>
    </row>
    <row r="299" spans="1:12">
      <c r="A299" s="12"/>
      <c r="B299" s="2"/>
      <c r="C299" s="2"/>
      <c r="D299" s="2"/>
      <c r="E299" s="2"/>
      <c r="F299" s="2"/>
      <c r="G299" s="5"/>
      <c r="H299" s="2"/>
      <c r="I299" s="2"/>
      <c r="J299" s="2"/>
      <c r="K299" s="2"/>
      <c r="L299" s="2"/>
    </row>
    <row r="300" spans="1:12">
      <c r="A300" s="12"/>
      <c r="B300" s="2"/>
      <c r="C300" s="2"/>
      <c r="D300" s="2"/>
      <c r="E300" s="2"/>
      <c r="F300" s="2"/>
      <c r="G300" s="5"/>
      <c r="H300" s="2"/>
      <c r="I300" s="2"/>
      <c r="J300" s="2"/>
      <c r="K300" s="2"/>
      <c r="L300" s="2"/>
    </row>
    <row r="301" spans="1:12">
      <c r="A301" s="12"/>
      <c r="B301" s="2"/>
      <c r="C301" s="2"/>
      <c r="D301" s="2"/>
      <c r="E301" s="2"/>
      <c r="F301" s="2"/>
      <c r="G301" s="5"/>
      <c r="H301" s="2"/>
      <c r="I301" s="2"/>
      <c r="J301" s="2"/>
      <c r="K301" s="2"/>
      <c r="L301" s="2"/>
    </row>
    <row r="302" spans="1:12">
      <c r="A302" s="12"/>
      <c r="B302" s="2"/>
      <c r="C302" s="2"/>
      <c r="D302" s="2"/>
      <c r="E302" s="2"/>
      <c r="F302" s="2"/>
      <c r="G302" s="5"/>
      <c r="H302" s="2"/>
      <c r="I302" s="2"/>
      <c r="J302" s="2"/>
      <c r="K302" s="2"/>
      <c r="L302" s="2"/>
    </row>
    <row r="303" spans="1:12">
      <c r="A303" s="12"/>
      <c r="B303" s="2"/>
      <c r="C303" s="2"/>
      <c r="D303" s="2"/>
      <c r="E303" s="2"/>
      <c r="F303" s="2"/>
      <c r="G303" s="5"/>
      <c r="H303" s="2"/>
      <c r="I303" s="2"/>
      <c r="J303" s="2"/>
      <c r="K303" s="2"/>
      <c r="L303" s="2"/>
    </row>
    <row r="304" spans="1:12">
      <c r="A304" s="12"/>
      <c r="B304" s="2"/>
      <c r="C304" s="2"/>
      <c r="D304" s="2"/>
      <c r="E304" s="2"/>
      <c r="F304" s="2"/>
      <c r="G304" s="5"/>
      <c r="H304" s="2"/>
      <c r="I304" s="2"/>
      <c r="J304" s="2"/>
      <c r="K304" s="2"/>
      <c r="L304" s="2"/>
    </row>
    <row r="305" spans="1:12">
      <c r="A305" s="12"/>
      <c r="B305" s="2"/>
      <c r="C305" s="2"/>
      <c r="D305" s="2"/>
      <c r="E305" s="2"/>
      <c r="F305" s="2"/>
      <c r="G305" s="5"/>
      <c r="H305" s="2"/>
      <c r="I305" s="2"/>
      <c r="J305" s="2"/>
      <c r="K305" s="2"/>
      <c r="L305" s="2"/>
    </row>
    <row r="306" spans="1:12">
      <c r="A306" s="12"/>
      <c r="B306" s="2"/>
      <c r="C306" s="2"/>
      <c r="D306" s="2"/>
      <c r="E306" s="2"/>
      <c r="F306" s="2"/>
      <c r="G306" s="5"/>
      <c r="H306" s="2"/>
      <c r="I306" s="2"/>
      <c r="J306" s="2"/>
      <c r="K306" s="2"/>
      <c r="L306" s="2"/>
    </row>
    <row r="307" spans="1:12">
      <c r="A307" s="12"/>
      <c r="B307" s="2"/>
      <c r="C307" s="2"/>
      <c r="D307" s="2"/>
      <c r="E307" s="2"/>
      <c r="F307" s="2"/>
      <c r="G307" s="5"/>
      <c r="H307" s="2"/>
      <c r="I307" s="2"/>
      <c r="J307" s="2"/>
      <c r="K307" s="2"/>
      <c r="L307" s="2"/>
    </row>
    <row r="308" spans="1:12">
      <c r="A308" s="12"/>
      <c r="B308" s="2"/>
      <c r="C308" s="2"/>
      <c r="D308" s="2"/>
      <c r="E308" s="2"/>
      <c r="F308" s="2"/>
      <c r="G308" s="5"/>
      <c r="H308" s="2"/>
      <c r="I308" s="2"/>
      <c r="J308" s="2"/>
      <c r="K308" s="2"/>
      <c r="L308" s="2"/>
    </row>
    <row r="309" spans="1:12">
      <c r="A309" s="12"/>
      <c r="B309" s="2"/>
      <c r="C309" s="2"/>
      <c r="D309" s="2"/>
      <c r="E309" s="2"/>
      <c r="F309" s="2"/>
      <c r="G309" s="5"/>
      <c r="H309" s="2"/>
      <c r="I309" s="2"/>
      <c r="J309" s="2"/>
      <c r="K309" s="2"/>
      <c r="L309" s="2"/>
    </row>
    <row r="310" spans="1:12">
      <c r="A310" s="12"/>
      <c r="B310" s="2"/>
      <c r="C310" s="2"/>
      <c r="D310" s="2"/>
      <c r="E310" s="2"/>
      <c r="F310" s="2"/>
      <c r="G310" s="5"/>
      <c r="H310" s="2"/>
      <c r="I310" s="2"/>
      <c r="J310" s="2"/>
      <c r="K310" s="2"/>
      <c r="L310" s="2"/>
    </row>
    <row r="311" spans="1:12">
      <c r="A311" s="12"/>
      <c r="B311" s="2"/>
      <c r="C311" s="2"/>
      <c r="D311" s="2"/>
      <c r="E311" s="2"/>
      <c r="F311" s="2"/>
      <c r="G311" s="5"/>
      <c r="H311" s="2"/>
      <c r="I311" s="2"/>
      <c r="J311" s="2"/>
      <c r="K311" s="2"/>
      <c r="L311" s="2"/>
    </row>
    <row r="312" spans="1:12">
      <c r="A312" s="12"/>
      <c r="B312" s="2"/>
      <c r="C312" s="2"/>
      <c r="D312" s="2"/>
      <c r="E312" s="2"/>
      <c r="F312" s="2"/>
      <c r="G312" s="5"/>
      <c r="H312" s="2"/>
      <c r="I312" s="2"/>
      <c r="J312" s="2"/>
      <c r="K312" s="2"/>
      <c r="L312" s="2"/>
    </row>
    <row r="313" spans="1:12">
      <c r="A313" s="12"/>
      <c r="B313" s="2"/>
      <c r="C313" s="2"/>
      <c r="D313" s="2"/>
      <c r="E313" s="2"/>
      <c r="F313" s="2"/>
      <c r="G313" s="5"/>
      <c r="H313" s="2"/>
      <c r="I313" s="2"/>
      <c r="J313" s="2"/>
      <c r="K313" s="2"/>
      <c r="L313" s="2"/>
    </row>
    <row r="314" spans="1:12">
      <c r="A314" s="12"/>
      <c r="B314" s="2"/>
      <c r="C314" s="2"/>
      <c r="D314" s="2"/>
      <c r="E314" s="2"/>
      <c r="F314" s="2"/>
      <c r="G314" s="5"/>
      <c r="H314" s="2"/>
      <c r="I314" s="2"/>
      <c r="J314" s="2"/>
      <c r="K314" s="2"/>
      <c r="L314" s="2"/>
    </row>
    <row r="315" spans="1:12">
      <c r="A315" s="12"/>
      <c r="B315" s="2"/>
      <c r="C315" s="2"/>
      <c r="D315" s="2"/>
      <c r="E315" s="2"/>
      <c r="F315" s="2"/>
      <c r="G315" s="5"/>
      <c r="H315" s="2"/>
      <c r="I315" s="2"/>
      <c r="J315" s="2"/>
      <c r="K315" s="2"/>
      <c r="L315" s="2"/>
    </row>
    <row r="316" spans="1:12">
      <c r="A316" s="12"/>
      <c r="B316" s="2"/>
      <c r="C316" s="2"/>
      <c r="D316" s="2"/>
      <c r="E316" s="2"/>
      <c r="F316" s="2"/>
      <c r="G316" s="5"/>
      <c r="H316" s="2"/>
      <c r="I316" s="2"/>
      <c r="J316" s="2"/>
      <c r="K316" s="2"/>
      <c r="L316" s="2"/>
    </row>
    <row r="317" spans="1:12">
      <c r="A317" s="12"/>
      <c r="B317" s="2"/>
      <c r="C317" s="2"/>
      <c r="D317" s="2"/>
      <c r="E317" s="2"/>
      <c r="F317" s="2"/>
      <c r="G317" s="5"/>
      <c r="H317" s="2"/>
      <c r="I317" s="2"/>
      <c r="J317" s="2"/>
      <c r="K317" s="2"/>
      <c r="L317" s="2"/>
    </row>
    <row r="318" spans="1:12">
      <c r="A318" s="12"/>
      <c r="B318" s="2"/>
      <c r="C318" s="2"/>
      <c r="D318" s="2"/>
      <c r="E318" s="2"/>
      <c r="F318" s="2"/>
      <c r="G318" s="5"/>
      <c r="H318" s="2"/>
      <c r="I318" s="2"/>
      <c r="J318" s="2"/>
      <c r="K318" s="2"/>
      <c r="L318" s="2"/>
    </row>
    <row r="319" spans="1:12">
      <c r="A319" s="12"/>
      <c r="B319" s="2"/>
      <c r="C319" s="2"/>
      <c r="D319" s="2"/>
      <c r="E319" s="2"/>
      <c r="F319" s="2"/>
      <c r="G319" s="5"/>
      <c r="H319" s="2"/>
      <c r="I319" s="2"/>
      <c r="J319" s="2"/>
      <c r="K319" s="2"/>
      <c r="L319" s="2"/>
    </row>
    <row r="320" spans="1:12">
      <c r="A320" s="12"/>
      <c r="B320" s="2"/>
      <c r="C320" s="2"/>
      <c r="D320" s="2"/>
      <c r="E320" s="2"/>
      <c r="F320" s="2"/>
      <c r="G320" s="5"/>
      <c r="H320" s="2"/>
      <c r="I320" s="2"/>
      <c r="J320" s="2"/>
      <c r="K320" s="2"/>
      <c r="L320" s="2"/>
    </row>
    <row r="321" spans="1:12">
      <c r="A321" s="12"/>
      <c r="B321" s="2"/>
      <c r="C321" s="2"/>
      <c r="D321" s="2"/>
      <c r="E321" s="2"/>
      <c r="F321" s="2"/>
      <c r="G321" s="5"/>
      <c r="H321" s="2"/>
      <c r="I321" s="2"/>
      <c r="J321" s="2"/>
      <c r="K321" s="2"/>
      <c r="L321" s="2"/>
    </row>
    <row r="322" spans="1:12">
      <c r="A322" s="12"/>
      <c r="B322" s="2"/>
      <c r="C322" s="2"/>
      <c r="D322" s="2"/>
      <c r="E322" s="2"/>
      <c r="F322" s="2"/>
      <c r="G322" s="5"/>
      <c r="H322" s="2"/>
      <c r="I322" s="2"/>
      <c r="J322" s="2"/>
      <c r="K322" s="2"/>
      <c r="L322" s="2"/>
    </row>
    <row r="323" spans="1:12">
      <c r="A323" s="12"/>
      <c r="B323" s="2"/>
      <c r="C323" s="2"/>
      <c r="D323" s="2"/>
      <c r="E323" s="2"/>
      <c r="F323" s="2"/>
      <c r="G323" s="5"/>
      <c r="H323" s="2"/>
      <c r="I323" s="2"/>
      <c r="J323" s="2"/>
      <c r="K323" s="2"/>
      <c r="L323" s="2"/>
    </row>
    <row r="324" spans="1:12">
      <c r="A324" s="12"/>
      <c r="B324" s="2"/>
      <c r="C324" s="2"/>
      <c r="D324" s="2"/>
      <c r="E324" s="2"/>
      <c r="F324" s="2"/>
      <c r="G324" s="5"/>
      <c r="H324" s="2"/>
      <c r="I324" s="2"/>
      <c r="J324" s="2"/>
      <c r="K324" s="2"/>
      <c r="L324" s="2"/>
    </row>
    <row r="325" spans="1:12">
      <c r="A325" s="12"/>
      <c r="B325" s="2"/>
      <c r="C325" s="2"/>
      <c r="D325" s="2"/>
      <c r="E325" s="2"/>
      <c r="F325" s="2"/>
      <c r="G325" s="5"/>
      <c r="H325" s="2"/>
      <c r="I325" s="2"/>
      <c r="J325" s="2"/>
      <c r="K325" s="2"/>
      <c r="L325" s="2"/>
    </row>
    <row r="326" spans="1:12">
      <c r="A326" s="12"/>
      <c r="B326" s="2"/>
      <c r="C326" s="2"/>
      <c r="D326" s="2"/>
      <c r="E326" s="2"/>
      <c r="F326" s="2"/>
      <c r="G326" s="5"/>
      <c r="H326" s="2"/>
      <c r="I326" s="2"/>
      <c r="J326" s="2"/>
      <c r="K326" s="2"/>
      <c r="L326" s="2"/>
    </row>
    <row r="327" spans="1:12">
      <c r="A327" s="12"/>
      <c r="B327" s="2"/>
      <c r="C327" s="2"/>
      <c r="D327" s="2"/>
      <c r="E327" s="2"/>
      <c r="F327" s="2"/>
      <c r="G327" s="5"/>
      <c r="H327" s="2"/>
      <c r="I327" s="2"/>
      <c r="J327" s="2"/>
      <c r="K327" s="2"/>
      <c r="L327" s="2"/>
    </row>
    <row r="328" spans="1:12">
      <c r="A328" s="12"/>
      <c r="B328" s="2"/>
      <c r="C328" s="2"/>
      <c r="D328" s="2"/>
      <c r="E328" s="2"/>
      <c r="F328" s="2"/>
      <c r="G328" s="5"/>
      <c r="H328" s="2"/>
      <c r="I328" s="2"/>
      <c r="J328" s="2"/>
      <c r="K328" s="2"/>
      <c r="L328" s="2"/>
    </row>
    <row r="329" spans="1:12">
      <c r="A329" s="12"/>
      <c r="B329" s="2"/>
      <c r="C329" s="2"/>
      <c r="D329" s="2"/>
      <c r="E329" s="2"/>
      <c r="F329" s="2"/>
      <c r="G329" s="5"/>
      <c r="H329" s="2"/>
      <c r="I329" s="2"/>
      <c r="J329" s="2"/>
      <c r="K329" s="2"/>
      <c r="L329" s="2"/>
    </row>
    <row r="330" spans="1:12">
      <c r="A330" s="12"/>
      <c r="B330" s="2"/>
      <c r="C330" s="2"/>
      <c r="D330" s="2"/>
      <c r="E330" s="2"/>
      <c r="F330" s="2"/>
      <c r="G330" s="5"/>
      <c r="H330" s="2"/>
      <c r="I330" s="2"/>
      <c r="J330" s="2"/>
      <c r="K330" s="2"/>
      <c r="L330" s="2"/>
    </row>
    <row r="331" spans="1:12">
      <c r="A331" s="12"/>
      <c r="B331" s="2"/>
      <c r="C331" s="2"/>
      <c r="D331" s="2"/>
      <c r="E331" s="2"/>
      <c r="F331" s="2"/>
      <c r="G331" s="5"/>
      <c r="H331" s="2"/>
      <c r="I331" s="2"/>
      <c r="J331" s="2"/>
      <c r="K331" s="2"/>
      <c r="L331" s="2"/>
    </row>
    <row r="332" spans="1:12">
      <c r="A332" s="12"/>
      <c r="B332" s="2"/>
      <c r="C332" s="2"/>
      <c r="D332" s="2"/>
      <c r="E332" s="2"/>
      <c r="F332" s="2"/>
      <c r="G332" s="5"/>
      <c r="H332" s="2"/>
      <c r="I332" s="2"/>
      <c r="J332" s="2"/>
      <c r="K332" s="2"/>
      <c r="L332" s="2"/>
    </row>
    <row r="333" spans="1:12">
      <c r="A333" s="12"/>
      <c r="B333" s="2"/>
      <c r="C333" s="2"/>
      <c r="D333" s="2"/>
      <c r="E333" s="2"/>
      <c r="F333" s="2"/>
      <c r="G333" s="5"/>
      <c r="H333" s="2"/>
      <c r="I333" s="2"/>
      <c r="J333" s="2"/>
      <c r="K333" s="2"/>
      <c r="L333" s="2"/>
    </row>
    <row r="334" spans="1:12">
      <c r="A334" s="12"/>
      <c r="B334" s="2"/>
      <c r="C334" s="2"/>
      <c r="D334" s="2"/>
      <c r="E334" s="2"/>
      <c r="F334" s="2"/>
      <c r="G334" s="5"/>
      <c r="H334" s="2"/>
      <c r="I334" s="2"/>
      <c r="J334" s="2"/>
      <c r="K334" s="2"/>
      <c r="L334" s="2"/>
    </row>
    <row r="335" spans="1:12">
      <c r="A335" s="12"/>
      <c r="B335" s="2"/>
      <c r="C335" s="2"/>
      <c r="D335" s="2"/>
      <c r="E335" s="2"/>
      <c r="F335" s="2"/>
      <c r="G335" s="5"/>
      <c r="H335" s="2"/>
      <c r="I335" s="2"/>
      <c r="J335" s="2"/>
      <c r="K335" s="2"/>
      <c r="L335" s="2"/>
    </row>
    <row r="336" spans="1:12">
      <c r="A336" s="12"/>
      <c r="B336" s="2"/>
      <c r="C336" s="2"/>
      <c r="D336" s="2"/>
      <c r="E336" s="2"/>
      <c r="F336" s="2"/>
      <c r="G336" s="5"/>
      <c r="H336" s="2"/>
      <c r="I336" s="2"/>
      <c r="J336" s="2"/>
      <c r="K336" s="2"/>
      <c r="L336" s="2"/>
    </row>
    <row r="337" spans="1:12">
      <c r="A337" s="12"/>
      <c r="B337" s="2"/>
      <c r="C337" s="2"/>
      <c r="D337" s="2"/>
      <c r="E337" s="2"/>
      <c r="F337" s="2"/>
      <c r="G337" s="5"/>
      <c r="H337" s="2"/>
      <c r="I337" s="2"/>
      <c r="J337" s="2"/>
      <c r="K337" s="2"/>
      <c r="L337" s="2"/>
    </row>
    <row r="338" spans="1:12">
      <c r="A338" s="12"/>
      <c r="B338" s="2"/>
      <c r="C338" s="2"/>
      <c r="D338" s="2"/>
      <c r="E338" s="2"/>
      <c r="F338" s="2"/>
      <c r="G338" s="5"/>
      <c r="H338" s="2"/>
      <c r="I338" s="2"/>
      <c r="J338" s="2"/>
      <c r="K338" s="2"/>
      <c r="L338" s="2"/>
    </row>
    <row r="339" spans="1:12">
      <c r="A339" s="12"/>
      <c r="B339" s="2"/>
      <c r="C339" s="2"/>
      <c r="D339" s="2"/>
      <c r="E339" s="2"/>
      <c r="F339" s="2"/>
      <c r="G339" s="5"/>
      <c r="H339" s="2"/>
      <c r="I339" s="2"/>
      <c r="J339" s="2"/>
      <c r="K339" s="2"/>
      <c r="L339" s="2"/>
    </row>
    <row r="340" spans="1:12">
      <c r="A340" s="12"/>
      <c r="B340" s="2"/>
      <c r="C340" s="2"/>
      <c r="D340" s="2"/>
      <c r="E340" s="2"/>
      <c r="F340" s="2"/>
      <c r="G340" s="5"/>
      <c r="H340" s="2"/>
      <c r="I340" s="2"/>
      <c r="J340" s="2"/>
      <c r="K340" s="2"/>
      <c r="L340" s="2"/>
    </row>
    <row r="341" spans="1:12">
      <c r="A341" s="12"/>
      <c r="B341" s="2"/>
      <c r="C341" s="2"/>
      <c r="D341" s="2"/>
      <c r="E341" s="2"/>
      <c r="F341" s="2"/>
      <c r="G341" s="5"/>
      <c r="H341" s="2"/>
      <c r="I341" s="2"/>
      <c r="J341" s="2"/>
      <c r="K341" s="2"/>
      <c r="L341" s="2"/>
    </row>
    <row r="342" spans="1:12">
      <c r="A342" s="12"/>
      <c r="B342" s="2"/>
      <c r="C342" s="2"/>
      <c r="D342" s="2"/>
      <c r="E342" s="2"/>
      <c r="F342" s="2"/>
      <c r="G342" s="5"/>
      <c r="H342" s="2"/>
      <c r="I342" s="2"/>
      <c r="J342" s="2"/>
      <c r="K342" s="2"/>
      <c r="L342" s="2"/>
    </row>
    <row r="343" spans="1:12">
      <c r="A343" s="12"/>
      <c r="B343" s="2"/>
      <c r="C343" s="2"/>
      <c r="D343" s="2"/>
      <c r="E343" s="2"/>
      <c r="F343" s="2"/>
      <c r="G343" s="5"/>
      <c r="H343" s="2"/>
      <c r="I343" s="2"/>
      <c r="J343" s="2"/>
      <c r="K343" s="2"/>
      <c r="L343" s="2"/>
    </row>
    <row r="344" spans="1:12">
      <c r="A344" s="12"/>
      <c r="B344" s="2"/>
      <c r="C344" s="2"/>
      <c r="D344" s="2"/>
      <c r="E344" s="2"/>
      <c r="F344" s="2"/>
      <c r="G344" s="5"/>
      <c r="H344" s="2"/>
      <c r="I344" s="2"/>
      <c r="J344" s="2"/>
      <c r="K344" s="2"/>
      <c r="L344" s="2"/>
    </row>
    <row r="345" spans="1:12">
      <c r="A345" s="12"/>
      <c r="B345" s="2"/>
      <c r="C345" s="2"/>
      <c r="D345" s="2"/>
      <c r="E345" s="2"/>
      <c r="F345" s="2"/>
      <c r="G345" s="5"/>
      <c r="H345" s="2"/>
      <c r="I345" s="2"/>
      <c r="J345" s="2"/>
      <c r="K345" s="2"/>
      <c r="L345" s="2"/>
    </row>
    <row r="346" spans="1:12">
      <c r="A346" s="12"/>
      <c r="B346" s="2"/>
      <c r="C346" s="2"/>
      <c r="D346" s="2"/>
      <c r="E346" s="2"/>
      <c r="F346" s="2"/>
      <c r="G346" s="5"/>
      <c r="H346" s="2"/>
      <c r="I346" s="2"/>
      <c r="J346" s="2"/>
      <c r="K346" s="2"/>
      <c r="L346" s="2"/>
    </row>
    <row r="347" spans="1:12">
      <c r="A347" s="12"/>
      <c r="B347" s="2"/>
      <c r="C347" s="2"/>
      <c r="D347" s="2"/>
      <c r="E347" s="2"/>
      <c r="F347" s="2"/>
      <c r="G347" s="5"/>
      <c r="H347" s="2"/>
      <c r="I347" s="2"/>
      <c r="J347" s="2"/>
      <c r="K347" s="2"/>
      <c r="L347" s="2"/>
    </row>
    <row r="348" spans="1:12">
      <c r="A348" s="12"/>
      <c r="B348" s="2"/>
      <c r="C348" s="2"/>
      <c r="D348" s="2"/>
      <c r="E348" s="2"/>
      <c r="F348" s="2"/>
      <c r="G348" s="5"/>
      <c r="H348" s="2"/>
      <c r="I348" s="2"/>
      <c r="J348" s="2"/>
      <c r="K348" s="2"/>
      <c r="L348" s="2"/>
    </row>
    <row r="349" spans="1:12">
      <c r="A349" s="12"/>
      <c r="B349" s="2"/>
      <c r="C349" s="2"/>
      <c r="D349" s="2"/>
      <c r="E349" s="2"/>
      <c r="F349" s="2"/>
      <c r="G349" s="5"/>
      <c r="H349" s="2"/>
      <c r="I349" s="2"/>
      <c r="J349" s="2"/>
      <c r="K349" s="2"/>
      <c r="L349" s="2"/>
    </row>
    <row r="350" spans="1:12">
      <c r="A350" s="12"/>
      <c r="B350" s="2"/>
      <c r="C350" s="2"/>
      <c r="D350" s="2"/>
      <c r="E350" s="2"/>
      <c r="F350" s="2"/>
      <c r="G350" s="5"/>
      <c r="H350" s="2"/>
      <c r="I350" s="2"/>
      <c r="J350" s="2"/>
      <c r="K350" s="2"/>
      <c r="L350" s="2"/>
    </row>
    <row r="351" spans="1:12">
      <c r="A351" s="12"/>
      <c r="B351" s="2"/>
      <c r="C351" s="2"/>
      <c r="D351" s="2"/>
      <c r="E351" s="2"/>
      <c r="F351" s="2"/>
      <c r="G351" s="5"/>
      <c r="H351" s="2"/>
      <c r="I351" s="2"/>
      <c r="J351" s="2"/>
      <c r="K351" s="2"/>
      <c r="L351" s="2"/>
    </row>
    <row r="352" spans="1:12">
      <c r="A352" s="12"/>
      <c r="B352" s="2"/>
      <c r="C352" s="2"/>
      <c r="D352" s="2"/>
      <c r="E352" s="2"/>
      <c r="F352" s="2"/>
      <c r="G352" s="5"/>
      <c r="H352" s="2"/>
      <c r="I352" s="2"/>
      <c r="J352" s="2"/>
      <c r="K352" s="2"/>
      <c r="L352" s="2"/>
    </row>
    <row r="353" spans="1:12">
      <c r="A353" s="12"/>
      <c r="B353" s="2"/>
      <c r="C353" s="2"/>
      <c r="D353" s="2"/>
      <c r="E353" s="2"/>
      <c r="F353" s="2"/>
      <c r="G353" s="5"/>
      <c r="H353" s="2"/>
      <c r="I353" s="2"/>
      <c r="J353" s="2"/>
      <c r="K353" s="2"/>
      <c r="L353" s="2"/>
    </row>
    <row r="354" spans="1:12">
      <c r="A354" s="12"/>
      <c r="B354" s="2"/>
      <c r="C354" s="2"/>
      <c r="D354" s="2"/>
      <c r="E354" s="2"/>
      <c r="F354" s="2"/>
      <c r="G354" s="5"/>
      <c r="H354" s="2"/>
      <c r="I354" s="2"/>
      <c r="J354" s="2"/>
      <c r="K354" s="2"/>
      <c r="L354" s="2"/>
    </row>
    <row r="355" spans="1:12">
      <c r="A355" s="12"/>
      <c r="B355" s="2"/>
      <c r="C355" s="2"/>
      <c r="D355" s="2"/>
      <c r="E355" s="2"/>
      <c r="F355" s="2"/>
      <c r="G355" s="5"/>
      <c r="H355" s="2"/>
      <c r="I355" s="2"/>
      <c r="J355" s="2"/>
      <c r="K355" s="2"/>
      <c r="L355" s="2"/>
    </row>
    <row r="356" spans="1:12">
      <c r="A356" s="12"/>
      <c r="B356" s="2"/>
      <c r="C356" s="2"/>
      <c r="D356" s="2"/>
      <c r="E356" s="2"/>
      <c r="F356" s="2"/>
      <c r="G356" s="5"/>
      <c r="H356" s="2"/>
      <c r="I356" s="2"/>
      <c r="J356" s="2"/>
      <c r="K356" s="2"/>
      <c r="L356" s="2"/>
    </row>
    <row r="357" spans="1:12">
      <c r="A357" s="12"/>
      <c r="B357" s="2"/>
      <c r="C357" s="2"/>
      <c r="D357" s="2"/>
      <c r="E357" s="2"/>
      <c r="F357" s="2"/>
      <c r="G357" s="5"/>
      <c r="H357" s="2"/>
      <c r="I357" s="2"/>
      <c r="J357" s="2"/>
      <c r="K357" s="2"/>
      <c r="L357" s="2"/>
    </row>
    <row r="358" spans="1:12">
      <c r="A358" s="12"/>
      <c r="B358" s="2"/>
      <c r="C358" s="2"/>
      <c r="D358" s="2"/>
      <c r="E358" s="2"/>
      <c r="F358" s="2"/>
      <c r="G358" s="5"/>
      <c r="H358" s="2"/>
      <c r="I358" s="2"/>
      <c r="J358" s="2"/>
      <c r="K358" s="2"/>
      <c r="L358" s="2"/>
    </row>
    <row r="359" spans="1:12">
      <c r="A359" s="12"/>
      <c r="B359" s="2"/>
      <c r="C359" s="2"/>
      <c r="D359" s="2"/>
      <c r="E359" s="2"/>
      <c r="F359" s="2"/>
      <c r="G359" s="5"/>
      <c r="H359" s="2"/>
      <c r="I359" s="2"/>
      <c r="J359" s="2"/>
      <c r="K359" s="2"/>
      <c r="L359" s="2"/>
    </row>
    <row r="360" spans="1:12">
      <c r="A360" s="12"/>
      <c r="B360" s="2"/>
      <c r="C360" s="2"/>
      <c r="D360" s="2"/>
      <c r="E360" s="2"/>
      <c r="F360" s="2"/>
      <c r="G360" s="5"/>
      <c r="H360" s="2"/>
      <c r="I360" s="2"/>
      <c r="J360" s="2"/>
      <c r="K360" s="2"/>
      <c r="L360" s="2"/>
    </row>
    <row r="361" spans="1:12">
      <c r="A361" s="12"/>
      <c r="B361" s="2"/>
      <c r="C361" s="2"/>
      <c r="D361" s="2"/>
      <c r="E361" s="2"/>
      <c r="F361" s="2"/>
      <c r="G361" s="5"/>
      <c r="H361" s="2"/>
      <c r="I361" s="2"/>
      <c r="J361" s="2"/>
      <c r="K361" s="2"/>
      <c r="L361" s="2"/>
    </row>
    <row r="362" spans="1:12">
      <c r="A362" s="12"/>
      <c r="B362" s="2"/>
      <c r="C362" s="2"/>
      <c r="D362" s="2"/>
      <c r="E362" s="2"/>
      <c r="F362" s="2"/>
      <c r="G362" s="5"/>
      <c r="H362" s="2"/>
      <c r="I362" s="2"/>
      <c r="J362" s="2"/>
      <c r="K362" s="2"/>
      <c r="L362" s="2"/>
    </row>
    <row r="363" spans="1:12">
      <c r="A363" s="12"/>
      <c r="B363" s="2"/>
      <c r="C363" s="2"/>
      <c r="D363" s="2"/>
      <c r="E363" s="2"/>
      <c r="F363" s="2"/>
      <c r="G363" s="5"/>
      <c r="H363" s="2"/>
      <c r="I363" s="2"/>
      <c r="J363" s="2"/>
      <c r="K363" s="2"/>
      <c r="L363" s="2"/>
    </row>
    <row r="364" spans="1:12">
      <c r="A364" s="12"/>
      <c r="B364" s="2"/>
      <c r="C364" s="2"/>
      <c r="D364" s="2"/>
      <c r="E364" s="2"/>
      <c r="F364" s="2"/>
      <c r="G364" s="5"/>
      <c r="H364" s="2"/>
      <c r="I364" s="2"/>
      <c r="J364" s="2"/>
      <c r="K364" s="2"/>
      <c r="L364" s="2"/>
    </row>
    <row r="365" spans="1:12">
      <c r="A365" s="12"/>
      <c r="B365" s="2"/>
      <c r="C365" s="2"/>
      <c r="D365" s="2"/>
      <c r="E365" s="2"/>
      <c r="F365" s="2"/>
      <c r="G365" s="5"/>
      <c r="H365" s="2"/>
      <c r="I365" s="2"/>
      <c r="J365" s="2"/>
      <c r="K365" s="2"/>
      <c r="L365" s="2"/>
    </row>
    <row r="366" spans="1:12">
      <c r="A366" s="12"/>
      <c r="B366" s="2"/>
      <c r="C366" s="2"/>
      <c r="D366" s="2"/>
      <c r="E366" s="2"/>
      <c r="F366" s="2"/>
      <c r="G366" s="5"/>
      <c r="H366" s="2"/>
      <c r="I366" s="2"/>
      <c r="J366" s="2"/>
      <c r="K366" s="2"/>
      <c r="L366" s="2"/>
    </row>
    <row r="367" spans="1:12">
      <c r="A367" s="12"/>
      <c r="B367" s="2"/>
      <c r="C367" s="2"/>
      <c r="D367" s="2"/>
      <c r="E367" s="2"/>
      <c r="F367" s="2"/>
      <c r="G367" s="5"/>
      <c r="H367" s="2"/>
      <c r="I367" s="2"/>
      <c r="J367" s="2"/>
      <c r="K367" s="2"/>
      <c r="L367" s="2"/>
    </row>
    <row r="368" spans="1:12">
      <c r="A368" s="12"/>
      <c r="B368" s="2"/>
      <c r="C368" s="2"/>
      <c r="D368" s="2"/>
      <c r="E368" s="2"/>
      <c r="F368" s="2"/>
      <c r="G368" s="5"/>
      <c r="H368" s="2"/>
      <c r="I368" s="2"/>
      <c r="J368" s="2"/>
      <c r="K368" s="2"/>
      <c r="L368" s="2"/>
    </row>
    <row r="369" spans="1:12">
      <c r="A369" s="12"/>
      <c r="B369" s="2"/>
      <c r="C369" s="2"/>
      <c r="D369" s="2"/>
      <c r="E369" s="2"/>
      <c r="F369" s="2"/>
      <c r="G369" s="5"/>
      <c r="H369" s="2"/>
      <c r="I369" s="2"/>
      <c r="J369" s="2"/>
      <c r="K369" s="2"/>
      <c r="L369" s="2"/>
    </row>
    <row r="370" spans="1:12">
      <c r="A370" s="12"/>
      <c r="B370" s="2"/>
      <c r="C370" s="2"/>
      <c r="D370" s="2"/>
      <c r="E370" s="2"/>
      <c r="F370" s="2"/>
      <c r="G370" s="5"/>
      <c r="H370" s="2"/>
      <c r="I370" s="2"/>
      <c r="J370" s="2"/>
      <c r="K370" s="2"/>
      <c r="L370" s="2"/>
    </row>
    <row r="371" spans="1:12">
      <c r="A371" s="12"/>
      <c r="B371" s="2"/>
      <c r="C371" s="2"/>
      <c r="D371" s="2"/>
      <c r="E371" s="2"/>
      <c r="F371" s="2"/>
      <c r="G371" s="5"/>
      <c r="H371" s="2"/>
      <c r="I371" s="2"/>
      <c r="J371" s="2"/>
      <c r="K371" s="2"/>
      <c r="L371" s="2"/>
    </row>
    <row r="372" spans="1:12">
      <c r="A372" s="12"/>
      <c r="B372" s="2"/>
      <c r="C372" s="2"/>
      <c r="D372" s="2"/>
      <c r="E372" s="2"/>
      <c r="F372" s="2"/>
      <c r="G372" s="5"/>
      <c r="H372" s="2"/>
      <c r="I372" s="2"/>
      <c r="J372" s="2"/>
      <c r="K372" s="2"/>
      <c r="L372" s="2"/>
    </row>
    <row r="373" spans="1:12">
      <c r="A373" s="12"/>
      <c r="B373" s="2"/>
      <c r="C373" s="2"/>
      <c r="D373" s="2"/>
      <c r="E373" s="2"/>
      <c r="F373" s="2"/>
      <c r="G373" s="5"/>
      <c r="H373" s="2"/>
      <c r="I373" s="2"/>
      <c r="J373" s="2"/>
      <c r="K373" s="2"/>
      <c r="L373" s="2"/>
    </row>
    <row r="374" spans="1:12">
      <c r="A374" s="12"/>
      <c r="B374" s="2"/>
      <c r="C374" s="2"/>
      <c r="D374" s="2"/>
      <c r="E374" s="2"/>
      <c r="F374" s="2"/>
      <c r="G374" s="5"/>
      <c r="H374" s="2"/>
      <c r="I374" s="2"/>
      <c r="J374" s="2"/>
      <c r="K374" s="2"/>
      <c r="L374" s="2"/>
    </row>
    <row r="375" spans="1:12">
      <c r="A375" s="12"/>
      <c r="B375" s="2"/>
      <c r="C375" s="2"/>
      <c r="D375" s="2"/>
      <c r="E375" s="2"/>
      <c r="F375" s="2"/>
      <c r="G375" s="5"/>
      <c r="H375" s="2"/>
      <c r="I375" s="2"/>
      <c r="J375" s="2"/>
      <c r="K375" s="2"/>
      <c r="L375" s="2"/>
    </row>
    <row r="376" spans="1:12">
      <c r="A376" s="12"/>
      <c r="B376" s="2"/>
      <c r="C376" s="2"/>
      <c r="D376" s="2"/>
      <c r="E376" s="2"/>
      <c r="F376" s="2"/>
      <c r="G376" s="5"/>
      <c r="H376" s="2"/>
      <c r="I376" s="2"/>
      <c r="J376" s="2"/>
      <c r="K376" s="2"/>
      <c r="L376" s="2"/>
    </row>
    <row r="377" spans="1:12">
      <c r="A377" s="12"/>
      <c r="B377" s="2"/>
      <c r="C377" s="2"/>
      <c r="D377" s="2"/>
      <c r="E377" s="2"/>
      <c r="F377" s="2"/>
      <c r="G377" s="5"/>
      <c r="H377" s="2"/>
      <c r="I377" s="2"/>
      <c r="J377" s="2"/>
      <c r="K377" s="2"/>
      <c r="L377" s="2"/>
    </row>
    <row r="378" spans="1:12">
      <c r="A378" s="12"/>
      <c r="B378" s="2"/>
      <c r="C378" s="2"/>
      <c r="D378" s="2"/>
      <c r="E378" s="2"/>
      <c r="F378" s="2"/>
      <c r="G378" s="5"/>
      <c r="H378" s="2"/>
      <c r="I378" s="2"/>
      <c r="J378" s="2"/>
      <c r="K378" s="2"/>
      <c r="L378" s="2"/>
    </row>
    <row r="379" spans="1:12">
      <c r="A379" s="12"/>
      <c r="B379" s="2"/>
      <c r="C379" s="2"/>
      <c r="D379" s="2"/>
      <c r="E379" s="2"/>
      <c r="F379" s="2"/>
      <c r="G379" s="5"/>
      <c r="H379" s="2"/>
      <c r="I379" s="2"/>
      <c r="J379" s="2"/>
      <c r="K379" s="2"/>
      <c r="L379" s="2"/>
    </row>
    <row r="380" spans="1:12">
      <c r="A380" s="12"/>
      <c r="B380" s="2"/>
      <c r="C380" s="2"/>
      <c r="D380" s="2"/>
      <c r="E380" s="2"/>
      <c r="F380" s="2"/>
      <c r="G380" s="5"/>
      <c r="H380" s="2"/>
      <c r="I380" s="2"/>
      <c r="J380" s="2"/>
      <c r="K380" s="2"/>
      <c r="L380" s="2"/>
    </row>
    <row r="381" spans="1:12">
      <c r="A381" s="12"/>
      <c r="B381" s="2"/>
      <c r="C381" s="2"/>
      <c r="D381" s="2"/>
      <c r="E381" s="2"/>
      <c r="F381" s="2"/>
      <c r="G381" s="5"/>
      <c r="H381" s="2"/>
      <c r="I381" s="2"/>
      <c r="J381" s="2"/>
      <c r="K381" s="2"/>
      <c r="L381" s="2"/>
    </row>
    <row r="382" spans="1:12">
      <c r="A382" s="12"/>
      <c r="B382" s="2"/>
      <c r="C382" s="2"/>
      <c r="D382" s="2"/>
      <c r="E382" s="2"/>
      <c r="F382" s="2"/>
      <c r="G382" s="5"/>
      <c r="H382" s="2"/>
      <c r="I382" s="2"/>
      <c r="J382" s="2"/>
      <c r="K382" s="2"/>
      <c r="L382" s="2"/>
    </row>
    <row r="383" spans="1:12">
      <c r="A383" s="12"/>
      <c r="B383" s="2"/>
      <c r="C383" s="2"/>
      <c r="D383" s="2"/>
      <c r="E383" s="2"/>
      <c r="F383" s="2"/>
      <c r="G383" s="5"/>
      <c r="H383" s="2"/>
      <c r="I383" s="2"/>
      <c r="J383" s="2"/>
      <c r="K383" s="2"/>
      <c r="L383" s="2"/>
    </row>
    <row r="384" spans="1:12">
      <c r="A384" s="12"/>
      <c r="B384" s="2"/>
      <c r="C384" s="2"/>
      <c r="D384" s="2"/>
      <c r="E384" s="2"/>
      <c r="F384" s="2"/>
      <c r="G384" s="5"/>
      <c r="H384" s="2"/>
      <c r="I384" s="2"/>
      <c r="J384" s="2"/>
      <c r="K384" s="2"/>
      <c r="L384" s="2"/>
    </row>
    <row r="385" spans="1:12">
      <c r="A385" s="12"/>
      <c r="B385" s="2"/>
      <c r="C385" s="2"/>
      <c r="D385" s="2"/>
      <c r="E385" s="2"/>
      <c r="F385" s="2"/>
      <c r="G385" s="5"/>
      <c r="H385" s="2"/>
      <c r="I385" s="2"/>
      <c r="J385" s="2"/>
      <c r="K385" s="2"/>
      <c r="L385" s="2"/>
    </row>
    <row r="386" spans="1:12">
      <c r="A386" s="12"/>
      <c r="B386" s="2"/>
      <c r="C386" s="2"/>
      <c r="D386" s="2"/>
      <c r="E386" s="2"/>
      <c r="F386" s="2"/>
      <c r="G386" s="5"/>
      <c r="H386" s="2"/>
      <c r="I386" s="2"/>
      <c r="J386" s="2"/>
      <c r="K386" s="2"/>
      <c r="L386" s="2"/>
    </row>
    <row r="387" spans="1:12">
      <c r="A387" s="12"/>
      <c r="B387" s="2"/>
      <c r="C387" s="2"/>
      <c r="D387" s="2"/>
      <c r="E387" s="2"/>
      <c r="F387" s="2"/>
      <c r="G387" s="5"/>
      <c r="H387" s="2"/>
      <c r="I387" s="2"/>
      <c r="J387" s="2"/>
      <c r="K387" s="2"/>
      <c r="L387" s="2"/>
    </row>
    <row r="388" spans="1:12">
      <c r="A388" s="12"/>
      <c r="B388" s="2"/>
      <c r="C388" s="2"/>
      <c r="D388" s="2"/>
      <c r="E388" s="2"/>
      <c r="F388" s="2"/>
      <c r="G388" s="5"/>
      <c r="H388" s="2"/>
      <c r="I388" s="2"/>
      <c r="J388" s="2"/>
      <c r="K388" s="2"/>
      <c r="L388" s="2"/>
    </row>
    <row r="389" spans="1:12">
      <c r="A389" s="12"/>
      <c r="B389" s="2"/>
      <c r="C389" s="2"/>
      <c r="D389" s="2"/>
      <c r="E389" s="2"/>
      <c r="F389" s="2"/>
      <c r="G389" s="5"/>
      <c r="H389" s="2"/>
      <c r="I389" s="2"/>
      <c r="J389" s="2"/>
      <c r="K389" s="2"/>
      <c r="L389" s="2"/>
    </row>
    <row r="390" spans="1:12">
      <c r="A390" s="12"/>
      <c r="B390" s="2"/>
      <c r="C390" s="2"/>
      <c r="D390" s="2"/>
      <c r="E390" s="2"/>
      <c r="F390" s="2"/>
      <c r="G390" s="5"/>
      <c r="H390" s="2"/>
      <c r="I390" s="2"/>
      <c r="J390" s="2"/>
      <c r="K390" s="2"/>
      <c r="L390" s="2"/>
    </row>
    <row r="391" spans="1:12">
      <c r="A391" s="12"/>
      <c r="B391" s="2"/>
      <c r="C391" s="2"/>
      <c r="D391" s="2"/>
      <c r="E391" s="2"/>
      <c r="F391" s="2"/>
      <c r="G391" s="5"/>
      <c r="H391" s="2"/>
      <c r="I391" s="2"/>
      <c r="J391" s="2"/>
      <c r="K391" s="2"/>
      <c r="L391" s="2"/>
    </row>
    <row r="392" spans="1:12">
      <c r="A392" s="12"/>
      <c r="B392" s="2"/>
      <c r="C392" s="2"/>
      <c r="D392" s="2"/>
      <c r="E392" s="2"/>
      <c r="F392" s="2"/>
      <c r="G392" s="5"/>
      <c r="H392" s="2"/>
      <c r="I392" s="2"/>
      <c r="J392" s="2"/>
      <c r="K392" s="2"/>
      <c r="L392" s="2"/>
    </row>
    <row r="393" spans="1:12">
      <c r="A393" s="12"/>
      <c r="B393" s="2"/>
      <c r="C393" s="2"/>
      <c r="D393" s="2"/>
      <c r="E393" s="2"/>
      <c r="F393" s="2"/>
      <c r="G393" s="5"/>
      <c r="H393" s="2"/>
      <c r="I393" s="2"/>
      <c r="J393" s="2"/>
      <c r="K393" s="2"/>
      <c r="L393" s="2"/>
    </row>
    <row r="394" spans="1:12">
      <c r="A394" s="12"/>
      <c r="B394" s="2"/>
      <c r="C394" s="2"/>
      <c r="D394" s="2"/>
      <c r="E394" s="2"/>
      <c r="F394" s="2"/>
      <c r="G394" s="5"/>
      <c r="H394" s="2"/>
      <c r="I394" s="2"/>
      <c r="J394" s="2"/>
      <c r="K394" s="2"/>
      <c r="L394" s="2"/>
    </row>
    <row r="395" spans="1:12">
      <c r="A395" s="12"/>
      <c r="B395" s="2"/>
      <c r="C395" s="2"/>
      <c r="D395" s="2"/>
      <c r="E395" s="2"/>
      <c r="F395" s="2"/>
      <c r="G395" s="5"/>
      <c r="H395" s="2"/>
      <c r="I395" s="2"/>
      <c r="J395" s="2"/>
      <c r="K395" s="2"/>
      <c r="L395" s="2"/>
    </row>
    <row r="396" spans="1:12">
      <c r="A396" s="12"/>
      <c r="B396" s="2"/>
      <c r="C396" s="2"/>
      <c r="D396" s="2"/>
      <c r="E396" s="2"/>
      <c r="F396" s="2"/>
      <c r="G396" s="5"/>
      <c r="H396" s="2"/>
      <c r="I396" s="2"/>
      <c r="J396" s="2"/>
      <c r="K396" s="2"/>
      <c r="L396" s="2"/>
    </row>
    <row r="397" spans="1:12">
      <c r="A397" s="12"/>
      <c r="B397" s="2"/>
      <c r="C397" s="2"/>
      <c r="D397" s="2"/>
      <c r="E397" s="2"/>
      <c r="F397" s="2"/>
      <c r="G397" s="5"/>
      <c r="H397" s="2"/>
      <c r="I397" s="2"/>
      <c r="J397" s="2"/>
      <c r="K397" s="2"/>
      <c r="L397" s="2"/>
    </row>
    <row r="398" spans="1:12">
      <c r="A398" s="12"/>
      <c r="B398" s="2"/>
      <c r="C398" s="2"/>
      <c r="D398" s="2"/>
      <c r="E398" s="2"/>
      <c r="F398" s="2"/>
      <c r="G398" s="5"/>
      <c r="H398" s="2"/>
      <c r="I398" s="2"/>
      <c r="J398" s="2"/>
      <c r="K398" s="2"/>
      <c r="L398" s="2"/>
    </row>
    <row r="399" spans="1:12">
      <c r="A399" s="12"/>
      <c r="B399" s="2"/>
      <c r="C399" s="2"/>
      <c r="D399" s="2"/>
      <c r="E399" s="2"/>
      <c r="F399" s="2"/>
      <c r="G399" s="5"/>
      <c r="H399" s="2"/>
      <c r="I399" s="2"/>
      <c r="J399" s="2"/>
      <c r="K399" s="2"/>
      <c r="L399" s="2"/>
    </row>
    <row r="400" spans="1:12">
      <c r="A400" s="12"/>
      <c r="B400" s="2"/>
      <c r="C400" s="2"/>
      <c r="D400" s="2"/>
      <c r="E400" s="2"/>
      <c r="F400" s="2"/>
      <c r="G400" s="5"/>
      <c r="H400" s="2"/>
      <c r="I400" s="2"/>
      <c r="J400" s="2"/>
      <c r="K400" s="2"/>
      <c r="L400" s="2"/>
    </row>
    <row r="401" spans="1:12">
      <c r="A401" s="12"/>
      <c r="B401" s="2"/>
      <c r="C401" s="2"/>
      <c r="D401" s="2"/>
      <c r="E401" s="2"/>
      <c r="F401" s="2"/>
      <c r="G401" s="5"/>
      <c r="H401" s="2"/>
      <c r="I401" s="2"/>
      <c r="J401" s="2"/>
      <c r="K401" s="2"/>
      <c r="L401" s="2"/>
    </row>
    <row r="402" spans="1:12">
      <c r="A402" s="12"/>
      <c r="B402" s="2"/>
      <c r="C402" s="2"/>
      <c r="D402" s="2"/>
      <c r="E402" s="2"/>
      <c r="F402" s="2"/>
      <c r="G402" s="5"/>
      <c r="H402" s="2"/>
      <c r="I402" s="2"/>
      <c r="J402" s="2"/>
      <c r="K402" s="2"/>
      <c r="L402" s="2"/>
    </row>
    <row r="403" spans="1:12">
      <c r="A403" s="12"/>
      <c r="B403" s="2"/>
      <c r="C403" s="2"/>
      <c r="D403" s="2"/>
      <c r="E403" s="2"/>
      <c r="F403" s="2"/>
      <c r="G403" s="5"/>
      <c r="H403" s="2"/>
      <c r="I403" s="2"/>
      <c r="J403" s="2"/>
      <c r="K403" s="2"/>
      <c r="L403" s="2"/>
    </row>
    <row r="404" spans="1:12">
      <c r="A404" s="12"/>
      <c r="B404" s="2"/>
      <c r="C404" s="2"/>
      <c r="D404" s="2"/>
      <c r="E404" s="2"/>
      <c r="F404" s="2"/>
      <c r="G404" s="5"/>
      <c r="H404" s="2"/>
      <c r="I404" s="2"/>
      <c r="J404" s="2"/>
      <c r="K404" s="2"/>
      <c r="L404" s="2"/>
    </row>
    <row r="405" spans="1:12">
      <c r="A405" s="12"/>
      <c r="B405" s="2"/>
      <c r="C405" s="2"/>
      <c r="D405" s="2"/>
      <c r="E405" s="2"/>
      <c r="F405" s="2"/>
      <c r="G405" s="5"/>
      <c r="H405" s="2"/>
      <c r="I405" s="2"/>
      <c r="J405" s="2"/>
      <c r="K405" s="2"/>
      <c r="L405" s="2"/>
    </row>
    <row r="406" spans="1:12">
      <c r="A406" s="12"/>
      <c r="B406" s="2"/>
      <c r="C406" s="2"/>
      <c r="D406" s="2"/>
      <c r="E406" s="2"/>
      <c r="F406" s="2"/>
      <c r="G406" s="5"/>
      <c r="H406" s="2"/>
      <c r="I406" s="2"/>
      <c r="J406" s="2"/>
      <c r="K406" s="2"/>
      <c r="L406" s="2"/>
    </row>
    <row r="407" spans="1:12">
      <c r="A407" s="12"/>
      <c r="B407" s="2"/>
      <c r="C407" s="2"/>
      <c r="D407" s="2"/>
      <c r="E407" s="2"/>
      <c r="F407" s="2"/>
      <c r="G407" s="5"/>
      <c r="H407" s="2"/>
      <c r="I407" s="2"/>
      <c r="J407" s="2"/>
      <c r="K407" s="2"/>
      <c r="L407" s="2"/>
    </row>
    <row r="408" spans="1:12">
      <c r="A408" s="12"/>
      <c r="B408" s="2"/>
      <c r="C408" s="2"/>
      <c r="D408" s="2"/>
      <c r="E408" s="2"/>
      <c r="F408" s="2"/>
      <c r="G408" s="5"/>
      <c r="H408" s="2"/>
      <c r="I408" s="2"/>
      <c r="J408" s="2"/>
      <c r="K408" s="2"/>
      <c r="L408" s="2"/>
    </row>
    <row r="409" spans="1:12">
      <c r="A409" s="12"/>
      <c r="B409" s="2"/>
      <c r="C409" s="2"/>
      <c r="D409" s="2"/>
      <c r="E409" s="2"/>
      <c r="F409" s="2"/>
      <c r="G409" s="5"/>
      <c r="H409" s="2"/>
      <c r="I409" s="2"/>
      <c r="J409" s="2"/>
      <c r="K409" s="2"/>
      <c r="L409" s="2"/>
    </row>
    <row r="410" spans="1:12">
      <c r="A410" s="12"/>
      <c r="B410" s="2"/>
      <c r="C410" s="2"/>
      <c r="D410" s="2"/>
      <c r="E410" s="2"/>
      <c r="F410" s="2"/>
      <c r="G410" s="5"/>
      <c r="H410" s="2"/>
      <c r="I410" s="2"/>
      <c r="J410" s="2"/>
      <c r="K410" s="2"/>
      <c r="L410" s="2"/>
    </row>
    <row r="411" spans="1:12">
      <c r="A411" s="12"/>
      <c r="B411" s="2"/>
      <c r="C411" s="2"/>
      <c r="D411" s="2"/>
      <c r="E411" s="2"/>
      <c r="F411" s="2"/>
      <c r="G411" s="5"/>
      <c r="H411" s="2"/>
      <c r="I411" s="2"/>
      <c r="J411" s="2"/>
      <c r="K411" s="2"/>
      <c r="L411" s="2"/>
    </row>
    <row r="412" spans="1:12">
      <c r="A412" s="12"/>
      <c r="B412" s="2"/>
      <c r="C412" s="2"/>
      <c r="D412" s="2"/>
      <c r="E412" s="2"/>
      <c r="F412" s="2"/>
      <c r="G412" s="5"/>
      <c r="H412" s="2"/>
      <c r="I412" s="2"/>
      <c r="J412" s="2"/>
      <c r="K412" s="2"/>
      <c r="L412" s="2"/>
    </row>
    <row r="413" spans="1:12">
      <c r="A413" s="12"/>
      <c r="B413" s="2"/>
      <c r="C413" s="2"/>
      <c r="D413" s="2"/>
      <c r="E413" s="2"/>
      <c r="F413" s="2"/>
      <c r="G413" s="5"/>
      <c r="H413" s="2"/>
      <c r="I413" s="2"/>
      <c r="J413" s="2"/>
      <c r="K413" s="2"/>
      <c r="L413" s="2"/>
    </row>
    <row r="414" spans="1:12">
      <c r="A414" s="12"/>
      <c r="B414" s="2"/>
      <c r="C414" s="2"/>
      <c r="D414" s="2"/>
      <c r="E414" s="2"/>
      <c r="F414" s="2"/>
      <c r="G414" s="5"/>
      <c r="H414" s="2"/>
      <c r="I414" s="2"/>
      <c r="J414" s="2"/>
      <c r="K414" s="2"/>
      <c r="L414" s="2"/>
    </row>
    <row r="415" spans="1:12">
      <c r="A415" s="12"/>
      <c r="B415" s="2"/>
      <c r="C415" s="2"/>
      <c r="D415" s="2"/>
      <c r="E415" s="2"/>
      <c r="F415" s="2"/>
      <c r="G415" s="5"/>
      <c r="H415" s="2"/>
      <c r="I415" s="2"/>
      <c r="J415" s="2"/>
      <c r="K415" s="2"/>
      <c r="L415" s="2"/>
    </row>
    <row r="416" spans="1:12">
      <c r="A416" s="12"/>
      <c r="B416" s="2"/>
      <c r="C416" s="2"/>
      <c r="D416" s="2"/>
      <c r="E416" s="2"/>
      <c r="F416" s="2"/>
      <c r="G416" s="5"/>
      <c r="H416" s="2"/>
      <c r="I416" s="2"/>
      <c r="J416" s="2"/>
      <c r="K416" s="2"/>
      <c r="L416" s="2"/>
    </row>
    <row r="417" spans="1:12">
      <c r="A417" s="12"/>
      <c r="B417" s="2"/>
      <c r="C417" s="2"/>
      <c r="D417" s="2"/>
      <c r="E417" s="2"/>
      <c r="F417" s="2"/>
      <c r="G417" s="5"/>
      <c r="H417" s="2"/>
      <c r="I417" s="2"/>
      <c r="J417" s="2"/>
      <c r="K417" s="2"/>
      <c r="L417" s="2"/>
    </row>
    <row r="418" spans="1:12">
      <c r="A418" s="12"/>
      <c r="B418" s="2"/>
      <c r="C418" s="2"/>
      <c r="D418" s="2"/>
      <c r="E418" s="2"/>
      <c r="F418" s="2"/>
      <c r="G418" s="5"/>
      <c r="H418" s="2"/>
      <c r="I418" s="2"/>
      <c r="J418" s="2"/>
      <c r="K418" s="2"/>
      <c r="L418" s="2"/>
    </row>
    <row r="419" spans="1:12">
      <c r="A419" s="12"/>
      <c r="B419" s="2"/>
      <c r="C419" s="2"/>
      <c r="D419" s="2"/>
      <c r="E419" s="2"/>
      <c r="F419" s="2"/>
      <c r="G419" s="5"/>
      <c r="H419" s="2"/>
      <c r="I419" s="2"/>
      <c r="J419" s="2"/>
      <c r="K419" s="2"/>
      <c r="L419" s="2"/>
    </row>
    <row r="420" spans="1:12">
      <c r="A420" s="12"/>
      <c r="B420" s="2"/>
      <c r="C420" s="2"/>
      <c r="D420" s="2"/>
      <c r="E420" s="2"/>
      <c r="F420" s="2"/>
      <c r="G420" s="5"/>
      <c r="H420" s="2"/>
      <c r="I420" s="2"/>
      <c r="J420" s="2"/>
      <c r="K420" s="2"/>
      <c r="L420" s="2"/>
    </row>
    <row r="421" spans="1:12">
      <c r="A421" s="12"/>
      <c r="B421" s="2"/>
      <c r="C421" s="2"/>
      <c r="D421" s="2"/>
      <c r="E421" s="2"/>
      <c r="F421" s="2"/>
      <c r="G421" s="5"/>
      <c r="H421" s="2"/>
      <c r="I421" s="2"/>
      <c r="J421" s="2"/>
      <c r="K421" s="2"/>
      <c r="L421" s="2"/>
    </row>
    <row r="422" spans="1:12">
      <c r="A422" s="12"/>
      <c r="B422" s="2"/>
      <c r="C422" s="2"/>
      <c r="D422" s="2"/>
      <c r="E422" s="2"/>
      <c r="F422" s="2"/>
      <c r="G422" s="5"/>
      <c r="H422" s="2"/>
      <c r="I422" s="2"/>
      <c r="J422" s="2"/>
      <c r="K422" s="2"/>
      <c r="L422" s="2"/>
    </row>
    <row r="423" spans="1:12">
      <c r="A423" s="12"/>
      <c r="B423" s="2"/>
      <c r="C423" s="2"/>
      <c r="D423" s="2"/>
      <c r="E423" s="2"/>
      <c r="F423" s="2"/>
      <c r="G423" s="5"/>
      <c r="H423" s="2"/>
      <c r="I423" s="2"/>
      <c r="J423" s="2"/>
      <c r="K423" s="2"/>
      <c r="L423" s="2"/>
    </row>
    <row r="424" spans="1:12">
      <c r="A424" s="12"/>
      <c r="B424" s="2"/>
      <c r="C424" s="2"/>
      <c r="D424" s="2"/>
      <c r="E424" s="2"/>
      <c r="F424" s="2"/>
      <c r="G424" s="5"/>
      <c r="H424" s="2"/>
      <c r="I424" s="2"/>
      <c r="J424" s="2"/>
      <c r="K424" s="2"/>
      <c r="L424" s="2"/>
    </row>
    <row r="425" spans="1:12">
      <c r="A425" s="12"/>
      <c r="B425" s="2"/>
      <c r="C425" s="2"/>
      <c r="D425" s="2"/>
      <c r="E425" s="2"/>
      <c r="F425" s="2"/>
      <c r="G425" s="5"/>
      <c r="H425" s="2"/>
      <c r="I425" s="2"/>
      <c r="J425" s="2"/>
      <c r="K425" s="2"/>
      <c r="L425" s="2"/>
    </row>
    <row r="426" spans="1:12">
      <c r="A426" s="12"/>
      <c r="B426" s="2"/>
      <c r="C426" s="2"/>
      <c r="D426" s="2"/>
      <c r="E426" s="2"/>
      <c r="F426" s="2"/>
      <c r="G426" s="5"/>
      <c r="H426" s="2"/>
      <c r="I426" s="2"/>
      <c r="J426" s="2"/>
      <c r="K426" s="2"/>
      <c r="L426" s="2"/>
    </row>
    <row r="427" spans="1:12">
      <c r="A427" s="12"/>
      <c r="B427" s="2"/>
      <c r="C427" s="2"/>
      <c r="D427" s="2"/>
      <c r="E427" s="2"/>
      <c r="F427" s="2"/>
      <c r="G427" s="5"/>
      <c r="H427" s="2"/>
      <c r="I427" s="2"/>
      <c r="J427" s="2"/>
      <c r="K427" s="2"/>
      <c r="L427" s="2"/>
    </row>
    <row r="428" spans="1:12">
      <c r="A428" s="12"/>
      <c r="B428" s="2"/>
      <c r="C428" s="2"/>
      <c r="D428" s="2"/>
      <c r="E428" s="2"/>
      <c r="F428" s="2"/>
      <c r="G428" s="5"/>
      <c r="H428" s="2"/>
      <c r="I428" s="2"/>
      <c r="J428" s="2"/>
      <c r="K428" s="2"/>
      <c r="L428" s="2"/>
    </row>
    <row r="429" spans="1:12">
      <c r="A429" s="12"/>
      <c r="B429" s="2"/>
      <c r="C429" s="2"/>
      <c r="D429" s="2"/>
      <c r="E429" s="2"/>
      <c r="F429" s="2"/>
      <c r="G429" s="5"/>
      <c r="H429" s="2"/>
      <c r="I429" s="2"/>
      <c r="J429" s="2"/>
      <c r="K429" s="2"/>
      <c r="L429" s="2"/>
    </row>
    <row r="430" spans="1:12">
      <c r="A430" s="12"/>
      <c r="B430" s="2"/>
      <c r="C430" s="2"/>
      <c r="D430" s="2"/>
      <c r="E430" s="2"/>
      <c r="F430" s="2"/>
      <c r="G430" s="5"/>
      <c r="H430" s="2"/>
      <c r="I430" s="2"/>
      <c r="J430" s="2"/>
      <c r="K430" s="2"/>
      <c r="L430" s="2"/>
    </row>
    <row r="431" spans="1:12">
      <c r="A431" s="12"/>
      <c r="B431" s="2"/>
      <c r="C431" s="2"/>
      <c r="D431" s="2"/>
      <c r="E431" s="2"/>
      <c r="F431" s="2"/>
      <c r="G431" s="5"/>
      <c r="H431" s="2"/>
      <c r="I431" s="2"/>
      <c r="J431" s="2"/>
      <c r="K431" s="2"/>
      <c r="L431" s="2"/>
    </row>
    <row r="432" spans="1:12">
      <c r="A432" s="12"/>
      <c r="B432" s="2"/>
      <c r="C432" s="2"/>
      <c r="D432" s="2"/>
      <c r="E432" s="2"/>
      <c r="F432" s="2"/>
      <c r="G432" s="5"/>
      <c r="H432" s="2"/>
      <c r="I432" s="2"/>
      <c r="J432" s="2"/>
      <c r="K432" s="2"/>
      <c r="L432" s="2"/>
    </row>
    <row r="433" spans="1:12">
      <c r="A433" s="12"/>
      <c r="B433" s="2"/>
      <c r="C433" s="2"/>
      <c r="D433" s="2"/>
      <c r="E433" s="2"/>
      <c r="F433" s="2"/>
      <c r="G433" s="5"/>
      <c r="H433" s="2"/>
      <c r="I433" s="2"/>
      <c r="J433" s="2"/>
      <c r="K433" s="2"/>
      <c r="L433" s="2"/>
    </row>
    <row r="434" spans="1:12">
      <c r="A434" s="12"/>
      <c r="B434" s="2"/>
      <c r="C434" s="2"/>
      <c r="D434" s="2"/>
      <c r="E434" s="2"/>
      <c r="F434" s="2"/>
      <c r="G434" s="5"/>
      <c r="H434" s="2"/>
      <c r="I434" s="2"/>
      <c r="J434" s="2"/>
      <c r="K434" s="2"/>
      <c r="L434" s="2"/>
    </row>
    <row r="435" spans="1:12">
      <c r="A435" s="12"/>
      <c r="B435" s="2"/>
      <c r="C435" s="2"/>
      <c r="D435" s="2"/>
      <c r="E435" s="2"/>
      <c r="F435" s="2"/>
      <c r="G435" s="5"/>
      <c r="H435" s="2"/>
      <c r="I435" s="2"/>
      <c r="J435" s="2"/>
      <c r="K435" s="2"/>
      <c r="L435" s="2"/>
    </row>
    <row r="436" spans="1:12">
      <c r="A436" s="12"/>
      <c r="B436" s="2"/>
      <c r="C436" s="2"/>
      <c r="D436" s="2"/>
      <c r="E436" s="2"/>
      <c r="F436" s="2"/>
      <c r="G436" s="5"/>
      <c r="H436" s="2"/>
      <c r="I436" s="2"/>
      <c r="J436" s="2"/>
      <c r="K436" s="2"/>
      <c r="L436" s="2"/>
    </row>
    <row r="437" spans="1:12">
      <c r="A437" s="12"/>
      <c r="B437" s="2"/>
      <c r="C437" s="2"/>
      <c r="D437" s="2"/>
      <c r="E437" s="2"/>
      <c r="F437" s="2"/>
      <c r="G437" s="5"/>
      <c r="H437" s="2"/>
      <c r="I437" s="2"/>
      <c r="J437" s="2"/>
      <c r="K437" s="2"/>
      <c r="L437" s="2"/>
    </row>
    <row r="438" spans="1:12">
      <c r="A438" s="12"/>
      <c r="B438" s="2"/>
      <c r="C438" s="2"/>
      <c r="D438" s="2"/>
      <c r="E438" s="2"/>
      <c r="F438" s="2"/>
      <c r="G438" s="5"/>
      <c r="H438" s="2"/>
      <c r="I438" s="2"/>
      <c r="J438" s="2"/>
      <c r="K438" s="2"/>
      <c r="L438" s="2"/>
    </row>
    <row r="439" spans="1:12">
      <c r="A439" s="12"/>
      <c r="B439" s="2"/>
      <c r="C439" s="2"/>
      <c r="D439" s="2"/>
      <c r="E439" s="2"/>
      <c r="F439" s="2"/>
      <c r="G439" s="5"/>
      <c r="H439" s="2"/>
      <c r="I439" s="2"/>
      <c r="J439" s="2"/>
      <c r="K439" s="2"/>
      <c r="L439" s="2"/>
    </row>
    <row r="440" spans="1:12">
      <c r="A440" s="12"/>
      <c r="B440" s="2"/>
      <c r="C440" s="2"/>
      <c r="D440" s="2"/>
      <c r="E440" s="2"/>
      <c r="F440" s="2"/>
      <c r="G440" s="5"/>
      <c r="H440" s="2"/>
      <c r="I440" s="2"/>
      <c r="J440" s="2"/>
      <c r="K440" s="2"/>
      <c r="L440" s="2"/>
    </row>
    <row r="441" spans="1:12">
      <c r="A441" s="12"/>
      <c r="B441" s="2"/>
      <c r="C441" s="2"/>
      <c r="D441" s="2"/>
      <c r="E441" s="2"/>
      <c r="F441" s="2"/>
      <c r="G441" s="5"/>
      <c r="H441" s="2"/>
      <c r="I441" s="2"/>
      <c r="J441" s="2"/>
      <c r="K441" s="2"/>
      <c r="L441" s="2"/>
    </row>
    <row r="442" spans="1:12">
      <c r="A442" s="12"/>
      <c r="B442" s="2"/>
      <c r="C442" s="2"/>
      <c r="D442" s="2"/>
      <c r="E442" s="2"/>
      <c r="F442" s="2"/>
      <c r="G442" s="5"/>
      <c r="H442" s="2"/>
      <c r="I442" s="2"/>
      <c r="J442" s="2"/>
      <c r="K442" s="2"/>
      <c r="L442" s="2"/>
    </row>
    <row r="443" spans="1:12">
      <c r="A443" s="12"/>
      <c r="B443" s="2"/>
      <c r="C443" s="2"/>
      <c r="D443" s="2"/>
      <c r="E443" s="2"/>
      <c r="F443" s="2"/>
      <c r="G443" s="5"/>
      <c r="H443" s="2"/>
      <c r="I443" s="2"/>
      <c r="J443" s="2"/>
      <c r="K443" s="2"/>
      <c r="L443" s="2"/>
    </row>
    <row r="444" spans="1:12">
      <c r="A444" s="12"/>
      <c r="B444" s="2"/>
      <c r="C444" s="2"/>
      <c r="D444" s="2"/>
      <c r="E444" s="2"/>
      <c r="F444" s="2"/>
      <c r="G444" s="5"/>
      <c r="H444" s="2"/>
      <c r="I444" s="2"/>
      <c r="J444" s="2"/>
      <c r="K444" s="2"/>
      <c r="L444" s="2"/>
    </row>
    <row r="445" spans="1:12">
      <c r="A445" s="12"/>
      <c r="B445" s="2"/>
      <c r="C445" s="2"/>
      <c r="D445" s="2"/>
      <c r="E445" s="2"/>
      <c r="F445" s="2"/>
      <c r="G445" s="5"/>
      <c r="H445" s="2"/>
      <c r="I445" s="2"/>
      <c r="J445" s="2"/>
      <c r="K445" s="2"/>
      <c r="L445" s="2"/>
    </row>
    <row r="446" spans="1:12">
      <c r="A446" s="12"/>
      <c r="B446" s="2"/>
      <c r="C446" s="2"/>
      <c r="D446" s="2"/>
      <c r="E446" s="2"/>
      <c r="F446" s="2"/>
      <c r="G446" s="5"/>
      <c r="H446" s="2"/>
      <c r="I446" s="2"/>
      <c r="J446" s="2"/>
      <c r="K446" s="2"/>
      <c r="L446" s="2"/>
    </row>
    <row r="447" spans="1:12">
      <c r="A447" s="12"/>
      <c r="B447" s="2"/>
      <c r="C447" s="2"/>
      <c r="D447" s="2"/>
      <c r="E447" s="2"/>
      <c r="F447" s="2"/>
      <c r="G447" s="5"/>
      <c r="H447" s="2"/>
      <c r="I447" s="2"/>
      <c r="J447" s="2"/>
      <c r="K447" s="2"/>
      <c r="L447" s="2"/>
    </row>
    <row r="448" spans="1:12">
      <c r="A448" s="12"/>
      <c r="B448" s="2"/>
      <c r="C448" s="2"/>
      <c r="D448" s="2"/>
      <c r="E448" s="2"/>
      <c r="F448" s="2"/>
      <c r="G448" s="5"/>
      <c r="H448" s="2"/>
      <c r="I448" s="2"/>
      <c r="J448" s="2"/>
      <c r="K448" s="2"/>
      <c r="L448" s="2"/>
    </row>
    <row r="449" spans="1:12">
      <c r="A449" s="12"/>
      <c r="B449" s="2"/>
      <c r="C449" s="2"/>
      <c r="D449" s="2"/>
      <c r="E449" s="2"/>
      <c r="F449" s="2"/>
      <c r="G449" s="5"/>
      <c r="H449" s="2"/>
      <c r="I449" s="2"/>
      <c r="J449" s="2"/>
      <c r="K449" s="2"/>
      <c r="L449" s="2"/>
    </row>
    <row r="450" spans="1:12">
      <c r="A450" s="12"/>
      <c r="B450" s="2"/>
      <c r="C450" s="2"/>
      <c r="D450" s="2"/>
      <c r="E450" s="2"/>
      <c r="F450" s="2"/>
      <c r="G450" s="5"/>
      <c r="H450" s="2"/>
      <c r="I450" s="2"/>
      <c r="J450" s="2"/>
      <c r="K450" s="2"/>
      <c r="L450" s="2"/>
    </row>
    <row r="451" spans="1:12">
      <c r="A451" s="12"/>
      <c r="B451" s="2"/>
      <c r="C451" s="2"/>
      <c r="D451" s="2"/>
      <c r="E451" s="2"/>
      <c r="F451" s="2"/>
      <c r="G451" s="5"/>
      <c r="H451" s="2"/>
      <c r="I451" s="2"/>
      <c r="J451" s="2"/>
      <c r="K451" s="2"/>
      <c r="L451" s="2"/>
    </row>
    <row r="452" spans="1:12">
      <c r="A452" s="12"/>
      <c r="B452" s="2"/>
      <c r="C452" s="2"/>
      <c r="D452" s="2"/>
      <c r="E452" s="2"/>
      <c r="F452" s="2"/>
      <c r="G452" s="5"/>
      <c r="H452" s="2"/>
      <c r="I452" s="2"/>
      <c r="J452" s="2"/>
      <c r="K452" s="2"/>
      <c r="L452" s="2"/>
    </row>
    <row r="453" spans="1:12">
      <c r="A453" s="12"/>
      <c r="B453" s="2"/>
      <c r="C453" s="2"/>
      <c r="D453" s="2"/>
      <c r="E453" s="2"/>
      <c r="F453" s="2"/>
      <c r="G453" s="5"/>
      <c r="H453" s="2"/>
      <c r="I453" s="2"/>
      <c r="J453" s="2"/>
      <c r="K453" s="2"/>
      <c r="L453" s="2"/>
    </row>
    <row r="454" spans="1:12">
      <c r="A454" s="12"/>
      <c r="B454" s="2"/>
      <c r="C454" s="2"/>
      <c r="D454" s="2"/>
      <c r="E454" s="2"/>
      <c r="F454" s="2"/>
      <c r="G454" s="5"/>
      <c r="H454" s="2"/>
      <c r="I454" s="2"/>
      <c r="J454" s="2"/>
      <c r="K454" s="2"/>
      <c r="L454" s="2"/>
    </row>
    <row r="455" spans="1:12">
      <c r="A455" s="12"/>
      <c r="B455" s="2"/>
      <c r="C455" s="2"/>
      <c r="D455" s="2"/>
      <c r="E455" s="2"/>
      <c r="F455" s="2"/>
      <c r="G455" s="5"/>
      <c r="H455" s="2"/>
      <c r="I455" s="2"/>
      <c r="J455" s="2"/>
      <c r="K455" s="2"/>
      <c r="L455" s="2"/>
    </row>
    <row r="456" spans="1:12">
      <c r="A456" s="12"/>
      <c r="B456" s="2"/>
      <c r="C456" s="2"/>
      <c r="D456" s="2"/>
      <c r="E456" s="2"/>
      <c r="F456" s="2"/>
      <c r="G456" s="5"/>
      <c r="H456" s="2"/>
      <c r="I456" s="2"/>
      <c r="J456" s="2"/>
      <c r="K456" s="2"/>
      <c r="L456" s="2"/>
    </row>
    <row r="457" spans="1:12">
      <c r="A457" s="12"/>
      <c r="B457" s="2"/>
      <c r="C457" s="2"/>
      <c r="D457" s="2"/>
      <c r="E457" s="2"/>
      <c r="F457" s="2"/>
      <c r="G457" s="5"/>
      <c r="H457" s="2"/>
      <c r="I457" s="2"/>
      <c r="J457" s="2"/>
      <c r="K457" s="2"/>
      <c r="L457" s="2"/>
    </row>
    <row r="458" spans="1:12">
      <c r="A458" s="12"/>
      <c r="B458" s="2"/>
      <c r="C458" s="2"/>
      <c r="D458" s="2"/>
      <c r="E458" s="2"/>
      <c r="F458" s="2"/>
      <c r="G458" s="5"/>
      <c r="H458" s="2"/>
      <c r="I458" s="2"/>
      <c r="J458" s="2"/>
      <c r="K458" s="2"/>
      <c r="L458" s="2"/>
    </row>
    <row r="459" spans="1:12">
      <c r="A459" s="12"/>
      <c r="B459" s="2"/>
      <c r="C459" s="2"/>
      <c r="D459" s="2"/>
      <c r="E459" s="2"/>
      <c r="F459" s="2"/>
      <c r="G459" s="5"/>
      <c r="H459" s="2"/>
      <c r="I459" s="2"/>
      <c r="J459" s="2"/>
      <c r="K459" s="2"/>
      <c r="L459" s="2"/>
    </row>
    <row r="460" spans="1:12">
      <c r="A460" s="12"/>
      <c r="B460" s="2"/>
      <c r="C460" s="2"/>
      <c r="D460" s="2"/>
      <c r="E460" s="2"/>
      <c r="F460" s="2"/>
      <c r="G460" s="5"/>
      <c r="H460" s="2"/>
      <c r="I460" s="2"/>
      <c r="J460" s="2"/>
      <c r="K460" s="2"/>
      <c r="L460" s="2"/>
    </row>
    <row r="461" spans="1:12">
      <c r="A461" s="12"/>
      <c r="B461" s="2"/>
      <c r="C461" s="2"/>
      <c r="D461" s="2"/>
      <c r="E461" s="2"/>
      <c r="F461" s="2"/>
      <c r="G461" s="5"/>
      <c r="H461" s="2"/>
      <c r="I461" s="2"/>
      <c r="J461" s="2"/>
      <c r="K461" s="2"/>
      <c r="L461" s="2"/>
    </row>
    <row r="462" spans="1:12">
      <c r="A462" s="12"/>
      <c r="B462" s="2"/>
      <c r="C462" s="2"/>
      <c r="D462" s="2"/>
      <c r="E462" s="2"/>
      <c r="F462" s="2"/>
      <c r="G462" s="5"/>
      <c r="H462" s="2"/>
      <c r="I462" s="2"/>
      <c r="J462" s="2"/>
      <c r="K462" s="2"/>
      <c r="L462" s="2"/>
    </row>
    <row r="463" spans="1:12">
      <c r="A463" s="12"/>
      <c r="B463" s="2"/>
      <c r="C463" s="2"/>
      <c r="D463" s="2"/>
      <c r="E463" s="2"/>
      <c r="F463" s="2"/>
      <c r="G463" s="5"/>
      <c r="H463" s="2"/>
      <c r="I463" s="2"/>
      <c r="J463" s="2"/>
      <c r="K463" s="2"/>
      <c r="L463" s="2"/>
    </row>
    <row r="464" spans="1:12">
      <c r="A464" s="12"/>
      <c r="B464" s="2"/>
      <c r="C464" s="2"/>
      <c r="D464" s="2"/>
      <c r="E464" s="2"/>
      <c r="F464" s="2"/>
      <c r="G464" s="5"/>
      <c r="H464" s="2"/>
      <c r="I464" s="2"/>
      <c r="J464" s="2"/>
      <c r="K464" s="2"/>
      <c r="L464" s="2"/>
    </row>
    <row r="465" spans="1:12">
      <c r="A465" s="12"/>
      <c r="B465" s="2"/>
      <c r="C465" s="2"/>
      <c r="D465" s="2"/>
      <c r="E465" s="2"/>
      <c r="F465" s="2"/>
      <c r="G465" s="5"/>
      <c r="H465" s="2"/>
      <c r="I465" s="2"/>
      <c r="J465" s="2"/>
      <c r="K465" s="2"/>
      <c r="L465" s="2"/>
    </row>
    <row r="466" spans="1:12">
      <c r="A466" s="12"/>
      <c r="B466" s="2"/>
      <c r="C466" s="2"/>
      <c r="D466" s="2"/>
      <c r="E466" s="2"/>
      <c r="F466" s="2"/>
      <c r="G466" s="5"/>
      <c r="H466" s="2"/>
      <c r="I466" s="2"/>
      <c r="J466" s="2"/>
      <c r="K466" s="2"/>
      <c r="L466" s="2"/>
    </row>
    <row r="467" spans="1:12">
      <c r="A467" s="12"/>
      <c r="B467" s="2"/>
      <c r="C467" s="2"/>
      <c r="D467" s="2"/>
      <c r="E467" s="2"/>
      <c r="F467" s="2"/>
      <c r="G467" s="5"/>
      <c r="H467" s="2"/>
      <c r="I467" s="2"/>
      <c r="J467" s="2"/>
      <c r="K467" s="2"/>
      <c r="L467" s="2"/>
    </row>
    <row r="468" spans="1:12">
      <c r="A468" s="12"/>
      <c r="B468" s="2"/>
      <c r="C468" s="2"/>
      <c r="D468" s="2"/>
      <c r="E468" s="2"/>
      <c r="F468" s="2"/>
      <c r="G468" s="5"/>
      <c r="H468" s="2"/>
      <c r="I468" s="2"/>
      <c r="J468" s="2"/>
      <c r="K468" s="2"/>
      <c r="L468" s="2"/>
    </row>
    <row r="469" spans="1:12">
      <c r="A469" s="12"/>
      <c r="B469" s="2"/>
      <c r="C469" s="2"/>
      <c r="D469" s="2"/>
      <c r="E469" s="2"/>
      <c r="F469" s="2"/>
      <c r="G469" s="5"/>
      <c r="H469" s="2"/>
      <c r="I469" s="2"/>
      <c r="J469" s="2"/>
      <c r="K469" s="2"/>
      <c r="L469" s="2"/>
    </row>
    <row r="470" spans="1:12">
      <c r="A470" s="12"/>
      <c r="B470" s="2"/>
      <c r="C470" s="2"/>
      <c r="D470" s="2"/>
      <c r="E470" s="2"/>
      <c r="F470" s="2"/>
      <c r="G470" s="5"/>
      <c r="H470" s="2"/>
      <c r="I470" s="2"/>
      <c r="J470" s="2"/>
      <c r="K470" s="2"/>
      <c r="L470" s="2"/>
    </row>
    <row r="471" spans="1:12">
      <c r="A471" s="12"/>
      <c r="B471" s="2"/>
      <c r="C471" s="2"/>
      <c r="D471" s="2"/>
      <c r="E471" s="2"/>
      <c r="F471" s="2"/>
      <c r="G471" s="5"/>
      <c r="H471" s="2"/>
      <c r="I471" s="2"/>
      <c r="J471" s="2"/>
      <c r="K471" s="2"/>
      <c r="L471" s="2"/>
    </row>
    <row r="472" spans="1:12">
      <c r="A472" s="12"/>
      <c r="B472" s="2"/>
      <c r="C472" s="2"/>
      <c r="D472" s="2"/>
      <c r="E472" s="2"/>
      <c r="F472" s="2"/>
      <c r="G472" s="5"/>
      <c r="H472" s="2"/>
      <c r="I472" s="2"/>
      <c r="J472" s="2"/>
      <c r="K472" s="2"/>
      <c r="L472" s="2"/>
    </row>
    <row r="473" spans="1:12">
      <c r="A473" s="12"/>
      <c r="B473" s="2"/>
      <c r="C473" s="2"/>
      <c r="D473" s="2"/>
      <c r="E473" s="2"/>
      <c r="F473" s="2"/>
      <c r="G473" s="5"/>
      <c r="H473" s="2"/>
      <c r="I473" s="2"/>
      <c r="J473" s="2"/>
      <c r="K473" s="2"/>
      <c r="L473" s="2"/>
    </row>
    <row r="474" spans="1:12">
      <c r="A474" s="12"/>
      <c r="B474" s="2"/>
      <c r="C474" s="2"/>
      <c r="D474" s="2"/>
      <c r="E474" s="2"/>
      <c r="F474" s="2"/>
      <c r="G474" s="5"/>
      <c r="H474" s="2"/>
      <c r="I474" s="2"/>
      <c r="J474" s="2"/>
      <c r="K474" s="2"/>
      <c r="L474" s="2"/>
    </row>
    <row r="475" spans="1:12">
      <c r="A475" s="12"/>
      <c r="B475" s="2"/>
      <c r="C475" s="2"/>
      <c r="D475" s="2"/>
      <c r="E475" s="2"/>
      <c r="F475" s="2"/>
      <c r="G475" s="5"/>
      <c r="H475" s="2"/>
      <c r="I475" s="2"/>
      <c r="J475" s="2"/>
      <c r="K475" s="2"/>
      <c r="L475" s="2"/>
    </row>
    <row r="476" spans="1:12">
      <c r="A476" s="12"/>
      <c r="B476" s="2"/>
      <c r="C476" s="2"/>
      <c r="D476" s="2"/>
      <c r="E476" s="2"/>
      <c r="F476" s="2"/>
      <c r="G476" s="5"/>
      <c r="H476" s="2"/>
      <c r="I476" s="2"/>
      <c r="J476" s="2"/>
      <c r="K476" s="2"/>
      <c r="L476" s="2"/>
    </row>
    <row r="477" spans="1:12">
      <c r="A477" s="12"/>
      <c r="B477" s="2"/>
      <c r="C477" s="2"/>
      <c r="D477" s="2"/>
      <c r="E477" s="2"/>
      <c r="F477" s="2"/>
      <c r="G477" s="5"/>
      <c r="H477" s="2"/>
      <c r="I477" s="2"/>
      <c r="J477" s="2"/>
      <c r="K477" s="2"/>
      <c r="L477" s="2"/>
    </row>
    <row r="478" spans="1:12">
      <c r="A478" s="12"/>
      <c r="B478" s="2"/>
      <c r="C478" s="2"/>
      <c r="D478" s="2"/>
      <c r="E478" s="2"/>
      <c r="F478" s="2"/>
      <c r="G478" s="5"/>
      <c r="H478" s="2"/>
      <c r="I478" s="2"/>
      <c r="J478" s="2"/>
      <c r="K478" s="2"/>
      <c r="L478" s="2"/>
    </row>
    <row r="479" spans="1:12">
      <c r="A479" s="12"/>
      <c r="B479" s="2"/>
      <c r="C479" s="2"/>
      <c r="D479" s="2"/>
      <c r="E479" s="2"/>
      <c r="F479" s="2"/>
      <c r="G479" s="5"/>
      <c r="H479" s="2"/>
      <c r="I479" s="2"/>
      <c r="J479" s="2"/>
      <c r="K479" s="2"/>
      <c r="L479" s="2"/>
    </row>
    <row r="480" spans="1:12">
      <c r="A480" s="12"/>
      <c r="B480" s="2"/>
      <c r="C480" s="2"/>
      <c r="D480" s="2"/>
      <c r="E480" s="2"/>
      <c r="F480" s="2"/>
      <c r="G480" s="5"/>
      <c r="H480" s="2"/>
      <c r="I480" s="2"/>
      <c r="J480" s="2"/>
      <c r="K480" s="2"/>
      <c r="L480" s="2"/>
    </row>
    <row r="481" spans="1:12">
      <c r="A481" s="12"/>
      <c r="B481" s="2"/>
      <c r="C481" s="2"/>
      <c r="D481" s="2"/>
      <c r="E481" s="2"/>
      <c r="F481" s="2"/>
      <c r="G481" s="5"/>
      <c r="H481" s="2"/>
      <c r="I481" s="2"/>
      <c r="J481" s="2"/>
      <c r="K481" s="2"/>
      <c r="L481" s="2"/>
    </row>
    <row r="482" spans="1:12">
      <c r="A482" s="12"/>
      <c r="B482" s="2"/>
      <c r="C482" s="2"/>
      <c r="D482" s="2"/>
      <c r="E482" s="2"/>
      <c r="F482" s="2"/>
      <c r="G482" s="5"/>
      <c r="H482" s="2"/>
      <c r="I482" s="2"/>
      <c r="J482" s="2"/>
      <c r="K482" s="2"/>
      <c r="L482" s="2"/>
    </row>
    <row r="483" spans="1:12">
      <c r="A483" s="12"/>
      <c r="B483" s="2"/>
      <c r="C483" s="2"/>
      <c r="D483" s="2"/>
      <c r="E483" s="2"/>
      <c r="F483" s="2"/>
      <c r="G483" s="5"/>
      <c r="H483" s="2"/>
      <c r="I483" s="2"/>
      <c r="J483" s="2"/>
      <c r="K483" s="2"/>
      <c r="L483" s="2"/>
    </row>
    <row r="484" spans="1:12">
      <c r="A484" s="12"/>
      <c r="B484" s="2"/>
      <c r="C484" s="2"/>
      <c r="D484" s="2"/>
      <c r="E484" s="2"/>
      <c r="F484" s="2"/>
      <c r="G484" s="5"/>
      <c r="H484" s="2"/>
      <c r="I484" s="2"/>
      <c r="J484" s="2"/>
      <c r="K484" s="2"/>
      <c r="L484" s="2"/>
    </row>
    <row r="485" spans="1:12">
      <c r="A485" s="12"/>
      <c r="B485" s="2"/>
      <c r="C485" s="2"/>
      <c r="D485" s="2"/>
      <c r="E485" s="2"/>
      <c r="F485" s="2"/>
      <c r="G485" s="5"/>
      <c r="H485" s="2"/>
      <c r="I485" s="2"/>
      <c r="J485" s="2"/>
      <c r="K485" s="2"/>
      <c r="L485" s="2"/>
    </row>
    <row r="486" spans="1:12">
      <c r="A486" s="12"/>
      <c r="B486" s="2"/>
      <c r="C486" s="2"/>
      <c r="D486" s="2"/>
      <c r="E486" s="2"/>
      <c r="F486" s="2"/>
      <c r="G486" s="5"/>
      <c r="H486" s="2"/>
      <c r="I486" s="2"/>
      <c r="J486" s="2"/>
      <c r="K486" s="2"/>
      <c r="L486" s="2"/>
    </row>
    <row r="487" spans="1:12">
      <c r="A487" s="12"/>
      <c r="B487" s="2"/>
      <c r="C487" s="2"/>
      <c r="D487" s="2"/>
      <c r="E487" s="2"/>
      <c r="F487" s="2"/>
      <c r="G487" s="5"/>
      <c r="H487" s="2"/>
      <c r="I487" s="2"/>
      <c r="J487" s="2"/>
      <c r="K487" s="2"/>
      <c r="L487" s="2"/>
    </row>
    <row r="488" spans="1:12">
      <c r="A488" s="12"/>
      <c r="B488" s="2"/>
      <c r="C488" s="2"/>
      <c r="D488" s="2"/>
      <c r="E488" s="2"/>
      <c r="F488" s="2"/>
      <c r="G488" s="5"/>
      <c r="H488" s="2"/>
      <c r="I488" s="2"/>
      <c r="J488" s="2"/>
      <c r="K488" s="2"/>
      <c r="L488" s="2"/>
    </row>
    <row r="489" spans="1:12">
      <c r="A489" s="12"/>
      <c r="B489" s="2"/>
      <c r="C489" s="2"/>
      <c r="D489" s="2"/>
      <c r="E489" s="2"/>
      <c r="F489" s="2"/>
      <c r="G489" s="5"/>
      <c r="H489" s="2"/>
      <c r="I489" s="2"/>
      <c r="J489" s="2"/>
      <c r="K489" s="2"/>
      <c r="L489" s="2"/>
    </row>
    <row r="490" spans="1:12">
      <c r="A490" s="12"/>
      <c r="B490" s="2"/>
      <c r="C490" s="2"/>
      <c r="D490" s="2"/>
      <c r="E490" s="2"/>
      <c r="F490" s="2"/>
      <c r="G490" s="5"/>
      <c r="H490" s="2"/>
      <c r="I490" s="2"/>
      <c r="J490" s="2"/>
      <c r="K490" s="2"/>
      <c r="L490" s="2"/>
    </row>
    <row r="491" spans="1:12">
      <c r="A491" s="12"/>
      <c r="B491" s="2"/>
      <c r="C491" s="2"/>
      <c r="D491" s="2"/>
      <c r="E491" s="2"/>
      <c r="F491" s="2"/>
      <c r="G491" s="5"/>
      <c r="H491" s="2"/>
      <c r="I491" s="2"/>
      <c r="J491" s="2"/>
      <c r="K491" s="2"/>
      <c r="L491" s="2"/>
    </row>
    <row r="492" spans="1:12">
      <c r="A492" s="12"/>
      <c r="B492" s="2"/>
      <c r="C492" s="2"/>
      <c r="D492" s="2"/>
      <c r="E492" s="2"/>
      <c r="F492" s="2"/>
      <c r="G492" s="5"/>
      <c r="H492" s="2"/>
      <c r="I492" s="2"/>
      <c r="J492" s="2"/>
      <c r="K492" s="2"/>
      <c r="L492" s="2"/>
    </row>
    <row r="493" spans="1:12">
      <c r="A493" s="12"/>
      <c r="B493" s="2"/>
      <c r="C493" s="2"/>
      <c r="D493" s="2"/>
      <c r="E493" s="2"/>
      <c r="F493" s="2"/>
      <c r="G493" s="5"/>
      <c r="H493" s="2"/>
      <c r="I493" s="2"/>
      <c r="J493" s="2"/>
      <c r="K493" s="2"/>
      <c r="L493" s="2"/>
    </row>
    <row r="494" spans="1:12">
      <c r="A494" s="12"/>
      <c r="B494" s="2"/>
      <c r="C494" s="2"/>
      <c r="D494" s="2"/>
      <c r="E494" s="2"/>
      <c r="F494" s="2"/>
      <c r="G494" s="5"/>
      <c r="H494" s="2"/>
      <c r="I494" s="2"/>
      <c r="J494" s="2"/>
      <c r="K494" s="2"/>
      <c r="L494" s="2"/>
    </row>
    <row r="495" spans="1:12">
      <c r="A495" s="12"/>
      <c r="B495" s="2"/>
      <c r="C495" s="2"/>
      <c r="D495" s="2"/>
      <c r="E495" s="2"/>
      <c r="F495" s="2"/>
      <c r="G495" s="5"/>
      <c r="H495" s="2"/>
      <c r="I495" s="2"/>
      <c r="J495" s="2"/>
      <c r="K495" s="2"/>
      <c r="L495" s="2"/>
    </row>
    <row r="496" spans="1:12">
      <c r="A496" s="12"/>
      <c r="B496" s="2"/>
      <c r="C496" s="2"/>
      <c r="D496" s="2"/>
      <c r="E496" s="2"/>
      <c r="F496" s="2"/>
      <c r="G496" s="5"/>
      <c r="H496" s="2"/>
      <c r="I496" s="2"/>
      <c r="J496" s="2"/>
      <c r="K496" s="2"/>
      <c r="L496" s="2"/>
    </row>
    <row r="497" spans="1:12">
      <c r="A497" s="12"/>
      <c r="B497" s="2"/>
      <c r="C497" s="2"/>
      <c r="D497" s="2"/>
      <c r="E497" s="2"/>
      <c r="F497" s="2"/>
      <c r="G497" s="5"/>
      <c r="H497" s="2"/>
      <c r="I497" s="2"/>
      <c r="J497" s="2"/>
      <c r="K497" s="2"/>
      <c r="L497" s="2"/>
    </row>
    <row r="498" spans="1:12">
      <c r="A498" s="12"/>
      <c r="B498" s="2"/>
      <c r="C498" s="2"/>
      <c r="D498" s="2"/>
      <c r="E498" s="2"/>
      <c r="F498" s="2"/>
      <c r="G498" s="5"/>
      <c r="H498" s="2"/>
      <c r="I498" s="2"/>
      <c r="J498" s="2"/>
      <c r="K498" s="2"/>
      <c r="L498" s="2"/>
    </row>
    <row r="499" spans="1:12">
      <c r="A499" s="12"/>
      <c r="B499" s="2"/>
      <c r="C499" s="2"/>
      <c r="D499" s="2"/>
      <c r="E499" s="2"/>
      <c r="F499" s="2"/>
      <c r="G499" s="5"/>
      <c r="H499" s="2"/>
      <c r="I499" s="2"/>
      <c r="J499" s="2"/>
      <c r="K499" s="2"/>
      <c r="L499" s="2"/>
    </row>
    <row r="500" spans="1:12">
      <c r="A500" s="12"/>
      <c r="B500" s="2"/>
      <c r="C500" s="2"/>
      <c r="D500" s="2"/>
      <c r="E500" s="2"/>
      <c r="F500" s="2"/>
      <c r="G500" s="5"/>
      <c r="H500" s="2"/>
      <c r="I500" s="2"/>
      <c r="J500" s="2"/>
      <c r="K500" s="2"/>
      <c r="L500" s="2"/>
    </row>
  </sheetData>
  <mergeCells count="1">
    <mergeCell ref="A1:L1"/>
  </mergeCells>
  <dataValidations count="2">
    <dataValidation type="list" sqref="I4:I500" xr:uid="{00000000-0002-0000-1100-000000000000}">
      <formula1>"Vigente,Reemplazado,Anulado,Borrador"</formula1>
    </dataValidation>
    <dataValidation type="list" sqref="K4:K500" xr:uid="{00000000-0002-0000-1100-000001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32"/>
  <sheetViews>
    <sheetView workbookViewId="0"/>
  </sheetViews>
  <sheetFormatPr baseColWidth="10" defaultColWidth="8.6640625" defaultRowHeight="14"/>
  <cols>
    <col min="1" max="1" width="18.6640625" customWidth="1"/>
    <col min="2" max="2" width="7.5" customWidth="1"/>
    <col min="3" max="3" width="9.6640625" customWidth="1"/>
    <col min="4" max="4" width="18" customWidth="1"/>
    <col min="5" max="5" width="17.4140625" customWidth="1"/>
    <col min="6" max="6" width="4" customWidth="1"/>
    <col min="7" max="12" width="14" customWidth="1"/>
    <col min="13" max="13" width="18" customWidth="1"/>
    <col min="14" max="14" width="14" customWidth="1"/>
  </cols>
  <sheetData>
    <row r="1" spans="1:14" ht="15.15" customHeight="1">
      <c r="A1" s="41" t="s">
        <v>302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12.4" customHeight="1">
      <c r="A2" s="42" t="s">
        <v>418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4" spans="1:14">
      <c r="A4" s="48" t="s">
        <v>303</v>
      </c>
      <c r="B4" s="48"/>
      <c r="D4" s="48" t="s">
        <v>304</v>
      </c>
      <c r="E4" s="48"/>
      <c r="G4" s="48" t="s">
        <v>305</v>
      </c>
      <c r="H4" s="48"/>
      <c r="J4" s="48" t="s">
        <v>306</v>
      </c>
      <c r="K4" s="48"/>
      <c r="M4" s="48" t="s">
        <v>307</v>
      </c>
      <c r="N4" s="48"/>
    </row>
    <row r="5" spans="1:14">
      <c r="A5" s="49">
        <v>8</v>
      </c>
      <c r="B5" s="49"/>
      <c r="C5" s="34"/>
      <c r="D5" s="49">
        <v>9</v>
      </c>
      <c r="E5" s="49"/>
      <c r="F5" s="34"/>
      <c r="G5" s="49">
        <v>504</v>
      </c>
      <c r="H5" s="49"/>
      <c r="I5" s="34"/>
      <c r="J5" s="49">
        <v>324</v>
      </c>
      <c r="K5" s="49"/>
      <c r="L5" s="34"/>
      <c r="M5" s="49">
        <v>836</v>
      </c>
      <c r="N5" s="50"/>
    </row>
    <row r="6" spans="1:14">
      <c r="A6" s="50"/>
      <c r="B6" s="50"/>
      <c r="D6" s="50"/>
      <c r="E6" s="50"/>
      <c r="G6" s="50"/>
      <c r="H6" s="50"/>
      <c r="J6" s="50"/>
      <c r="K6" s="50"/>
      <c r="M6" s="50"/>
      <c r="N6" s="50"/>
    </row>
    <row r="7" spans="1:14">
      <c r="A7" s="50"/>
      <c r="B7" s="50"/>
      <c r="D7" s="50"/>
      <c r="E7" s="50"/>
      <c r="G7" s="50"/>
      <c r="H7" s="50"/>
      <c r="J7" s="50"/>
      <c r="K7" s="50"/>
      <c r="M7" s="50"/>
      <c r="N7" s="50"/>
    </row>
    <row r="9" spans="1:14">
      <c r="A9" s="45" t="s">
        <v>308</v>
      </c>
      <c r="B9" s="45"/>
      <c r="C9" s="45"/>
      <c r="E9" s="45" t="s">
        <v>309</v>
      </c>
      <c r="F9" s="45"/>
      <c r="G9" s="45"/>
      <c r="I9" s="45" t="s">
        <v>310</v>
      </c>
      <c r="J9" s="45"/>
      <c r="K9" s="45"/>
      <c r="M9" s="45" t="s">
        <v>311</v>
      </c>
      <c r="N9" s="45"/>
    </row>
    <row r="10" spans="1:14">
      <c r="A10" s="46">
        <f>COUNTIF(Castigados!$J$4:$J$500,"Pendiente")</f>
        <v>0</v>
      </c>
      <c r="B10" s="46"/>
      <c r="C10" s="46"/>
      <c r="E10" s="46">
        <f>COUNTIF(Multas!$E$4:$E$500,"Pendiente")</f>
        <v>0</v>
      </c>
      <c r="F10" s="46"/>
      <c r="G10" s="46"/>
      <c r="I10" s="47">
        <f>SUM(Multas!$J$4:$J$500)</f>
        <v>0</v>
      </c>
      <c r="J10" s="47"/>
      <c r="K10" s="47"/>
      <c r="M10" s="46">
        <f>COUNTIF(Noticias!$K$4:$K$500,"Publicada")</f>
        <v>0</v>
      </c>
      <c r="N10" s="46"/>
    </row>
    <row r="11" spans="1:14">
      <c r="A11" s="46"/>
      <c r="B11" s="46"/>
      <c r="C11" s="46"/>
      <c r="E11" s="46"/>
      <c r="F11" s="46"/>
      <c r="G11" s="46"/>
      <c r="I11" s="47"/>
      <c r="J11" s="47"/>
      <c r="K11" s="47"/>
      <c r="M11" s="46"/>
      <c r="N11" s="46"/>
    </row>
    <row r="12" spans="1:14">
      <c r="A12" s="46"/>
      <c r="B12" s="46"/>
      <c r="C12" s="46"/>
      <c r="E12" s="46"/>
      <c r="F12" s="46"/>
      <c r="G12" s="46"/>
      <c r="I12" s="47"/>
      <c r="J12" s="47"/>
      <c r="K12" s="47"/>
      <c r="M12" s="46"/>
      <c r="N12" s="46"/>
    </row>
    <row r="15" spans="1:14" ht="13.4" customHeight="1">
      <c r="A15" s="1" t="s">
        <v>312</v>
      </c>
      <c r="B15" s="1" t="s">
        <v>35</v>
      </c>
      <c r="C15" s="1" t="s">
        <v>313</v>
      </c>
      <c r="D15" s="1" t="s">
        <v>314</v>
      </c>
      <c r="E15" s="1" t="s">
        <v>42</v>
      </c>
    </row>
    <row r="16" spans="1:14">
      <c r="A16" s="2" t="s">
        <v>87</v>
      </c>
      <c r="B16" s="6">
        <v>56</v>
      </c>
      <c r="C16" s="6">
        <v>36</v>
      </c>
      <c r="D16" s="6">
        <v>20</v>
      </c>
      <c r="E16" s="6">
        <v>80</v>
      </c>
    </row>
    <row r="17" spans="1:5">
      <c r="A17" s="2" t="s">
        <v>100</v>
      </c>
      <c r="B17" s="6">
        <v>56</v>
      </c>
      <c r="C17" s="6">
        <v>36</v>
      </c>
      <c r="D17" s="6">
        <v>20</v>
      </c>
      <c r="E17" s="6">
        <v>93</v>
      </c>
    </row>
    <row r="18" spans="1:5">
      <c r="A18" s="2" t="s">
        <v>113</v>
      </c>
      <c r="B18" s="6">
        <v>56</v>
      </c>
      <c r="C18" s="6">
        <v>36</v>
      </c>
      <c r="D18" s="6">
        <v>20</v>
      </c>
      <c r="E18" s="6">
        <v>84</v>
      </c>
    </row>
    <row r="19" spans="1:5">
      <c r="A19" s="2" t="s">
        <v>125</v>
      </c>
      <c r="B19" s="6">
        <v>56</v>
      </c>
      <c r="C19" s="6">
        <v>36</v>
      </c>
      <c r="D19" s="6">
        <v>20</v>
      </c>
      <c r="E19" s="6">
        <v>87</v>
      </c>
    </row>
    <row r="20" spans="1:5">
      <c r="A20" s="2" t="s">
        <v>136</v>
      </c>
      <c r="B20" s="6">
        <v>56</v>
      </c>
      <c r="C20" s="6">
        <v>36</v>
      </c>
      <c r="D20" s="6">
        <v>20</v>
      </c>
      <c r="E20" s="6">
        <v>92</v>
      </c>
    </row>
    <row r="21" spans="1:5">
      <c r="A21" s="2" t="s">
        <v>143</v>
      </c>
      <c r="B21" s="6">
        <v>56</v>
      </c>
      <c r="C21" s="6">
        <v>36</v>
      </c>
      <c r="D21" s="6">
        <v>20</v>
      </c>
      <c r="E21" s="6">
        <v>79</v>
      </c>
    </row>
    <row r="22" spans="1:5">
      <c r="A22" s="2" t="s">
        <v>147</v>
      </c>
      <c r="B22" s="6">
        <v>56</v>
      </c>
      <c r="C22" s="6">
        <v>36</v>
      </c>
      <c r="D22" s="6">
        <v>20</v>
      </c>
      <c r="E22" s="6">
        <v>107</v>
      </c>
    </row>
    <row r="23" spans="1:5">
      <c r="A23" s="2" t="s">
        <v>149</v>
      </c>
      <c r="B23" s="6">
        <v>56</v>
      </c>
      <c r="C23" s="6">
        <v>36</v>
      </c>
      <c r="D23" s="6">
        <v>20</v>
      </c>
      <c r="E23" s="6">
        <v>94</v>
      </c>
    </row>
    <row r="24" spans="1:5">
      <c r="A24" s="2" t="s">
        <v>150</v>
      </c>
      <c r="B24" s="6">
        <v>56</v>
      </c>
      <c r="C24" s="6">
        <v>36</v>
      </c>
      <c r="D24" s="6">
        <v>20</v>
      </c>
      <c r="E24" s="6">
        <v>120</v>
      </c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 ht="13.4" customHeight="1">
      <c r="A27" s="1" t="s">
        <v>315</v>
      </c>
      <c r="B27" s="1" t="s">
        <v>74</v>
      </c>
      <c r="C27" s="1" t="s">
        <v>316</v>
      </c>
      <c r="D27" s="1" t="s">
        <v>317</v>
      </c>
      <c r="E27" s="1" t="s">
        <v>318</v>
      </c>
    </row>
    <row r="28" spans="1:5" ht="28">
      <c r="A28" s="2" t="s">
        <v>419</v>
      </c>
      <c r="B28" s="2">
        <v>0</v>
      </c>
      <c r="C28" s="2" t="s">
        <v>420</v>
      </c>
      <c r="D28" s="2" t="s">
        <v>421</v>
      </c>
      <c r="E28" s="2" t="s">
        <v>422</v>
      </c>
    </row>
    <row r="29" spans="1:5" ht="28">
      <c r="A29" s="2" t="s">
        <v>423</v>
      </c>
      <c r="B29" s="2">
        <v>0</v>
      </c>
      <c r="C29" s="2" t="s">
        <v>420</v>
      </c>
      <c r="D29" s="2" t="s">
        <v>424</v>
      </c>
      <c r="E29" s="2" t="s">
        <v>425</v>
      </c>
    </row>
    <row r="30" spans="1:5" ht="42">
      <c r="A30" s="2" t="s">
        <v>426</v>
      </c>
      <c r="B30" s="2">
        <v>0</v>
      </c>
      <c r="C30" s="2" t="s">
        <v>420</v>
      </c>
      <c r="D30" s="2" t="s">
        <v>427</v>
      </c>
      <c r="E30" s="2" t="s">
        <v>428</v>
      </c>
    </row>
    <row r="31" spans="1:5" ht="28">
      <c r="A31" s="2" t="s">
        <v>429</v>
      </c>
      <c r="B31" s="2">
        <v>0</v>
      </c>
      <c r="C31" s="2" t="s">
        <v>420</v>
      </c>
      <c r="D31" s="2" t="s">
        <v>430</v>
      </c>
      <c r="E31" s="2" t="s">
        <v>431</v>
      </c>
    </row>
    <row r="32" spans="1:5" ht="28">
      <c r="A32" s="2" t="s">
        <v>432</v>
      </c>
      <c r="B32" s="2">
        <v>0</v>
      </c>
      <c r="C32" s="2" t="s">
        <v>420</v>
      </c>
      <c r="D32" s="2" t="s">
        <v>433</v>
      </c>
      <c r="E32" s="2" t="s">
        <v>434</v>
      </c>
    </row>
  </sheetData>
  <mergeCells count="20">
    <mergeCell ref="A1:N1"/>
    <mergeCell ref="A2:N2"/>
    <mergeCell ref="A4:B4"/>
    <mergeCell ref="A5:B7"/>
    <mergeCell ref="D4:E4"/>
    <mergeCell ref="D5:E7"/>
    <mergeCell ref="G4:H4"/>
    <mergeCell ref="G5:H7"/>
    <mergeCell ref="J4:K4"/>
    <mergeCell ref="J5:K7"/>
    <mergeCell ref="M4:N4"/>
    <mergeCell ref="M5:N7"/>
    <mergeCell ref="M9:N9"/>
    <mergeCell ref="M10:N12"/>
    <mergeCell ref="A9:C9"/>
    <mergeCell ref="A10:C12"/>
    <mergeCell ref="E9:G9"/>
    <mergeCell ref="E10:G12"/>
    <mergeCell ref="I9:K9"/>
    <mergeCell ref="I10:K12"/>
  </mergeCells>
  <conditionalFormatting sqref="B16:B24">
    <cfRule type="dataBar" priority="1">
      <dataBar>
        <cfvo type="min"/>
        <cfvo type="max"/>
        <color rgb="FF0D3F7A"/>
      </dataBar>
    </cfRule>
    <cfRule type="dataBar" priority="5">
      <dataBar>
        <cfvo type="min"/>
        <cfvo type="max"/>
        <color rgb="FF0D3F7A"/>
      </dataBar>
    </cfRule>
    <cfRule type="dataBar" priority="7">
      <dataBar>
        <cfvo type="min"/>
        <cfvo type="max"/>
        <color rgb="FF0D3F7A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conditionalFormatting sqref="C16:C24">
    <cfRule type="dataBar" priority="2">
      <dataBar>
        <cfvo type="min"/>
        <cfvo type="max"/>
        <color rgb="FFE6B643"/>
      </dataBar>
    </cfRule>
    <cfRule type="dataBar" priority="6">
      <dataBar>
        <cfvo type="min"/>
        <cfvo type="max"/>
        <color rgb="FFE6B643"/>
      </dataBar>
    </cfRule>
    <cfRule type="dataBar" priority="8">
      <dataBar>
        <cfvo type="min"/>
        <cfvo type="max"/>
        <color rgb="FFE6B643"/>
      </dataBar>
      <extLst>
        <ext xmlns:x14="http://schemas.microsoft.com/office/spreadsheetml/2009/9/main" uri="{B025F937-C7B1-47D3-B67F-A62EFF666E3E}">
          <x14:id>{169BE573-5479-287D-BE93-74B15E11EBFA}</x14:id>
        </ext>
      </extLst>
    </cfRule>
  </conditionalFormatting>
  <conditionalFormatting sqref="C28:C32">
    <cfRule type="expression" dxfId="21" priority="3">
      <formula>C28="OK"</formula>
    </cfRule>
    <cfRule type="expression" dxfId="20" priority="4">
      <formula>C28="REVISAR"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B16:B24</xm:sqref>
        </x14:conditionalFormatting>
        <x14:conditionalFormatting xmlns:xm="http://schemas.microsoft.com/office/excel/2006/main">
          <x14:cfRule type="dataBar" id="{169BE573-5479-287D-BE93-74B15E11EBFA}">
            <x14:dataBar>
              <x14:cfvo type="min"/>
              <x14:cfvo type="max"/>
              <x14:negativeFillColor auto="1"/>
              <x14:axisColor auto="1"/>
            </x14:dataBar>
          </x14:cfRule>
          <xm:sqref>C16:C24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LEEME</vt:lpstr>
      <vt:lpstr>Configuracion</vt:lpstr>
      <vt:lpstr>Clubes</vt:lpstr>
      <vt:lpstr>Series</vt:lpstr>
      <vt:lpstr>Inscripciones</vt:lpstr>
      <vt:lpstr>Canchas</vt:lpstr>
      <vt:lpstr>Partidos</vt:lpstr>
      <vt:lpstr>Tabla_Posiciones</vt:lpstr>
      <vt:lpstr>Goleadores</vt:lpstr>
      <vt:lpstr>Disciplina</vt:lpstr>
      <vt:lpstr>Castigados</vt:lpstr>
      <vt:lpstr>Multas</vt:lpstr>
      <vt:lpstr>Arbitros</vt:lpstr>
      <vt:lpstr>Noticias</vt:lpstr>
      <vt:lpstr>Documentos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GREZ TOLOZA</cp:lastModifiedBy>
  <dcterms:modified xsi:type="dcterms:W3CDTF">2026-07-27T05:59:45Z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2026-07-27T05:41:12Z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e6ec5693-a440-45da-9037-1c630e58d279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